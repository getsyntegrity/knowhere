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showInkAnnotation="0"/>
  <mc:AlternateContent xmlns:mc="http://schemas.openxmlformats.org/markup-compatibility/2006">
    <mc:Choice Requires="x15">
      <x15ac:absPath xmlns:x15ac="http://schemas.microsoft.com/office/spreadsheetml/2010/11/ac" url="D:\Local codes\知识固化库_DEMO\Supplementary Files\"/>
    </mc:Choice>
  </mc:AlternateContent>
  <xr:revisionPtr revIDLastSave="0" documentId="13_ncr:1_{0987CFD0-C19E-48F7-8BF2-BDF63A259BF2}" xr6:coauthVersionLast="47" xr6:coauthVersionMax="47" xr10:uidLastSave="{00000000-0000-0000-0000-000000000000}"/>
  <bookViews>
    <workbookView xWindow="1020" yWindow="6225" windowWidth="29430" windowHeight="28740" tabRatio="898" activeTab="7" xr2:uid="{08570EB7-CF37-4759-9E41-1819470184A2}"/>
  </bookViews>
  <sheets>
    <sheet name="封面" sheetId="16" r:id="rId1"/>
    <sheet name="填报说明" sheetId="24" r:id="rId2"/>
    <sheet name="汇总表" sheetId="9" r:id="rId3"/>
    <sheet name="本期分析及总结" sheetId="14" r:id="rId4"/>
    <sheet name="人工费" sheetId="8" r:id="rId5"/>
    <sheet name="材料费" sheetId="25" r:id="rId6"/>
    <sheet name="机械费" sheetId="5" r:id="rId7"/>
    <sheet name="专业分包费" sheetId="4" r:id="rId8"/>
    <sheet name="周转料具" sheetId="6" r:id="rId9"/>
    <sheet name="安全文明施工费" sheetId="10" r:id="rId10"/>
    <sheet name="施工措施费" sheetId="1" r:id="rId11"/>
    <sheet name="现场经费" sheetId="28" r:id="rId12"/>
    <sheet name="管理费、利润、规费、税金" sheetId="12" r:id="rId13"/>
    <sheet name="让利" sheetId="26" r:id="rId14"/>
    <sheet name="总包服务费" sheetId="27" r:id="rId15"/>
    <sheet name="指定分包" sheetId="20" r:id="rId16"/>
    <sheet name="其它" sheetId="19" r:id="rId17"/>
    <sheet name="开源效益" sheetId="18" r:id="rId18"/>
  </sheets>
  <externalReferences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5" hidden="1">材料费!$A$5:$AB$283</definedName>
    <definedName name="_xlnm._FilterDatabase" localSheetId="17" hidden="1">开源效益!$A$6:$AH$80</definedName>
    <definedName name="_xlnm._FilterDatabase" localSheetId="7" hidden="1">专业分包费!$A$3:$AD$582</definedName>
    <definedName name="_xlnm.Print_Area" localSheetId="9">安全文明施工费!$A$1:$R$36</definedName>
    <definedName name="_xlnm.Print_Area" localSheetId="3">本期分析及总结!$A$1:$F$20</definedName>
    <definedName name="_xlnm.Print_Area" localSheetId="5">材料费!$A$1:$W$283</definedName>
    <definedName name="_xlnm.Print_Area" localSheetId="2">汇总表!$A$1:$O$21</definedName>
    <definedName name="_xlnm.Print_Area" localSheetId="6">机械费!$A$1:$X$26</definedName>
    <definedName name="_xlnm.Print_Area" localSheetId="4">人工费!$A$1:$W$282</definedName>
    <definedName name="_xlnm.Print_Area" localSheetId="10">施工措施费!$A$1:$P$22</definedName>
    <definedName name="_xlnm.Print_Area" localSheetId="11">现场经费!$A$1:$G$41</definedName>
    <definedName name="_xlnm.Print_Area" localSheetId="8">周转料具!$A$1:$W$153</definedName>
    <definedName name="_xlnm.Print_Area" localSheetId="7">专业分包费!$A$1:$W$582</definedName>
    <definedName name="_xlnm.Print_Titles" localSheetId="11">现场经费!$1:$4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9" l="1"/>
  <c r="F12" i="9" s="1"/>
  <c r="E12" i="9"/>
  <c r="D13" i="9"/>
  <c r="F13" i="9"/>
  <c r="H13" i="9"/>
  <c r="L13" i="9"/>
  <c r="D14" i="9"/>
  <c r="F14" i="9"/>
  <c r="H14" i="9"/>
  <c r="L14" i="9"/>
  <c r="F15" i="9"/>
  <c r="G15" i="9"/>
  <c r="I15" i="9" s="1"/>
  <c r="J15" i="9" s="1"/>
  <c r="H15" i="9"/>
  <c r="K15" i="9"/>
  <c r="M15" i="9" s="1"/>
  <c r="N15" i="9" s="1"/>
  <c r="L15" i="9"/>
  <c r="F16" i="9"/>
  <c r="G16" i="9"/>
  <c r="I16" i="9"/>
  <c r="J16" i="9" s="1"/>
  <c r="H16" i="9"/>
  <c r="K16" i="9"/>
  <c r="L16" i="9"/>
  <c r="F17" i="9"/>
  <c r="G17" i="9"/>
  <c r="I17" i="9"/>
  <c r="J17" i="9"/>
  <c r="H17" i="9"/>
  <c r="K17" i="9"/>
  <c r="L17" i="9"/>
  <c r="M17" i="9"/>
  <c r="N17" i="9" s="1"/>
  <c r="D18" i="9"/>
  <c r="E18" i="9"/>
  <c r="F18" i="9" s="1"/>
  <c r="G18" i="9"/>
  <c r="K18" i="9"/>
  <c r="F20" i="9"/>
  <c r="I20" i="9"/>
  <c r="J20" i="9" s="1"/>
  <c r="M20" i="9"/>
  <c r="N20" i="9"/>
  <c r="K8" i="8"/>
  <c r="N8" i="8" s="1"/>
  <c r="L8" i="8"/>
  <c r="O8" i="8"/>
  <c r="P8" i="8"/>
  <c r="R8" i="8"/>
  <c r="S8" i="8" s="1"/>
  <c r="T8" i="8"/>
  <c r="V8" i="8" s="1"/>
  <c r="K9" i="8"/>
  <c r="L9" i="8"/>
  <c r="M9" i="8"/>
  <c r="N9" i="8"/>
  <c r="O9" i="8"/>
  <c r="P9" i="8"/>
  <c r="R9" i="8"/>
  <c r="S9" i="8" s="1"/>
  <c r="T9" i="8"/>
  <c r="V9" i="8" s="1"/>
  <c r="K10" i="8"/>
  <c r="N10" i="8" s="1"/>
  <c r="L10" i="8"/>
  <c r="M10" i="8" s="1"/>
  <c r="O10" i="8"/>
  <c r="R10" i="8"/>
  <c r="S10" i="8" s="1"/>
  <c r="T10" i="8"/>
  <c r="V10" i="8" s="1"/>
  <c r="K11" i="8"/>
  <c r="N11" i="8" s="1"/>
  <c r="P11" i="8" s="1"/>
  <c r="L11" i="8"/>
  <c r="M11" i="8" s="1"/>
  <c r="O11" i="8"/>
  <c r="R11" i="8"/>
  <c r="S11" i="8"/>
  <c r="T11" i="8"/>
  <c r="V11" i="8" s="1"/>
  <c r="K12" i="8"/>
  <c r="N12" i="8" s="1"/>
  <c r="L12" i="8"/>
  <c r="M12" i="8" s="1"/>
  <c r="O12" i="8"/>
  <c r="P12" i="8" s="1"/>
  <c r="R12" i="8"/>
  <c r="S12" i="8"/>
  <c r="T12" i="8"/>
  <c r="V12" i="8" s="1"/>
  <c r="K13" i="8"/>
  <c r="L13" i="8"/>
  <c r="M13" i="8"/>
  <c r="N13" i="8"/>
  <c r="O13" i="8"/>
  <c r="P13" i="8"/>
  <c r="R13" i="8"/>
  <c r="S13" i="8" s="1"/>
  <c r="T13" i="8"/>
  <c r="V13" i="8" s="1"/>
  <c r="K14" i="8"/>
  <c r="L14" i="8"/>
  <c r="M14" i="8"/>
  <c r="N14" i="8"/>
  <c r="P14" i="8" s="1"/>
  <c r="O14" i="8"/>
  <c r="R14" i="8"/>
  <c r="S14" i="8" s="1"/>
  <c r="T14" i="8"/>
  <c r="V14" i="8" s="1"/>
  <c r="K15" i="8"/>
  <c r="N15" i="8" s="1"/>
  <c r="P15" i="8" s="1"/>
  <c r="L15" i="8"/>
  <c r="M15" i="8" s="1"/>
  <c r="O15" i="8"/>
  <c r="R15" i="8"/>
  <c r="S15" i="8"/>
  <c r="T15" i="8"/>
  <c r="V15" i="8" s="1"/>
  <c r="K16" i="8"/>
  <c r="N16" i="8" s="1"/>
  <c r="L16" i="8"/>
  <c r="O16" i="8"/>
  <c r="R16" i="8"/>
  <c r="S16" i="8"/>
  <c r="T16" i="8"/>
  <c r="V16" i="8" s="1"/>
  <c r="K17" i="8"/>
  <c r="L17" i="8"/>
  <c r="M17" i="8"/>
  <c r="N17" i="8"/>
  <c r="O17" i="8"/>
  <c r="P17" i="8" s="1"/>
  <c r="R17" i="8"/>
  <c r="S17" i="8" s="1"/>
  <c r="T17" i="8"/>
  <c r="V17" i="8" s="1"/>
  <c r="K18" i="8"/>
  <c r="L18" i="8"/>
  <c r="M18" i="8" s="1"/>
  <c r="N18" i="8"/>
  <c r="P18" i="8" s="1"/>
  <c r="O18" i="8"/>
  <c r="R18" i="8"/>
  <c r="S18" i="8" s="1"/>
  <c r="T18" i="8"/>
  <c r="V18" i="8" s="1"/>
  <c r="K19" i="8"/>
  <c r="N19" i="8" s="1"/>
  <c r="P19" i="8" s="1"/>
  <c r="L19" i="8"/>
  <c r="M19" i="8" s="1"/>
  <c r="O19" i="8"/>
  <c r="R19" i="8"/>
  <c r="S19" i="8"/>
  <c r="T19" i="8"/>
  <c r="V19" i="8" s="1"/>
  <c r="K20" i="8"/>
  <c r="N20" i="8" s="1"/>
  <c r="L20" i="8"/>
  <c r="O20" i="8"/>
  <c r="R20" i="8"/>
  <c r="S20" i="8"/>
  <c r="T20" i="8"/>
  <c r="V20" i="8" s="1"/>
  <c r="K21" i="8"/>
  <c r="L21" i="8"/>
  <c r="M21" i="8"/>
  <c r="N21" i="8"/>
  <c r="O21" i="8"/>
  <c r="P21" i="8" s="1"/>
  <c r="R21" i="8"/>
  <c r="S21" i="8" s="1"/>
  <c r="T21" i="8"/>
  <c r="V21" i="8" s="1"/>
  <c r="K22" i="8"/>
  <c r="L22" i="8"/>
  <c r="M22" i="8" s="1"/>
  <c r="N22" i="8"/>
  <c r="O22" i="8"/>
  <c r="R22" i="8"/>
  <c r="S22" i="8" s="1"/>
  <c r="T22" i="8"/>
  <c r="V22" i="8" s="1"/>
  <c r="K23" i="8"/>
  <c r="N23" i="8" s="1"/>
  <c r="P23" i="8" s="1"/>
  <c r="L23" i="8"/>
  <c r="M23" i="8" s="1"/>
  <c r="O23" i="8"/>
  <c r="R23" i="8"/>
  <c r="S23" i="8"/>
  <c r="T23" i="8"/>
  <c r="V23" i="8" s="1"/>
  <c r="K24" i="8"/>
  <c r="N24" i="8" s="1"/>
  <c r="L24" i="8"/>
  <c r="M24" i="8" s="1"/>
  <c r="O24" i="8"/>
  <c r="P24" i="8" s="1"/>
  <c r="R24" i="8"/>
  <c r="S24" i="8"/>
  <c r="T24" i="8"/>
  <c r="V24" i="8" s="1"/>
  <c r="K25" i="8"/>
  <c r="L25" i="8"/>
  <c r="M25" i="8"/>
  <c r="N25" i="8"/>
  <c r="O25" i="8"/>
  <c r="P25" i="8" s="1"/>
  <c r="R25" i="8"/>
  <c r="S25" i="8" s="1"/>
  <c r="T25" i="8"/>
  <c r="V25" i="8" s="1"/>
  <c r="K26" i="8"/>
  <c r="L26" i="8"/>
  <c r="M26" i="8"/>
  <c r="N26" i="8"/>
  <c r="P26" i="8" s="1"/>
  <c r="O26" i="8"/>
  <c r="R26" i="8"/>
  <c r="S26" i="8" s="1"/>
  <c r="T26" i="8"/>
  <c r="V26" i="8" s="1"/>
  <c r="V7" i="8" s="1"/>
  <c r="V6" i="8" s="1"/>
  <c r="K27" i="8"/>
  <c r="N27" i="8" s="1"/>
  <c r="P27" i="8" s="1"/>
  <c r="L27" i="8"/>
  <c r="M27" i="8" s="1"/>
  <c r="O27" i="8"/>
  <c r="R27" i="8"/>
  <c r="S27" i="8"/>
  <c r="T27" i="8"/>
  <c r="V27" i="8" s="1"/>
  <c r="K28" i="8"/>
  <c r="N28" i="8" s="1"/>
  <c r="L28" i="8"/>
  <c r="M28" i="8" s="1"/>
  <c r="O28" i="8"/>
  <c r="P28" i="8" s="1"/>
  <c r="R28" i="8"/>
  <c r="S28" i="8"/>
  <c r="T28" i="8"/>
  <c r="V28" i="8" s="1"/>
  <c r="K29" i="8"/>
  <c r="L29" i="8"/>
  <c r="M29" i="8"/>
  <c r="N29" i="8"/>
  <c r="O29" i="8"/>
  <c r="P29" i="8" s="1"/>
  <c r="R29" i="8"/>
  <c r="S29" i="8" s="1"/>
  <c r="T29" i="8"/>
  <c r="V29" i="8" s="1"/>
  <c r="K30" i="8"/>
  <c r="L30" i="8"/>
  <c r="M30" i="8"/>
  <c r="N30" i="8"/>
  <c r="O30" i="8"/>
  <c r="R30" i="8"/>
  <c r="S30" i="8" s="1"/>
  <c r="T30" i="8"/>
  <c r="V30" i="8"/>
  <c r="K31" i="8"/>
  <c r="N31" i="8" s="1"/>
  <c r="P31" i="8" s="1"/>
  <c r="L31" i="8"/>
  <c r="M31" i="8"/>
  <c r="O31" i="8"/>
  <c r="R31" i="8"/>
  <c r="S31" i="8" s="1"/>
  <c r="S7" i="8" s="1"/>
  <c r="T31" i="8"/>
  <c r="V31" i="8"/>
  <c r="K32" i="8"/>
  <c r="N32" i="8" s="1"/>
  <c r="S32" i="8"/>
  <c r="V32" i="8"/>
  <c r="G33" i="8"/>
  <c r="J33" i="8"/>
  <c r="K34" i="8"/>
  <c r="M34" i="8"/>
  <c r="N34" i="8"/>
  <c r="P34" i="8" s="1"/>
  <c r="S34" i="8"/>
  <c r="T34" i="8"/>
  <c r="V34" i="8"/>
  <c r="K35" i="8"/>
  <c r="S35" i="8"/>
  <c r="T35" i="8"/>
  <c r="V35" i="8"/>
  <c r="K36" i="8"/>
  <c r="N36" i="8"/>
  <c r="P36" i="8" s="1"/>
  <c r="M36" i="8"/>
  <c r="S36" i="8"/>
  <c r="T36" i="8"/>
  <c r="V36" i="8" s="1"/>
  <c r="K37" i="8"/>
  <c r="M37" i="8"/>
  <c r="S37" i="8"/>
  <c r="T37" i="8"/>
  <c r="V37" i="8"/>
  <c r="K38" i="8"/>
  <c r="N38" i="8" s="1"/>
  <c r="P38" i="8" s="1"/>
  <c r="M38" i="8"/>
  <c r="S38" i="8"/>
  <c r="T38" i="8"/>
  <c r="V38" i="8"/>
  <c r="K39" i="8"/>
  <c r="M39" i="8"/>
  <c r="S39" i="8"/>
  <c r="T39" i="8"/>
  <c r="V39" i="8" s="1"/>
  <c r="Q40" i="8"/>
  <c r="T40" i="8" s="1"/>
  <c r="S40" i="8"/>
  <c r="V40" i="8"/>
  <c r="K41" i="8"/>
  <c r="M41" i="8" s="1"/>
  <c r="S41" i="8"/>
  <c r="T41" i="8"/>
  <c r="V41" i="8"/>
  <c r="K42" i="8"/>
  <c r="N42" i="8" s="1"/>
  <c r="P42" i="8" s="1"/>
  <c r="M42" i="8"/>
  <c r="S42" i="8"/>
  <c r="T42" i="8"/>
  <c r="V42" i="8" s="1"/>
  <c r="K43" i="8"/>
  <c r="S43" i="8"/>
  <c r="T43" i="8"/>
  <c r="V43" i="8"/>
  <c r="K44" i="8"/>
  <c r="M44" i="8"/>
  <c r="N44" i="8"/>
  <c r="P44" i="8"/>
  <c r="S44" i="8"/>
  <c r="T44" i="8"/>
  <c r="V44" i="8" s="1"/>
  <c r="K45" i="8"/>
  <c r="N45" i="8" s="1"/>
  <c r="P45" i="8"/>
  <c r="M45" i="8"/>
  <c r="S45" i="8"/>
  <c r="T45" i="8"/>
  <c r="V45" i="8"/>
  <c r="K46" i="8"/>
  <c r="N46" i="8" s="1"/>
  <c r="P46" i="8" s="1"/>
  <c r="M46" i="8"/>
  <c r="S46" i="8"/>
  <c r="T46" i="8"/>
  <c r="V46" i="8" s="1"/>
  <c r="K47" i="8"/>
  <c r="S47" i="8"/>
  <c r="T47" i="8"/>
  <c r="V47" i="8" s="1"/>
  <c r="K48" i="8"/>
  <c r="N48" i="8" s="1"/>
  <c r="P48" i="8" s="1"/>
  <c r="M48" i="8"/>
  <c r="S48" i="8"/>
  <c r="T48" i="8"/>
  <c r="V48" i="8" s="1"/>
  <c r="K49" i="8"/>
  <c r="M49" i="8" s="1"/>
  <c r="N49" i="8"/>
  <c r="P49" i="8" s="1"/>
  <c r="S49" i="8"/>
  <c r="T49" i="8"/>
  <c r="V49" i="8"/>
  <c r="K50" i="8"/>
  <c r="S50" i="8"/>
  <c r="T50" i="8"/>
  <c r="V50" i="8" s="1"/>
  <c r="K51" i="8"/>
  <c r="M51" i="8"/>
  <c r="N51" i="8"/>
  <c r="P51" i="8" s="1"/>
  <c r="S51" i="8"/>
  <c r="T51" i="8"/>
  <c r="V51" i="8"/>
  <c r="K52" i="8"/>
  <c r="M52" i="8"/>
  <c r="N52" i="8"/>
  <c r="P52" i="8"/>
  <c r="S52" i="8"/>
  <c r="T52" i="8"/>
  <c r="V52" i="8" s="1"/>
  <c r="K53" i="8"/>
  <c r="N53" i="8" s="1"/>
  <c r="P53" i="8" s="1"/>
  <c r="M53" i="8"/>
  <c r="S53" i="8"/>
  <c r="T53" i="8"/>
  <c r="V53" i="8" s="1"/>
  <c r="K54" i="8"/>
  <c r="N54" i="8"/>
  <c r="P54" i="8" s="1"/>
  <c r="M54" i="8"/>
  <c r="S54" i="8"/>
  <c r="T54" i="8"/>
  <c r="V54" i="8"/>
  <c r="K55" i="8"/>
  <c r="M55" i="8" s="1"/>
  <c r="S55" i="8"/>
  <c r="T55" i="8"/>
  <c r="V55" i="8"/>
  <c r="K56" i="8"/>
  <c r="N56" i="8" s="1"/>
  <c r="P56" i="8" s="1"/>
  <c r="S56" i="8"/>
  <c r="T56" i="8"/>
  <c r="V56" i="8" s="1"/>
  <c r="K57" i="8"/>
  <c r="M57" i="8"/>
  <c r="N57" i="8"/>
  <c r="P57" i="8" s="1"/>
  <c r="S57" i="8"/>
  <c r="T57" i="8"/>
  <c r="V57" i="8"/>
  <c r="K58" i="8"/>
  <c r="N58" i="8"/>
  <c r="P58" i="8"/>
  <c r="M58" i="8"/>
  <c r="S58" i="8"/>
  <c r="T58" i="8"/>
  <c r="V58" i="8" s="1"/>
  <c r="K59" i="8"/>
  <c r="M59" i="8" s="1"/>
  <c r="N59" i="8"/>
  <c r="P59" i="8"/>
  <c r="S59" i="8"/>
  <c r="T59" i="8"/>
  <c r="V59" i="8"/>
  <c r="K60" i="8"/>
  <c r="N60" i="8" s="1"/>
  <c r="M60" i="8"/>
  <c r="P60" i="8"/>
  <c r="S60" i="8"/>
  <c r="T60" i="8"/>
  <c r="V60" i="8" s="1"/>
  <c r="K61" i="8"/>
  <c r="N61" i="8" s="1"/>
  <c r="P61" i="8" s="1"/>
  <c r="S61" i="8"/>
  <c r="T61" i="8"/>
  <c r="V61" i="8" s="1"/>
  <c r="K64" i="8"/>
  <c r="N64" i="8" s="1"/>
  <c r="P64" i="8" s="1"/>
  <c r="M64" i="8"/>
  <c r="O64" i="8"/>
  <c r="S64" i="8"/>
  <c r="T64" i="8"/>
  <c r="V64" i="8" s="1"/>
  <c r="K65" i="8"/>
  <c r="N65" i="8" s="1"/>
  <c r="P65" i="8" s="1"/>
  <c r="M65" i="8"/>
  <c r="O65" i="8"/>
  <c r="S65" i="8"/>
  <c r="T65" i="8"/>
  <c r="V65" i="8"/>
  <c r="K66" i="8"/>
  <c r="N66" i="8" s="1"/>
  <c r="P66" i="8" s="1"/>
  <c r="O66" i="8"/>
  <c r="S66" i="8"/>
  <c r="T66" i="8"/>
  <c r="V66" i="8"/>
  <c r="K67" i="8"/>
  <c r="N67" i="8" s="1"/>
  <c r="P67" i="8" s="1"/>
  <c r="M67" i="8"/>
  <c r="O67" i="8"/>
  <c r="S67" i="8"/>
  <c r="T67" i="8"/>
  <c r="V67" i="8"/>
  <c r="K68" i="8"/>
  <c r="N68" i="8" s="1"/>
  <c r="P68" i="8" s="1"/>
  <c r="M68" i="8"/>
  <c r="O68" i="8"/>
  <c r="S68" i="8"/>
  <c r="T68" i="8"/>
  <c r="V68" i="8" s="1"/>
  <c r="K69" i="8"/>
  <c r="N69" i="8" s="1"/>
  <c r="P69" i="8" s="1"/>
  <c r="M69" i="8"/>
  <c r="O69" i="8"/>
  <c r="S69" i="8"/>
  <c r="T69" i="8"/>
  <c r="V69" i="8"/>
  <c r="K70" i="8"/>
  <c r="N70" i="8" s="1"/>
  <c r="P70" i="8" s="1"/>
  <c r="O70" i="8"/>
  <c r="S70" i="8"/>
  <c r="T70" i="8"/>
  <c r="V70" i="8" s="1"/>
  <c r="K71" i="8"/>
  <c r="N71" i="8" s="1"/>
  <c r="P71" i="8" s="1"/>
  <c r="M71" i="8"/>
  <c r="O71" i="8"/>
  <c r="S71" i="8"/>
  <c r="T71" i="8"/>
  <c r="V71" i="8"/>
  <c r="K72" i="8"/>
  <c r="O72" i="8"/>
  <c r="S72" i="8"/>
  <c r="T72" i="8"/>
  <c r="V72" i="8" s="1"/>
  <c r="K73" i="8"/>
  <c r="N73" i="8" s="1"/>
  <c r="P73" i="8"/>
  <c r="O73" i="8"/>
  <c r="S73" i="8"/>
  <c r="T73" i="8"/>
  <c r="V73" i="8" s="1"/>
  <c r="K74" i="8"/>
  <c r="N74" i="8" s="1"/>
  <c r="M74" i="8"/>
  <c r="P74" i="8"/>
  <c r="O74" i="8"/>
  <c r="S74" i="8"/>
  <c r="T74" i="8"/>
  <c r="V74" i="8"/>
  <c r="K75" i="8"/>
  <c r="N75" i="8" s="1"/>
  <c r="P75" i="8"/>
  <c r="O75" i="8"/>
  <c r="S75" i="8"/>
  <c r="T75" i="8"/>
  <c r="V75" i="8"/>
  <c r="K76" i="8"/>
  <c r="N76" i="8" s="1"/>
  <c r="P76" i="8" s="1"/>
  <c r="O76" i="8"/>
  <c r="S76" i="8"/>
  <c r="T76" i="8"/>
  <c r="V76" i="8" s="1"/>
  <c r="K77" i="8"/>
  <c r="N77" i="8" s="1"/>
  <c r="P77" i="8" s="1"/>
  <c r="M77" i="8"/>
  <c r="O77" i="8"/>
  <c r="S77" i="8"/>
  <c r="T77" i="8"/>
  <c r="V77" i="8" s="1"/>
  <c r="K78" i="8"/>
  <c r="N78" i="8" s="1"/>
  <c r="M78" i="8"/>
  <c r="P78" i="8"/>
  <c r="O78" i="8"/>
  <c r="S78" i="8"/>
  <c r="T78" i="8"/>
  <c r="V78" i="8" s="1"/>
  <c r="K79" i="8"/>
  <c r="O79" i="8"/>
  <c r="S79" i="8"/>
  <c r="T79" i="8"/>
  <c r="V79" i="8"/>
  <c r="K80" i="8"/>
  <c r="N80" i="8" s="1"/>
  <c r="P80" i="8" s="1"/>
  <c r="M80" i="8"/>
  <c r="O80" i="8"/>
  <c r="S80" i="8"/>
  <c r="T80" i="8"/>
  <c r="V80" i="8" s="1"/>
  <c r="K81" i="8"/>
  <c r="N81" i="8" s="1"/>
  <c r="P81" i="8"/>
  <c r="O81" i="8"/>
  <c r="S81" i="8"/>
  <c r="T81" i="8"/>
  <c r="V81" i="8" s="1"/>
  <c r="K82" i="8"/>
  <c r="N82" i="8" s="1"/>
  <c r="M82" i="8"/>
  <c r="P82" i="8"/>
  <c r="O82" i="8"/>
  <c r="S82" i="8"/>
  <c r="T82" i="8"/>
  <c r="V82" i="8"/>
  <c r="K83" i="8"/>
  <c r="N83" i="8" s="1"/>
  <c r="P83" i="8"/>
  <c r="O83" i="8"/>
  <c r="S83" i="8"/>
  <c r="T83" i="8"/>
  <c r="V83" i="8"/>
  <c r="K84" i="8"/>
  <c r="N84" i="8" s="1"/>
  <c r="P84" i="8" s="1"/>
  <c r="O84" i="8"/>
  <c r="S84" i="8"/>
  <c r="T84" i="8"/>
  <c r="V84" i="8" s="1"/>
  <c r="K85" i="8"/>
  <c r="N85" i="8" s="1"/>
  <c r="P85" i="8" s="1"/>
  <c r="M85" i="8"/>
  <c r="O85" i="8"/>
  <c r="S85" i="8"/>
  <c r="T85" i="8"/>
  <c r="V85" i="8"/>
  <c r="K86" i="8"/>
  <c r="N86" i="8" s="1"/>
  <c r="M86" i="8"/>
  <c r="P86" i="8"/>
  <c r="O86" i="8"/>
  <c r="S86" i="8"/>
  <c r="T86" i="8"/>
  <c r="V86" i="8" s="1"/>
  <c r="K87" i="8"/>
  <c r="O87" i="8"/>
  <c r="S87" i="8"/>
  <c r="T87" i="8"/>
  <c r="V87" i="8"/>
  <c r="K88" i="8"/>
  <c r="N88" i="8" s="1"/>
  <c r="P88" i="8" s="1"/>
  <c r="M88" i="8"/>
  <c r="O88" i="8"/>
  <c r="S88" i="8"/>
  <c r="T88" i="8"/>
  <c r="V88" i="8" s="1"/>
  <c r="K89" i="8"/>
  <c r="N89" i="8" s="1"/>
  <c r="P89" i="8"/>
  <c r="O89" i="8"/>
  <c r="S89" i="8"/>
  <c r="T89" i="8"/>
  <c r="V89" i="8" s="1"/>
  <c r="K90" i="8"/>
  <c r="N90" i="8" s="1"/>
  <c r="M90" i="8"/>
  <c r="P90" i="8"/>
  <c r="O90" i="8"/>
  <c r="S90" i="8"/>
  <c r="T90" i="8"/>
  <c r="V90" i="8"/>
  <c r="K92" i="8"/>
  <c r="M92" i="8" s="1"/>
  <c r="O92" i="8"/>
  <c r="S92" i="8"/>
  <c r="T92" i="8"/>
  <c r="V92" i="8"/>
  <c r="K93" i="8"/>
  <c r="M93" i="8" s="1"/>
  <c r="N93" i="8"/>
  <c r="O93" i="8"/>
  <c r="S93" i="8"/>
  <c r="T93" i="8"/>
  <c r="V93" i="8"/>
  <c r="K94" i="8"/>
  <c r="M94" i="8"/>
  <c r="N94" i="8"/>
  <c r="P94" i="8" s="1"/>
  <c r="O94" i="8"/>
  <c r="S94" i="8"/>
  <c r="T94" i="8"/>
  <c r="V94" i="8"/>
  <c r="K95" i="8"/>
  <c r="M95" i="8"/>
  <c r="N95" i="8"/>
  <c r="O95" i="8"/>
  <c r="S95" i="8"/>
  <c r="T95" i="8"/>
  <c r="V95" i="8"/>
  <c r="K96" i="8"/>
  <c r="O96" i="8"/>
  <c r="S96" i="8"/>
  <c r="T96" i="8"/>
  <c r="V96" i="8"/>
  <c r="K97" i="8"/>
  <c r="O97" i="8"/>
  <c r="S97" i="8"/>
  <c r="T97" i="8"/>
  <c r="V97" i="8" s="1"/>
  <c r="K98" i="8"/>
  <c r="N98" i="8" s="1"/>
  <c r="O98" i="8"/>
  <c r="P98" i="8"/>
  <c r="S98" i="8"/>
  <c r="T98" i="8"/>
  <c r="V98" i="8" s="1"/>
  <c r="K99" i="8"/>
  <c r="M99" i="8" s="1"/>
  <c r="N99" i="8"/>
  <c r="P99" i="8"/>
  <c r="O99" i="8"/>
  <c r="S99" i="8"/>
  <c r="T99" i="8"/>
  <c r="V99" i="8" s="1"/>
  <c r="K100" i="8"/>
  <c r="O100" i="8"/>
  <c r="S100" i="8"/>
  <c r="T100" i="8"/>
  <c r="V100" i="8"/>
  <c r="K101" i="8"/>
  <c r="M101" i="8" s="1"/>
  <c r="O101" i="8"/>
  <c r="S101" i="8"/>
  <c r="T101" i="8"/>
  <c r="V101" i="8" s="1"/>
  <c r="K102" i="8"/>
  <c r="N102" i="8" s="1"/>
  <c r="P102" i="8" s="1"/>
  <c r="M102" i="8"/>
  <c r="O102" i="8"/>
  <c r="S102" i="8"/>
  <c r="T102" i="8"/>
  <c r="V102" i="8" s="1"/>
  <c r="K103" i="8"/>
  <c r="N103" i="8" s="1"/>
  <c r="M103" i="8"/>
  <c r="O103" i="8"/>
  <c r="P103" i="8" s="1"/>
  <c r="S103" i="8"/>
  <c r="T103" i="8"/>
  <c r="V103" i="8"/>
  <c r="K104" i="8"/>
  <c r="O104" i="8"/>
  <c r="S104" i="8"/>
  <c r="T104" i="8"/>
  <c r="V104" i="8" s="1"/>
  <c r="K105" i="8"/>
  <c r="S105" i="8"/>
  <c r="V105" i="8"/>
  <c r="K108" i="8"/>
  <c r="K108" i="25" s="1"/>
  <c r="O108" i="8"/>
  <c r="S108" i="8"/>
  <c r="T108" i="8"/>
  <c r="V108" i="8" s="1"/>
  <c r="K109" i="8"/>
  <c r="N109" i="8" s="1"/>
  <c r="M109" i="8"/>
  <c r="P109" i="8"/>
  <c r="O109" i="8"/>
  <c r="S109" i="8"/>
  <c r="T109" i="8"/>
  <c r="V109" i="8"/>
  <c r="K110" i="8"/>
  <c r="N110" i="8" s="1"/>
  <c r="O110" i="8"/>
  <c r="P110" i="8" s="1"/>
  <c r="S110" i="8"/>
  <c r="T110" i="8"/>
  <c r="V110" i="8" s="1"/>
  <c r="K111" i="8"/>
  <c r="M111" i="8"/>
  <c r="O111" i="8"/>
  <c r="S111" i="8"/>
  <c r="T111" i="8"/>
  <c r="V111" i="8"/>
  <c r="O112" i="8"/>
  <c r="Q112" i="8"/>
  <c r="K113" i="8"/>
  <c r="N113" i="8" s="1"/>
  <c r="M113" i="8"/>
  <c r="O113" i="8"/>
  <c r="S113" i="8"/>
  <c r="T113" i="8"/>
  <c r="V113" i="8" s="1"/>
  <c r="O114" i="8"/>
  <c r="Q114" i="8"/>
  <c r="O115" i="8"/>
  <c r="Q115" i="8"/>
  <c r="O116" i="8"/>
  <c r="Q116" i="8"/>
  <c r="O117" i="8"/>
  <c r="Q117" i="8"/>
  <c r="O118" i="8"/>
  <c r="Q118" i="8"/>
  <c r="O119" i="8"/>
  <c r="Q119" i="8"/>
  <c r="T119" i="8" s="1"/>
  <c r="V119" i="8" s="1"/>
  <c r="S119" i="8"/>
  <c r="O120" i="8"/>
  <c r="Q120" i="8"/>
  <c r="K120" i="8" s="1"/>
  <c r="T120" i="8"/>
  <c r="V120" i="8"/>
  <c r="O121" i="8"/>
  <c r="Q121" i="8"/>
  <c r="K121" i="8" s="1"/>
  <c r="S121" i="8"/>
  <c r="T121" i="8"/>
  <c r="V121" i="8" s="1"/>
  <c r="K122" i="8"/>
  <c r="N122" i="8" s="1"/>
  <c r="M122" i="8"/>
  <c r="O122" i="8"/>
  <c r="P122" i="8" s="1"/>
  <c r="S122" i="8"/>
  <c r="T122" i="8"/>
  <c r="V122" i="8"/>
  <c r="K123" i="8"/>
  <c r="M123" i="8" s="1"/>
  <c r="O123" i="8"/>
  <c r="S123" i="8"/>
  <c r="T123" i="8"/>
  <c r="V123" i="8" s="1"/>
  <c r="K124" i="8"/>
  <c r="N124" i="8" s="1"/>
  <c r="M124" i="8"/>
  <c r="O124" i="8"/>
  <c r="P124" i="8"/>
  <c r="S124" i="8"/>
  <c r="T124" i="8"/>
  <c r="V124" i="8" s="1"/>
  <c r="O125" i="8"/>
  <c r="Q125" i="8"/>
  <c r="K125" i="8" s="1"/>
  <c r="M125" i="8" s="1"/>
  <c r="S125" i="8"/>
  <c r="T125" i="8"/>
  <c r="V125" i="8" s="1"/>
  <c r="K126" i="8"/>
  <c r="N126" i="8"/>
  <c r="P126" i="8"/>
  <c r="M126" i="8"/>
  <c r="O126" i="8"/>
  <c r="S126" i="8"/>
  <c r="T126" i="8"/>
  <c r="V126" i="8" s="1"/>
  <c r="K127" i="8"/>
  <c r="O127" i="8"/>
  <c r="S127" i="8"/>
  <c r="T127" i="8"/>
  <c r="V127" i="8" s="1"/>
  <c r="K128" i="8"/>
  <c r="N128" i="8" s="1"/>
  <c r="P128" i="8" s="1"/>
  <c r="M128" i="8"/>
  <c r="O128" i="8"/>
  <c r="S128" i="8"/>
  <c r="T128" i="8"/>
  <c r="V128" i="8" s="1"/>
  <c r="K129" i="8"/>
  <c r="M129" i="8" s="1"/>
  <c r="N129" i="8"/>
  <c r="O129" i="8"/>
  <c r="S129" i="8"/>
  <c r="T129" i="8"/>
  <c r="V129" i="8" s="1"/>
  <c r="K130" i="8"/>
  <c r="M130" i="8" s="1"/>
  <c r="O130" i="8"/>
  <c r="S130" i="8"/>
  <c r="T130" i="8"/>
  <c r="V130" i="8"/>
  <c r="K131" i="8"/>
  <c r="N131" i="8" s="1"/>
  <c r="M131" i="8"/>
  <c r="O131" i="8"/>
  <c r="P131" i="8" s="1"/>
  <c r="S131" i="8"/>
  <c r="T131" i="8"/>
  <c r="V131" i="8"/>
  <c r="K132" i="8"/>
  <c r="M132" i="8" s="1"/>
  <c r="N132" i="8"/>
  <c r="O132" i="8"/>
  <c r="P132" i="8" s="1"/>
  <c r="S132" i="8"/>
  <c r="T132" i="8"/>
  <c r="V132" i="8"/>
  <c r="K133" i="8"/>
  <c r="M133" i="8" s="1"/>
  <c r="N133" i="8"/>
  <c r="O133" i="8"/>
  <c r="S133" i="8"/>
  <c r="T133" i="8"/>
  <c r="V133" i="8"/>
  <c r="K134" i="8"/>
  <c r="N134" i="8" s="1"/>
  <c r="O134" i="8"/>
  <c r="P134" i="8"/>
  <c r="S134" i="8"/>
  <c r="T134" i="8"/>
  <c r="V134" i="8"/>
  <c r="K135" i="8"/>
  <c r="K136" i="8"/>
  <c r="O136" i="8"/>
  <c r="S136" i="8"/>
  <c r="T136" i="8"/>
  <c r="V136" i="8" s="1"/>
  <c r="K137" i="8"/>
  <c r="N137" i="8"/>
  <c r="P137" i="8" s="1"/>
  <c r="O137" i="8"/>
  <c r="S137" i="8"/>
  <c r="T137" i="8"/>
  <c r="V137" i="8" s="1"/>
  <c r="K138" i="8"/>
  <c r="O138" i="8"/>
  <c r="S138" i="8"/>
  <c r="T138" i="8"/>
  <c r="V138" i="8" s="1"/>
  <c r="K139" i="8"/>
  <c r="O139" i="8"/>
  <c r="S139" i="8"/>
  <c r="T139" i="8"/>
  <c r="V139" i="8" s="1"/>
  <c r="K140" i="8"/>
  <c r="O140" i="8"/>
  <c r="S140" i="8"/>
  <c r="T140" i="8"/>
  <c r="V140" i="8"/>
  <c r="K141" i="8"/>
  <c r="O141" i="8"/>
  <c r="S141" i="8"/>
  <c r="T141" i="8"/>
  <c r="V141" i="8"/>
  <c r="K142" i="8"/>
  <c r="N142" i="8" s="1"/>
  <c r="O142" i="8"/>
  <c r="S142" i="8"/>
  <c r="T142" i="8"/>
  <c r="V142" i="8"/>
  <c r="K143" i="8"/>
  <c r="M143" i="8"/>
  <c r="O143" i="8"/>
  <c r="S143" i="8"/>
  <c r="T143" i="8"/>
  <c r="V143" i="8"/>
  <c r="K144" i="8"/>
  <c r="M144" i="8"/>
  <c r="N144" i="8"/>
  <c r="P144" i="8" s="1"/>
  <c r="O144" i="8"/>
  <c r="S144" i="8"/>
  <c r="T144" i="8"/>
  <c r="V144" i="8"/>
  <c r="K145" i="8"/>
  <c r="M145" i="8" s="1"/>
  <c r="N145" i="8"/>
  <c r="P145" i="8" s="1"/>
  <c r="O145" i="8"/>
  <c r="S145" i="8"/>
  <c r="T145" i="8"/>
  <c r="V145" i="8"/>
  <c r="K146" i="8"/>
  <c r="M146" i="8"/>
  <c r="O146" i="8"/>
  <c r="S146" i="8"/>
  <c r="T146" i="8"/>
  <c r="V146" i="8" s="1"/>
  <c r="K147" i="8"/>
  <c r="M147" i="8"/>
  <c r="O147" i="8"/>
  <c r="S147" i="8"/>
  <c r="T147" i="8"/>
  <c r="V147" i="8" s="1"/>
  <c r="K148" i="8"/>
  <c r="M148" i="8" s="1"/>
  <c r="O148" i="8"/>
  <c r="S148" i="8"/>
  <c r="T148" i="8"/>
  <c r="V148" i="8" s="1"/>
  <c r="K149" i="8"/>
  <c r="M149" i="8" s="1"/>
  <c r="O149" i="8"/>
  <c r="S149" i="8"/>
  <c r="T149" i="8"/>
  <c r="V149" i="8"/>
  <c r="K150" i="8"/>
  <c r="O150" i="8"/>
  <c r="S150" i="8"/>
  <c r="T150" i="8"/>
  <c r="V150" i="8" s="1"/>
  <c r="K151" i="8"/>
  <c r="O151" i="8"/>
  <c r="S151" i="8"/>
  <c r="T151" i="8"/>
  <c r="V151" i="8" s="1"/>
  <c r="K152" i="8"/>
  <c r="O152" i="8"/>
  <c r="S152" i="8"/>
  <c r="T152" i="8"/>
  <c r="V152" i="8" s="1"/>
  <c r="K153" i="8"/>
  <c r="M153" i="8" s="1"/>
  <c r="O153" i="8"/>
  <c r="S153" i="8"/>
  <c r="T153" i="8"/>
  <c r="V153" i="8"/>
  <c r="K154" i="8"/>
  <c r="N154" i="8" s="1"/>
  <c r="P154" i="8" s="1"/>
  <c r="M154" i="8"/>
  <c r="O154" i="8"/>
  <c r="S154" i="8"/>
  <c r="T154" i="8"/>
  <c r="V154" i="8"/>
  <c r="K155" i="8"/>
  <c r="M155" i="8" s="1"/>
  <c r="N155" i="8"/>
  <c r="O155" i="8"/>
  <c r="S155" i="8"/>
  <c r="T155" i="8"/>
  <c r="V155" i="8"/>
  <c r="K156" i="8"/>
  <c r="K157" i="8"/>
  <c r="M157" i="8" s="1"/>
  <c r="O157" i="8"/>
  <c r="S157" i="8"/>
  <c r="S156" i="8"/>
  <c r="T157" i="8"/>
  <c r="V157" i="8" s="1"/>
  <c r="K158" i="8"/>
  <c r="N158" i="8" s="1"/>
  <c r="M158" i="8"/>
  <c r="O158" i="8"/>
  <c r="P158" i="8" s="1"/>
  <c r="S158" i="8"/>
  <c r="T158" i="8"/>
  <c r="V158" i="8"/>
  <c r="K159" i="8"/>
  <c r="N159" i="8"/>
  <c r="M159" i="8"/>
  <c r="O159" i="8"/>
  <c r="P159" i="8"/>
  <c r="S159" i="8"/>
  <c r="T159" i="8"/>
  <c r="V159" i="8" s="1"/>
  <c r="K160" i="8"/>
  <c r="O160" i="8"/>
  <c r="S160" i="8"/>
  <c r="T160" i="8"/>
  <c r="V160" i="8"/>
  <c r="K161" i="8"/>
  <c r="N161" i="8"/>
  <c r="P161" i="8" s="1"/>
  <c r="M161" i="8"/>
  <c r="O161" i="8"/>
  <c r="S161" i="8"/>
  <c r="T161" i="8"/>
  <c r="V161" i="8"/>
  <c r="K162" i="8"/>
  <c r="N162" i="8"/>
  <c r="P162" i="8" s="1"/>
  <c r="M162" i="8"/>
  <c r="O162" i="8"/>
  <c r="S162" i="8"/>
  <c r="T162" i="8"/>
  <c r="V162" i="8"/>
  <c r="K163" i="8"/>
  <c r="M163" i="8"/>
  <c r="O163" i="8"/>
  <c r="S163" i="8"/>
  <c r="T163" i="8"/>
  <c r="V163" i="8" s="1"/>
  <c r="K164" i="8"/>
  <c r="M164" i="8"/>
  <c r="O164" i="8"/>
  <c r="S164" i="8"/>
  <c r="T164" i="8"/>
  <c r="V164" i="8" s="1"/>
  <c r="K165" i="8"/>
  <c r="M165" i="8" s="1"/>
  <c r="O165" i="8"/>
  <c r="S165" i="8"/>
  <c r="T165" i="8"/>
  <c r="V165" i="8" s="1"/>
  <c r="K166" i="8"/>
  <c r="M166" i="8" s="1"/>
  <c r="O166" i="8"/>
  <c r="S166" i="8"/>
  <c r="T166" i="8"/>
  <c r="V166" i="8"/>
  <c r="K167" i="8"/>
  <c r="M167" i="8"/>
  <c r="O167" i="8"/>
  <c r="S167" i="8"/>
  <c r="T167" i="8"/>
  <c r="V167" i="8" s="1"/>
  <c r="K168" i="8"/>
  <c r="M168" i="8"/>
  <c r="O168" i="8"/>
  <c r="S168" i="8"/>
  <c r="T168" i="8"/>
  <c r="V168" i="8" s="1"/>
  <c r="K169" i="8"/>
  <c r="M169" i="8" s="1"/>
  <c r="O169" i="8"/>
  <c r="S169" i="8"/>
  <c r="T169" i="8"/>
  <c r="V169" i="8"/>
  <c r="K170" i="8"/>
  <c r="M170" i="8" s="1"/>
  <c r="O170" i="8"/>
  <c r="S170" i="8"/>
  <c r="T170" i="8"/>
  <c r="V170" i="8"/>
  <c r="K171" i="8"/>
  <c r="M171" i="8"/>
  <c r="O171" i="8"/>
  <c r="S171" i="8"/>
  <c r="T171" i="8"/>
  <c r="V171" i="8" s="1"/>
  <c r="K174" i="8"/>
  <c r="M174" i="8"/>
  <c r="O174" i="8"/>
  <c r="S174" i="8"/>
  <c r="T174" i="8"/>
  <c r="V174" i="8" s="1"/>
  <c r="K175" i="8"/>
  <c r="M175" i="8" s="1"/>
  <c r="O175" i="8"/>
  <c r="S175" i="8"/>
  <c r="T175" i="8"/>
  <c r="V175" i="8" s="1"/>
  <c r="K176" i="8"/>
  <c r="M176" i="8" s="1"/>
  <c r="O176" i="8"/>
  <c r="S176" i="8"/>
  <c r="T176" i="8"/>
  <c r="V176" i="8"/>
  <c r="K177" i="8"/>
  <c r="M177" i="8"/>
  <c r="O177" i="8"/>
  <c r="S177" i="8"/>
  <c r="T177" i="8"/>
  <c r="V177" i="8" s="1"/>
  <c r="O178" i="8"/>
  <c r="Q178" i="8"/>
  <c r="S178" i="8" s="1"/>
  <c r="O179" i="8"/>
  <c r="Q179" i="8"/>
  <c r="T179" i="8" s="1"/>
  <c r="V179" i="8" s="1"/>
  <c r="O180" i="8"/>
  <c r="Q180" i="8"/>
  <c r="K180" i="8" s="1"/>
  <c r="M180" i="8" s="1"/>
  <c r="S180" i="8"/>
  <c r="T180" i="8"/>
  <c r="V180" i="8" s="1"/>
  <c r="K181" i="8"/>
  <c r="O181" i="8"/>
  <c r="Q181" i="8"/>
  <c r="S181" i="8"/>
  <c r="K182" i="8"/>
  <c r="M182" i="8"/>
  <c r="O182" i="8"/>
  <c r="Q182" i="8"/>
  <c r="S182" i="8"/>
  <c r="T182" i="8"/>
  <c r="V182" i="8" s="1"/>
  <c r="O183" i="8"/>
  <c r="Q183" i="8"/>
  <c r="T183" i="8" s="1"/>
  <c r="K183" i="8"/>
  <c r="S183" i="8"/>
  <c r="V183" i="8"/>
  <c r="O184" i="8"/>
  <c r="Q184" i="8"/>
  <c r="O185" i="8"/>
  <c r="Q185" i="8"/>
  <c r="S185" i="8"/>
  <c r="K186" i="8"/>
  <c r="M186" i="8" s="1"/>
  <c r="O186" i="8"/>
  <c r="S186" i="8"/>
  <c r="T186" i="8"/>
  <c r="V186" i="8" s="1"/>
  <c r="O187" i="8"/>
  <c r="Q187" i="8"/>
  <c r="S187" i="8" s="1"/>
  <c r="T187" i="8"/>
  <c r="V187" i="8"/>
  <c r="K188" i="8"/>
  <c r="N188" i="8" s="1"/>
  <c r="M188" i="8"/>
  <c r="O188" i="8"/>
  <c r="P188" i="8" s="1"/>
  <c r="S188" i="8"/>
  <c r="T188" i="8"/>
  <c r="V188" i="8"/>
  <c r="K189" i="8"/>
  <c r="N189" i="8" s="1"/>
  <c r="M189" i="8"/>
  <c r="O189" i="8"/>
  <c r="S189" i="8"/>
  <c r="T189" i="8"/>
  <c r="V189" i="8" s="1"/>
  <c r="K190" i="8"/>
  <c r="N190" i="8" s="1"/>
  <c r="M190" i="8"/>
  <c r="O190" i="8"/>
  <c r="S190" i="8"/>
  <c r="T190" i="8"/>
  <c r="V190" i="8"/>
  <c r="K191" i="8"/>
  <c r="O191" i="8"/>
  <c r="Q191" i="8"/>
  <c r="S191" i="8" s="1"/>
  <c r="T191" i="8"/>
  <c r="V191" i="8"/>
  <c r="K192" i="8"/>
  <c r="O192" i="8"/>
  <c r="S192" i="8"/>
  <c r="T192" i="8"/>
  <c r="V192" i="8" s="1"/>
  <c r="K193" i="8"/>
  <c r="N193" i="8" s="1"/>
  <c r="P193" i="8" s="1"/>
  <c r="O193" i="8"/>
  <c r="S193" i="8"/>
  <c r="T193" i="8"/>
  <c r="V193" i="8"/>
  <c r="K194" i="8"/>
  <c r="N194" i="8" s="1"/>
  <c r="M194" i="8"/>
  <c r="P194" i="8"/>
  <c r="O194" i="8"/>
  <c r="S194" i="8"/>
  <c r="T194" i="8"/>
  <c r="V194" i="8" s="1"/>
  <c r="K195" i="8"/>
  <c r="N195" i="8" s="1"/>
  <c r="P195" i="8"/>
  <c r="O195" i="8"/>
  <c r="S195" i="8"/>
  <c r="T195" i="8"/>
  <c r="V195" i="8"/>
  <c r="K196" i="8"/>
  <c r="N196" i="8" s="1"/>
  <c r="P196" i="8" s="1"/>
  <c r="M196" i="8"/>
  <c r="O196" i="8"/>
  <c r="S196" i="8"/>
  <c r="T196" i="8"/>
  <c r="V196" i="8" s="1"/>
  <c r="K197" i="8"/>
  <c r="N197" i="8" s="1"/>
  <c r="P197" i="8"/>
  <c r="O197" i="8"/>
  <c r="S197" i="8"/>
  <c r="T197" i="8"/>
  <c r="V197" i="8" s="1"/>
  <c r="K198" i="8"/>
  <c r="N198" i="8" s="1"/>
  <c r="M198" i="8"/>
  <c r="P198" i="8"/>
  <c r="O198" i="8"/>
  <c r="S198" i="8"/>
  <c r="T198" i="8"/>
  <c r="V198" i="8"/>
  <c r="K199" i="8"/>
  <c r="N199" i="8" s="1"/>
  <c r="P199" i="8"/>
  <c r="O199" i="8"/>
  <c r="S199" i="8"/>
  <c r="T199" i="8"/>
  <c r="V199" i="8"/>
  <c r="K200" i="8"/>
  <c r="O200" i="8"/>
  <c r="S200" i="8"/>
  <c r="T200" i="8"/>
  <c r="V200" i="8" s="1"/>
  <c r="K202" i="8"/>
  <c r="O202" i="8"/>
  <c r="S202" i="8"/>
  <c r="T202" i="8"/>
  <c r="V202" i="8"/>
  <c r="K203" i="8"/>
  <c r="M203" i="8" s="1"/>
  <c r="N203" i="8"/>
  <c r="P203" i="8" s="1"/>
  <c r="O203" i="8"/>
  <c r="S203" i="8"/>
  <c r="T203" i="8"/>
  <c r="V203" i="8"/>
  <c r="K204" i="8"/>
  <c r="M204" i="8" s="1"/>
  <c r="N204" i="8"/>
  <c r="P204" i="8" s="1"/>
  <c r="O204" i="8"/>
  <c r="S204" i="8"/>
  <c r="T204" i="8"/>
  <c r="V204" i="8" s="1"/>
  <c r="K205" i="8"/>
  <c r="M205" i="8" s="1"/>
  <c r="N205" i="8"/>
  <c r="P205" i="8" s="1"/>
  <c r="O205" i="8"/>
  <c r="S205" i="8"/>
  <c r="T205" i="8"/>
  <c r="V205" i="8"/>
  <c r="K206" i="8"/>
  <c r="O206" i="8"/>
  <c r="S206" i="8"/>
  <c r="T206" i="8"/>
  <c r="V206" i="8"/>
  <c r="K207" i="8"/>
  <c r="M207" i="8" s="1"/>
  <c r="N207" i="8"/>
  <c r="P207" i="8" s="1"/>
  <c r="O207" i="8"/>
  <c r="S207" i="8"/>
  <c r="T207" i="8"/>
  <c r="V207" i="8"/>
  <c r="K208" i="8"/>
  <c r="M208" i="8" s="1"/>
  <c r="N208" i="8"/>
  <c r="P208" i="8" s="1"/>
  <c r="O208" i="8"/>
  <c r="S208" i="8"/>
  <c r="T208" i="8"/>
  <c r="V208" i="8" s="1"/>
  <c r="K209" i="8"/>
  <c r="M209" i="8" s="1"/>
  <c r="N209" i="8"/>
  <c r="O209" i="8"/>
  <c r="S209" i="8"/>
  <c r="T209" i="8"/>
  <c r="V209" i="8"/>
  <c r="K210" i="8"/>
  <c r="M210" i="8"/>
  <c r="N210" i="8"/>
  <c r="P210" i="8"/>
  <c r="O210" i="8"/>
  <c r="S210" i="8"/>
  <c r="T210" i="8"/>
  <c r="V210" i="8"/>
  <c r="K211" i="8"/>
  <c r="M211" i="8"/>
  <c r="N211" i="8"/>
  <c r="P211" i="8"/>
  <c r="O211" i="8"/>
  <c r="S211" i="8"/>
  <c r="T211" i="8"/>
  <c r="V211" i="8"/>
  <c r="K212" i="8"/>
  <c r="M212" i="8"/>
  <c r="N212" i="8"/>
  <c r="P212" i="8"/>
  <c r="O212" i="8"/>
  <c r="S212" i="8"/>
  <c r="T212" i="8"/>
  <c r="V212" i="8"/>
  <c r="K213" i="8"/>
  <c r="M213" i="8"/>
  <c r="N213" i="8"/>
  <c r="P213" i="8"/>
  <c r="O213" i="8"/>
  <c r="S213" i="8"/>
  <c r="T213" i="8"/>
  <c r="V213" i="8"/>
  <c r="K214" i="8"/>
  <c r="M214" i="8"/>
  <c r="N214" i="8"/>
  <c r="P214" i="8"/>
  <c r="O214" i="8"/>
  <c r="S214" i="8"/>
  <c r="T214" i="8"/>
  <c r="V214" i="8"/>
  <c r="K215" i="8"/>
  <c r="M215" i="8"/>
  <c r="N215" i="8"/>
  <c r="P215" i="8"/>
  <c r="O215" i="8"/>
  <c r="S215" i="8"/>
  <c r="T215" i="8"/>
  <c r="V215" i="8"/>
  <c r="K216" i="8"/>
  <c r="M216" i="8"/>
  <c r="N216" i="8"/>
  <c r="P216" i="8"/>
  <c r="O216" i="8"/>
  <c r="S216" i="8"/>
  <c r="T216" i="8"/>
  <c r="V216" i="8"/>
  <c r="K217" i="8"/>
  <c r="M217" i="8"/>
  <c r="N217" i="8"/>
  <c r="P217" i="8"/>
  <c r="O217" i="8"/>
  <c r="S217" i="8"/>
  <c r="T217" i="8"/>
  <c r="V217" i="8"/>
  <c r="K218" i="8"/>
  <c r="M218" i="8"/>
  <c r="N218" i="8"/>
  <c r="P218" i="8"/>
  <c r="O218" i="8"/>
  <c r="S218" i="8"/>
  <c r="T218" i="8"/>
  <c r="V218" i="8"/>
  <c r="K219" i="8"/>
  <c r="M219" i="8"/>
  <c r="N219" i="8"/>
  <c r="P219" i="8"/>
  <c r="O219" i="8"/>
  <c r="S219" i="8"/>
  <c r="T219" i="8"/>
  <c r="V219" i="8"/>
  <c r="K220" i="8"/>
  <c r="M220" i="8"/>
  <c r="N220" i="8"/>
  <c r="P220" i="8"/>
  <c r="O220" i="8"/>
  <c r="S220" i="8"/>
  <c r="T220" i="8"/>
  <c r="V220" i="8"/>
  <c r="K221" i="8"/>
  <c r="M221" i="8"/>
  <c r="N221" i="8"/>
  <c r="P221" i="8"/>
  <c r="O221" i="8"/>
  <c r="S221" i="8"/>
  <c r="T221" i="8"/>
  <c r="V221" i="8"/>
  <c r="K223" i="8"/>
  <c r="O223" i="8"/>
  <c r="S223" i="8"/>
  <c r="T223" i="8"/>
  <c r="V223" i="8" s="1"/>
  <c r="K224" i="8"/>
  <c r="M224" i="8" s="1"/>
  <c r="N224" i="8"/>
  <c r="P224" i="8" s="1"/>
  <c r="O224" i="8"/>
  <c r="S224" i="8"/>
  <c r="T224" i="8"/>
  <c r="V224" i="8"/>
  <c r="K225" i="8"/>
  <c r="M225" i="8" s="1"/>
  <c r="N225" i="8"/>
  <c r="P225" i="8"/>
  <c r="O225" i="8"/>
  <c r="S225" i="8"/>
  <c r="T225" i="8"/>
  <c r="V225" i="8" s="1"/>
  <c r="K226" i="8"/>
  <c r="M226" i="8" s="1"/>
  <c r="O226" i="8"/>
  <c r="S226" i="8"/>
  <c r="T226" i="8"/>
  <c r="V226" i="8"/>
  <c r="K227" i="8"/>
  <c r="M227" i="8" s="1"/>
  <c r="N227" i="8"/>
  <c r="O227" i="8"/>
  <c r="P227" i="8" s="1"/>
  <c r="S227" i="8"/>
  <c r="T227" i="8"/>
  <c r="V227" i="8" s="1"/>
  <c r="K228" i="8"/>
  <c r="M228" i="8" s="1"/>
  <c r="O228" i="8"/>
  <c r="S228" i="8"/>
  <c r="T228" i="8"/>
  <c r="V228" i="8" s="1"/>
  <c r="K229" i="8"/>
  <c r="M229" i="8" s="1"/>
  <c r="N229" i="8"/>
  <c r="O229" i="8"/>
  <c r="P229" i="8" s="1"/>
  <c r="S229" i="8"/>
  <c r="T229" i="8"/>
  <c r="V229" i="8"/>
  <c r="K230" i="8"/>
  <c r="M230" i="8" s="1"/>
  <c r="O230" i="8"/>
  <c r="S230" i="8"/>
  <c r="T230" i="8"/>
  <c r="V230" i="8"/>
  <c r="K231" i="8"/>
  <c r="O231" i="8"/>
  <c r="S231" i="8"/>
  <c r="T231" i="8"/>
  <c r="V231" i="8" s="1"/>
  <c r="K232" i="8"/>
  <c r="M232" i="8" s="1"/>
  <c r="O232" i="8"/>
  <c r="S232" i="8"/>
  <c r="T232" i="8"/>
  <c r="V232" i="8"/>
  <c r="K233" i="8"/>
  <c r="M233" i="8" s="1"/>
  <c r="N233" i="8"/>
  <c r="P233" i="8" s="1"/>
  <c r="O233" i="8"/>
  <c r="S233" i="8"/>
  <c r="T233" i="8"/>
  <c r="V233" i="8" s="1"/>
  <c r="K234" i="8"/>
  <c r="M234" i="8" s="1"/>
  <c r="O234" i="8"/>
  <c r="S234" i="8"/>
  <c r="T234" i="8"/>
  <c r="V234" i="8"/>
  <c r="K235" i="8"/>
  <c r="M235" i="8" s="1"/>
  <c r="N235" i="8"/>
  <c r="O235" i="8"/>
  <c r="P235" i="8" s="1"/>
  <c r="S235" i="8"/>
  <c r="T235" i="8"/>
  <c r="V235" i="8" s="1"/>
  <c r="K236" i="8"/>
  <c r="M236" i="8" s="1"/>
  <c r="O236" i="8"/>
  <c r="S236" i="8"/>
  <c r="T236" i="8"/>
  <c r="V236" i="8" s="1"/>
  <c r="K237" i="8"/>
  <c r="M237" i="8" s="1"/>
  <c r="N237" i="8"/>
  <c r="O237" i="8"/>
  <c r="P237" i="8" s="1"/>
  <c r="S237" i="8"/>
  <c r="T237" i="8"/>
  <c r="V237" i="8" s="1"/>
  <c r="O240" i="8"/>
  <c r="Q240" i="8"/>
  <c r="S240" i="8"/>
  <c r="N241" i="8"/>
  <c r="O241" i="8"/>
  <c r="P241" i="8" s="1"/>
  <c r="Q241" i="8"/>
  <c r="K241" i="8" s="1"/>
  <c r="K242" i="8"/>
  <c r="O242" i="8"/>
  <c r="S242" i="8"/>
  <c r="T242" i="8"/>
  <c r="V242" i="8"/>
  <c r="K243" i="8"/>
  <c r="O243" i="8"/>
  <c r="S243" i="8"/>
  <c r="T243" i="8"/>
  <c r="V243" i="8" s="1"/>
  <c r="K244" i="8"/>
  <c r="O244" i="8"/>
  <c r="S244" i="8"/>
  <c r="T244" i="8"/>
  <c r="V244" i="8"/>
  <c r="K245" i="8"/>
  <c r="O245" i="8"/>
  <c r="S245" i="8"/>
  <c r="T245" i="8"/>
  <c r="V245" i="8" s="1"/>
  <c r="K247" i="8"/>
  <c r="O247" i="8"/>
  <c r="S247" i="8"/>
  <c r="T247" i="8"/>
  <c r="V247" i="8"/>
  <c r="K248" i="8"/>
  <c r="O248" i="8"/>
  <c r="S248" i="8"/>
  <c r="T248" i="8"/>
  <c r="V248" i="8"/>
  <c r="K249" i="8"/>
  <c r="O249" i="8"/>
  <c r="S249" i="8"/>
  <c r="T249" i="8"/>
  <c r="V249" i="8"/>
  <c r="K250" i="8"/>
  <c r="O250" i="8"/>
  <c r="S250" i="8"/>
  <c r="T250" i="8"/>
  <c r="V250" i="8"/>
  <c r="K251" i="8"/>
  <c r="O251" i="8"/>
  <c r="S251" i="8"/>
  <c r="T251" i="8"/>
  <c r="V251" i="8" s="1"/>
  <c r="K252" i="8"/>
  <c r="O252" i="8"/>
  <c r="S252" i="8"/>
  <c r="T252" i="8"/>
  <c r="V252" i="8" s="1"/>
  <c r="K253" i="8"/>
  <c r="O253" i="8"/>
  <c r="S253" i="8"/>
  <c r="T253" i="8"/>
  <c r="V253" i="8"/>
  <c r="K254" i="8"/>
  <c r="O254" i="8"/>
  <c r="S254" i="8"/>
  <c r="T254" i="8"/>
  <c r="V254" i="8" s="1"/>
  <c r="K255" i="8"/>
  <c r="O255" i="8"/>
  <c r="S255" i="8"/>
  <c r="T255" i="8"/>
  <c r="V255" i="8"/>
  <c r="K256" i="8"/>
  <c r="O256" i="8"/>
  <c r="S256" i="8"/>
  <c r="S246" i="8" s="1"/>
  <c r="T256" i="8"/>
  <c r="V256" i="8" s="1"/>
  <c r="O258" i="8"/>
  <c r="Q258" i="8"/>
  <c r="O259" i="8"/>
  <c r="Q259" i="8"/>
  <c r="K259" i="8" s="1"/>
  <c r="K259" i="25" s="1"/>
  <c r="S259" i="8"/>
  <c r="O260" i="8"/>
  <c r="Q260" i="8"/>
  <c r="S260" i="8"/>
  <c r="O261" i="8"/>
  <c r="Q261" i="8"/>
  <c r="K262" i="8"/>
  <c r="O262" i="8"/>
  <c r="Q262" i="8"/>
  <c r="S262" i="8"/>
  <c r="T262" i="8"/>
  <c r="V262" i="8"/>
  <c r="K263" i="8"/>
  <c r="O263" i="8"/>
  <c r="Q263" i="8"/>
  <c r="T263" i="8" s="1"/>
  <c r="S263" i="8"/>
  <c r="V263" i="8"/>
  <c r="O264" i="8"/>
  <c r="Q264" i="8"/>
  <c r="T264" i="8" s="1"/>
  <c r="V264" i="8" s="1"/>
  <c r="S264" i="8"/>
  <c r="O265" i="8"/>
  <c r="Q265" i="8"/>
  <c r="O266" i="8"/>
  <c r="Q266" i="8"/>
  <c r="K267" i="8"/>
  <c r="N267" i="8" s="1"/>
  <c r="M267" i="8"/>
  <c r="O267" i="8"/>
  <c r="P267" i="8"/>
  <c r="S267" i="8"/>
  <c r="T267" i="8"/>
  <c r="V267" i="8"/>
  <c r="K269" i="8"/>
  <c r="M269" i="8" s="1"/>
  <c r="O269" i="8"/>
  <c r="S269" i="8"/>
  <c r="T269" i="8"/>
  <c r="V269" i="8" s="1"/>
  <c r="K270" i="8"/>
  <c r="M270" i="8" s="1"/>
  <c r="N270" i="8"/>
  <c r="O270" i="8"/>
  <c r="P270" i="8" s="1"/>
  <c r="S270" i="8"/>
  <c r="T270" i="8"/>
  <c r="V270" i="8" s="1"/>
  <c r="K271" i="8"/>
  <c r="M271" i="8" s="1"/>
  <c r="O271" i="8"/>
  <c r="S271" i="8"/>
  <c r="T271" i="8"/>
  <c r="V271" i="8" s="1"/>
  <c r="K272" i="8"/>
  <c r="O272" i="8"/>
  <c r="S272" i="8"/>
  <c r="S268" i="8" s="1"/>
  <c r="T272" i="8"/>
  <c r="V272" i="8"/>
  <c r="K273" i="8"/>
  <c r="M273" i="8" s="1"/>
  <c r="N273" i="8"/>
  <c r="O273" i="8"/>
  <c r="S273" i="8"/>
  <c r="T273" i="8"/>
  <c r="V273" i="8" s="1"/>
  <c r="K274" i="8"/>
  <c r="M274" i="8" s="1"/>
  <c r="O274" i="8"/>
  <c r="S274" i="8"/>
  <c r="T274" i="8"/>
  <c r="V274" i="8"/>
  <c r="K276" i="8"/>
  <c r="M276" i="8" s="1"/>
  <c r="O276" i="8"/>
  <c r="S276" i="8"/>
  <c r="T276" i="8"/>
  <c r="V276" i="8"/>
  <c r="K277" i="8"/>
  <c r="M277" i="8"/>
  <c r="N277" i="8"/>
  <c r="O277" i="8"/>
  <c r="S277" i="8"/>
  <c r="S275" i="8" s="1"/>
  <c r="T277" i="8"/>
  <c r="V277" i="8"/>
  <c r="K278" i="8"/>
  <c r="M278" i="8"/>
  <c r="N278" i="8"/>
  <c r="O278" i="8"/>
  <c r="S278" i="8"/>
  <c r="T278" i="8"/>
  <c r="V278" i="8" s="1"/>
  <c r="K279" i="8"/>
  <c r="N279" i="8" s="1"/>
  <c r="M279" i="8"/>
  <c r="O279" i="8"/>
  <c r="P279" i="8"/>
  <c r="S279" i="8"/>
  <c r="T279" i="8"/>
  <c r="V279" i="8" s="1"/>
  <c r="K280" i="8"/>
  <c r="N280" i="8" s="1"/>
  <c r="M280" i="8"/>
  <c r="O280" i="8"/>
  <c r="P280" i="8"/>
  <c r="S280" i="8"/>
  <c r="T280" i="8"/>
  <c r="V280" i="8" s="1"/>
  <c r="K281" i="8"/>
  <c r="O281" i="8"/>
  <c r="S281" i="8"/>
  <c r="T281" i="8"/>
  <c r="V281" i="8" s="1"/>
  <c r="G282" i="8"/>
  <c r="D5" i="9"/>
  <c r="J282" i="8"/>
  <c r="E5" i="9" s="1"/>
  <c r="D292" i="8"/>
  <c r="K292" i="8"/>
  <c r="A2" i="25"/>
  <c r="T7" i="25"/>
  <c r="G8" i="25"/>
  <c r="J8" i="25"/>
  <c r="K8" i="25"/>
  <c r="L8" i="25"/>
  <c r="M8" i="25" s="1"/>
  <c r="N8" i="25"/>
  <c r="O8" i="25"/>
  <c r="P8" i="25"/>
  <c r="Q8" i="25"/>
  <c r="S8" i="25" s="1"/>
  <c r="V8" i="25"/>
  <c r="G9" i="25"/>
  <c r="J9" i="25"/>
  <c r="K9" i="25"/>
  <c r="L9" i="25"/>
  <c r="M9" i="25" s="1"/>
  <c r="N9" i="25"/>
  <c r="P9" i="25" s="1"/>
  <c r="O9" i="25"/>
  <c r="Q9" i="25"/>
  <c r="S9" i="25"/>
  <c r="V9" i="25"/>
  <c r="G10" i="25"/>
  <c r="J10" i="25"/>
  <c r="K10" i="25"/>
  <c r="L10" i="25"/>
  <c r="N10" i="25"/>
  <c r="O10" i="25"/>
  <c r="Q10" i="25"/>
  <c r="S10" i="25" s="1"/>
  <c r="V10" i="25"/>
  <c r="G11" i="25"/>
  <c r="J11" i="25"/>
  <c r="K11" i="25"/>
  <c r="L11" i="25"/>
  <c r="M11" i="25"/>
  <c r="N11" i="25"/>
  <c r="P11" i="25" s="1"/>
  <c r="O11" i="25"/>
  <c r="Q11" i="25"/>
  <c r="S11" i="25" s="1"/>
  <c r="V11" i="25"/>
  <c r="G12" i="25"/>
  <c r="J12" i="25"/>
  <c r="K12" i="25"/>
  <c r="L12" i="25"/>
  <c r="M12" i="25" s="1"/>
  <c r="N12" i="25"/>
  <c r="O12" i="25"/>
  <c r="Q12" i="25"/>
  <c r="S12" i="25"/>
  <c r="V12" i="25"/>
  <c r="G13" i="25"/>
  <c r="J13" i="25"/>
  <c r="K13" i="25"/>
  <c r="L13" i="25"/>
  <c r="M13" i="25" s="1"/>
  <c r="N13" i="25"/>
  <c r="O13" i="25"/>
  <c r="P13" i="25"/>
  <c r="Q13" i="25"/>
  <c r="S13" i="25"/>
  <c r="V13" i="25"/>
  <c r="G14" i="25"/>
  <c r="J14" i="25"/>
  <c r="K14" i="25"/>
  <c r="M14" i="25" s="1"/>
  <c r="L14" i="25"/>
  <c r="N14" i="25"/>
  <c r="O14" i="25"/>
  <c r="Q14" i="25"/>
  <c r="S14" i="25"/>
  <c r="V14" i="25"/>
  <c r="P14" i="25"/>
  <c r="G15" i="25"/>
  <c r="J15" i="25"/>
  <c r="K15" i="25"/>
  <c r="L15" i="25"/>
  <c r="M15" i="25" s="1"/>
  <c r="N15" i="25"/>
  <c r="O15" i="25"/>
  <c r="P15" i="25"/>
  <c r="Q15" i="25"/>
  <c r="S15" i="25" s="1"/>
  <c r="V15" i="25"/>
  <c r="G16" i="25"/>
  <c r="J16" i="25"/>
  <c r="K16" i="25"/>
  <c r="L16" i="25"/>
  <c r="M16" i="25"/>
  <c r="N16" i="25"/>
  <c r="O16" i="25"/>
  <c r="Q16" i="25"/>
  <c r="S16" i="25" s="1"/>
  <c r="V16" i="25"/>
  <c r="P16" i="25" s="1"/>
  <c r="G17" i="25"/>
  <c r="J17" i="25"/>
  <c r="K17" i="25"/>
  <c r="L17" i="25"/>
  <c r="M17" i="25" s="1"/>
  <c r="N17" i="25"/>
  <c r="O17" i="25"/>
  <c r="Q17" i="25"/>
  <c r="S17" i="25" s="1"/>
  <c r="V17" i="25"/>
  <c r="P17" i="25" s="1"/>
  <c r="G18" i="25"/>
  <c r="J18" i="25"/>
  <c r="K18" i="25"/>
  <c r="L18" i="25"/>
  <c r="M18" i="25" s="1"/>
  <c r="N18" i="25"/>
  <c r="O18" i="25"/>
  <c r="Q18" i="25"/>
  <c r="S18" i="25" s="1"/>
  <c r="V18" i="25"/>
  <c r="P18" i="25"/>
  <c r="G19" i="25"/>
  <c r="J19" i="25"/>
  <c r="K19" i="25"/>
  <c r="L19" i="25"/>
  <c r="M19" i="25"/>
  <c r="N19" i="25"/>
  <c r="O19" i="25"/>
  <c r="P19" i="25"/>
  <c r="Q19" i="25"/>
  <c r="S19" i="25"/>
  <c r="V19" i="25"/>
  <c r="G20" i="25"/>
  <c r="J20" i="25"/>
  <c r="K20" i="25"/>
  <c r="L20" i="25"/>
  <c r="M20" i="25"/>
  <c r="N20" i="25"/>
  <c r="O20" i="25"/>
  <c r="Q20" i="25"/>
  <c r="S20" i="25"/>
  <c r="V20" i="25"/>
  <c r="P20" i="25" s="1"/>
  <c r="G21" i="25"/>
  <c r="J21" i="25"/>
  <c r="K21" i="25"/>
  <c r="L21" i="25"/>
  <c r="M21" i="25" s="1"/>
  <c r="N21" i="25"/>
  <c r="O21" i="25"/>
  <c r="P21" i="25"/>
  <c r="Q21" i="25"/>
  <c r="S21" i="25"/>
  <c r="V21" i="25"/>
  <c r="G22" i="25"/>
  <c r="J22" i="25"/>
  <c r="K22" i="25"/>
  <c r="L22" i="25"/>
  <c r="M22" i="25" s="1"/>
  <c r="N22" i="25"/>
  <c r="O22" i="25"/>
  <c r="Q22" i="25"/>
  <c r="S22" i="25"/>
  <c r="V22" i="25"/>
  <c r="P22" i="25"/>
  <c r="G23" i="25"/>
  <c r="J23" i="25"/>
  <c r="K23" i="25"/>
  <c r="L23" i="25"/>
  <c r="M23" i="25" s="1"/>
  <c r="N23" i="25"/>
  <c r="O23" i="25"/>
  <c r="P23" i="25"/>
  <c r="Q23" i="25"/>
  <c r="S23" i="25" s="1"/>
  <c r="V23" i="25"/>
  <c r="G24" i="25"/>
  <c r="J24" i="25"/>
  <c r="K24" i="25"/>
  <c r="L24" i="25"/>
  <c r="M24" i="25"/>
  <c r="N24" i="25"/>
  <c r="O24" i="25"/>
  <c r="Q24" i="25"/>
  <c r="S24" i="25" s="1"/>
  <c r="V24" i="25"/>
  <c r="P24" i="25" s="1"/>
  <c r="G25" i="25"/>
  <c r="J25" i="25"/>
  <c r="K25" i="25"/>
  <c r="L25" i="25"/>
  <c r="M25" i="25" s="1"/>
  <c r="N25" i="25"/>
  <c r="O25" i="25"/>
  <c r="Q25" i="25"/>
  <c r="S25" i="25" s="1"/>
  <c r="V25" i="25"/>
  <c r="P25" i="25"/>
  <c r="G26" i="25"/>
  <c r="J26" i="25"/>
  <c r="K26" i="25"/>
  <c r="L26" i="25"/>
  <c r="N26" i="25"/>
  <c r="O26" i="25"/>
  <c r="P26" i="25" s="1"/>
  <c r="Q26" i="25"/>
  <c r="S26" i="25" s="1"/>
  <c r="V26" i="25"/>
  <c r="G27" i="25"/>
  <c r="J27" i="25"/>
  <c r="K27" i="25"/>
  <c r="L27" i="25"/>
  <c r="M27" i="25"/>
  <c r="N27" i="25"/>
  <c r="O27" i="25"/>
  <c r="P27" i="25"/>
  <c r="Q27" i="25"/>
  <c r="S27" i="25"/>
  <c r="V27" i="25"/>
  <c r="G28" i="25"/>
  <c r="J28" i="25"/>
  <c r="K28" i="25"/>
  <c r="L28" i="25"/>
  <c r="M28" i="25"/>
  <c r="N28" i="25"/>
  <c r="P28" i="25" s="1"/>
  <c r="O28" i="25"/>
  <c r="Q28" i="25"/>
  <c r="S28" i="25" s="1"/>
  <c r="V28" i="25"/>
  <c r="G29" i="25"/>
  <c r="J29" i="25"/>
  <c r="K29" i="25"/>
  <c r="L29" i="25"/>
  <c r="M29" i="25" s="1"/>
  <c r="N29" i="25"/>
  <c r="O29" i="25"/>
  <c r="P29" i="25"/>
  <c r="Q29" i="25"/>
  <c r="S29" i="25"/>
  <c r="V29" i="25"/>
  <c r="G30" i="25"/>
  <c r="J30" i="25"/>
  <c r="K30" i="25"/>
  <c r="M30" i="25" s="1"/>
  <c r="L30" i="25"/>
  <c r="N30" i="25"/>
  <c r="O30" i="25"/>
  <c r="Q30" i="25"/>
  <c r="S30" i="25"/>
  <c r="V30" i="25"/>
  <c r="P30" i="25"/>
  <c r="G31" i="25"/>
  <c r="J31" i="25"/>
  <c r="K31" i="25"/>
  <c r="L31" i="25"/>
  <c r="M31" i="25" s="1"/>
  <c r="Q31" i="25"/>
  <c r="S31" i="25" s="1"/>
  <c r="V31" i="25"/>
  <c r="P31" i="25"/>
  <c r="G32" i="25"/>
  <c r="J32" i="25"/>
  <c r="K32" i="25"/>
  <c r="M32" i="25" s="1"/>
  <c r="Q32" i="25"/>
  <c r="S32" i="25" s="1"/>
  <c r="V32" i="25"/>
  <c r="P32" i="25"/>
  <c r="G34" i="25"/>
  <c r="J34" i="25"/>
  <c r="K34" i="25"/>
  <c r="L34" i="25"/>
  <c r="M34" i="25" s="1"/>
  <c r="P34" i="25"/>
  <c r="Q34" i="25"/>
  <c r="S34" i="25" s="1"/>
  <c r="G35" i="25"/>
  <c r="J35" i="25"/>
  <c r="K35" i="25"/>
  <c r="L35" i="25"/>
  <c r="M35" i="25" s="1"/>
  <c r="P35" i="25"/>
  <c r="Q35" i="25"/>
  <c r="S35" i="25"/>
  <c r="G36" i="25"/>
  <c r="J36" i="25"/>
  <c r="K36" i="25"/>
  <c r="L36" i="25"/>
  <c r="M36" i="25" s="1"/>
  <c r="N36" i="25"/>
  <c r="O36" i="25"/>
  <c r="Q36" i="25"/>
  <c r="S36" i="25" s="1"/>
  <c r="G37" i="25"/>
  <c r="J37" i="25"/>
  <c r="K37" i="25"/>
  <c r="L37" i="25"/>
  <c r="N37" i="25"/>
  <c r="P37" i="25" s="1"/>
  <c r="O37" i="25"/>
  <c r="Q37" i="25"/>
  <c r="S37" i="25"/>
  <c r="V37" i="25"/>
  <c r="G38" i="25"/>
  <c r="J38" i="25"/>
  <c r="K38" i="25"/>
  <c r="M38" i="25" s="1"/>
  <c r="L38" i="25"/>
  <c r="N38" i="25"/>
  <c r="O38" i="25"/>
  <c r="Q38" i="25"/>
  <c r="S38" i="25"/>
  <c r="V38" i="25"/>
  <c r="G39" i="25"/>
  <c r="J39" i="25"/>
  <c r="K39" i="25"/>
  <c r="L39" i="25"/>
  <c r="M39" i="25" s="1"/>
  <c r="N39" i="25"/>
  <c r="P39" i="25" s="1"/>
  <c r="O39" i="25"/>
  <c r="Q39" i="25"/>
  <c r="S39" i="25"/>
  <c r="V39" i="25"/>
  <c r="G40" i="25"/>
  <c r="J40" i="25"/>
  <c r="L40" i="25"/>
  <c r="N40" i="25"/>
  <c r="P40" i="25" s="1"/>
  <c r="O40" i="25"/>
  <c r="Q40" i="25"/>
  <c r="S40" i="25"/>
  <c r="V40" i="25"/>
  <c r="G41" i="25"/>
  <c r="J41" i="25"/>
  <c r="K41" i="25"/>
  <c r="L41" i="25"/>
  <c r="M41" i="25" s="1"/>
  <c r="N41" i="25"/>
  <c r="O41" i="25"/>
  <c r="Q41" i="25"/>
  <c r="S41" i="25" s="1"/>
  <c r="V41" i="25"/>
  <c r="G42" i="25"/>
  <c r="J42" i="25"/>
  <c r="K42" i="25"/>
  <c r="L42" i="25"/>
  <c r="M42" i="25" s="1"/>
  <c r="N42" i="25"/>
  <c r="P42" i="25" s="1"/>
  <c r="O42" i="25"/>
  <c r="Q42" i="25"/>
  <c r="S42" i="25"/>
  <c r="V42" i="25"/>
  <c r="G43" i="25"/>
  <c r="J43" i="25"/>
  <c r="K43" i="25"/>
  <c r="K33" i="25" s="1"/>
  <c r="L43" i="25"/>
  <c r="N43" i="25"/>
  <c r="P43" i="25"/>
  <c r="O43" i="25"/>
  <c r="Q43" i="25"/>
  <c r="S43" i="25" s="1"/>
  <c r="V43" i="25"/>
  <c r="G44" i="25"/>
  <c r="J44" i="25"/>
  <c r="K44" i="25"/>
  <c r="L44" i="25"/>
  <c r="M44" i="25" s="1"/>
  <c r="N44" i="25"/>
  <c r="P44" i="25" s="1"/>
  <c r="O44" i="25"/>
  <c r="Q44" i="25"/>
  <c r="S44" i="25" s="1"/>
  <c r="V44" i="25"/>
  <c r="G45" i="25"/>
  <c r="J45" i="25"/>
  <c r="K45" i="25"/>
  <c r="M45" i="25" s="1"/>
  <c r="L45" i="25"/>
  <c r="N45" i="25"/>
  <c r="P45" i="25" s="1"/>
  <c r="O45" i="25"/>
  <c r="Q45" i="25"/>
  <c r="S45" i="25" s="1"/>
  <c r="V45" i="25"/>
  <c r="G46" i="25"/>
  <c r="J46" i="25"/>
  <c r="K46" i="25"/>
  <c r="L46" i="25"/>
  <c r="M46" i="25" s="1"/>
  <c r="N46" i="25"/>
  <c r="O46" i="25"/>
  <c r="P46" i="25"/>
  <c r="Q46" i="25"/>
  <c r="S46" i="25"/>
  <c r="V46" i="25"/>
  <c r="G47" i="25"/>
  <c r="J47" i="25"/>
  <c r="K47" i="25"/>
  <c r="L47" i="25"/>
  <c r="M47" i="25"/>
  <c r="O47" i="25"/>
  <c r="Q47" i="25"/>
  <c r="S47" i="25" s="1"/>
  <c r="T47" i="25"/>
  <c r="G48" i="25"/>
  <c r="J48" i="25"/>
  <c r="K48" i="25"/>
  <c r="L48" i="25"/>
  <c r="N48" i="25"/>
  <c r="Q48" i="25"/>
  <c r="S48" i="25" s="1"/>
  <c r="U48" i="25"/>
  <c r="O48" i="25" s="1"/>
  <c r="P48" i="25"/>
  <c r="V48" i="25"/>
  <c r="G49" i="25"/>
  <c r="J49" i="25"/>
  <c r="K49" i="25"/>
  <c r="L49" i="25"/>
  <c r="M49" i="25"/>
  <c r="P49" i="25"/>
  <c r="Q49" i="25"/>
  <c r="S49" i="25" s="1"/>
  <c r="S33" i="25" s="1"/>
  <c r="G50" i="25"/>
  <c r="J50" i="25"/>
  <c r="K50" i="25"/>
  <c r="L50" i="25"/>
  <c r="M50" i="25"/>
  <c r="P50" i="25"/>
  <c r="Q50" i="25"/>
  <c r="S50" i="25" s="1"/>
  <c r="G51" i="25"/>
  <c r="J51" i="25"/>
  <c r="K51" i="25"/>
  <c r="L51" i="25"/>
  <c r="M51" i="25"/>
  <c r="P51" i="25"/>
  <c r="Q51" i="25"/>
  <c r="S51" i="25" s="1"/>
  <c r="G52" i="25"/>
  <c r="J52" i="25"/>
  <c r="K52" i="25"/>
  <c r="L52" i="25"/>
  <c r="M52" i="25"/>
  <c r="P52" i="25"/>
  <c r="Q52" i="25"/>
  <c r="S52" i="25" s="1"/>
  <c r="G53" i="25"/>
  <c r="J53" i="25"/>
  <c r="K53" i="25"/>
  <c r="L53" i="25"/>
  <c r="M53" i="25"/>
  <c r="P53" i="25"/>
  <c r="Q53" i="25"/>
  <c r="S53" i="25" s="1"/>
  <c r="G54" i="25"/>
  <c r="J54" i="25"/>
  <c r="K54" i="25"/>
  <c r="L54" i="25"/>
  <c r="M54" i="25"/>
  <c r="P54" i="25"/>
  <c r="Q54" i="25"/>
  <c r="S54" i="25" s="1"/>
  <c r="G55" i="25"/>
  <c r="J55" i="25"/>
  <c r="K55" i="25"/>
  <c r="L55" i="25"/>
  <c r="M55" i="25"/>
  <c r="P55" i="25"/>
  <c r="Q55" i="25"/>
  <c r="S55" i="25" s="1"/>
  <c r="G56" i="25"/>
  <c r="J56" i="25"/>
  <c r="K56" i="25"/>
  <c r="L56" i="25"/>
  <c r="M56" i="25"/>
  <c r="P56" i="25"/>
  <c r="Q56" i="25"/>
  <c r="S56" i="25" s="1"/>
  <c r="G57" i="25"/>
  <c r="J57" i="25"/>
  <c r="K57" i="25"/>
  <c r="L57" i="25"/>
  <c r="M57" i="25"/>
  <c r="P57" i="25"/>
  <c r="Q57" i="25"/>
  <c r="S57" i="25" s="1"/>
  <c r="G58" i="25"/>
  <c r="J58" i="25"/>
  <c r="K58" i="25"/>
  <c r="L58" i="25"/>
  <c r="M58" i="25"/>
  <c r="P58" i="25"/>
  <c r="Q58" i="25"/>
  <c r="S58" i="25" s="1"/>
  <c r="G59" i="25"/>
  <c r="J59" i="25"/>
  <c r="K59" i="25"/>
  <c r="L59" i="25"/>
  <c r="M59" i="25"/>
  <c r="P59" i="25"/>
  <c r="Q59" i="25"/>
  <c r="S59" i="25" s="1"/>
  <c r="G60" i="25"/>
  <c r="J60" i="25"/>
  <c r="K60" i="25"/>
  <c r="L60" i="25"/>
  <c r="M60" i="25"/>
  <c r="P60" i="25"/>
  <c r="Q60" i="25"/>
  <c r="S60" i="25" s="1"/>
  <c r="G61" i="25"/>
  <c r="J61" i="25"/>
  <c r="K61" i="25"/>
  <c r="L61" i="25"/>
  <c r="M61" i="25"/>
  <c r="P61" i="25"/>
  <c r="Q61" i="25"/>
  <c r="S61" i="25" s="1"/>
  <c r="G64" i="25"/>
  <c r="J64" i="25"/>
  <c r="K64" i="25"/>
  <c r="L64" i="25"/>
  <c r="M64" i="25" s="1"/>
  <c r="P64" i="25"/>
  <c r="Q64" i="25"/>
  <c r="S64" i="25"/>
  <c r="V64" i="25"/>
  <c r="G65" i="25"/>
  <c r="J65" i="25"/>
  <c r="K65" i="25"/>
  <c r="L65" i="25"/>
  <c r="M65" i="25"/>
  <c r="P65" i="25"/>
  <c r="Q65" i="25"/>
  <c r="S65" i="25" s="1"/>
  <c r="V65" i="25"/>
  <c r="G66" i="25"/>
  <c r="J66" i="25"/>
  <c r="K66" i="25"/>
  <c r="L66" i="25"/>
  <c r="M66" i="25" s="1"/>
  <c r="P66" i="25"/>
  <c r="Q66" i="25"/>
  <c r="S66" i="25"/>
  <c r="V66" i="25"/>
  <c r="G67" i="25"/>
  <c r="J67" i="25"/>
  <c r="K67" i="25"/>
  <c r="L67" i="25"/>
  <c r="M67" i="25" s="1"/>
  <c r="P67" i="25"/>
  <c r="Q67" i="25"/>
  <c r="S67" i="25" s="1"/>
  <c r="V67" i="25"/>
  <c r="G68" i="25"/>
  <c r="J68" i="25"/>
  <c r="K68" i="25"/>
  <c r="L68" i="25"/>
  <c r="M68" i="25" s="1"/>
  <c r="P68" i="25"/>
  <c r="Q68" i="25"/>
  <c r="S68" i="25"/>
  <c r="V68" i="25"/>
  <c r="G69" i="25"/>
  <c r="J69" i="25"/>
  <c r="K69" i="25"/>
  <c r="M69" i="25" s="1"/>
  <c r="L69" i="25"/>
  <c r="P69" i="25"/>
  <c r="Q69" i="25"/>
  <c r="S69" i="25" s="1"/>
  <c r="V69" i="25"/>
  <c r="G70" i="25"/>
  <c r="J70" i="25"/>
  <c r="K70" i="25"/>
  <c r="L70" i="25"/>
  <c r="M70" i="25" s="1"/>
  <c r="P70" i="25"/>
  <c r="Q70" i="25"/>
  <c r="S70" i="25"/>
  <c r="V70" i="25"/>
  <c r="G71" i="25"/>
  <c r="J71" i="25"/>
  <c r="K71" i="25"/>
  <c r="M71" i="25" s="1"/>
  <c r="L71" i="25"/>
  <c r="P71" i="25"/>
  <c r="Q71" i="25"/>
  <c r="S71" i="25"/>
  <c r="V71" i="25"/>
  <c r="G72" i="25"/>
  <c r="J72" i="25"/>
  <c r="L72" i="25"/>
  <c r="P72" i="25"/>
  <c r="Q72" i="25"/>
  <c r="S72" i="25" s="1"/>
  <c r="V72" i="25"/>
  <c r="G73" i="25"/>
  <c r="J73" i="25"/>
  <c r="K73" i="25"/>
  <c r="M73" i="25" s="1"/>
  <c r="L73" i="25"/>
  <c r="P73" i="25"/>
  <c r="Q73" i="25"/>
  <c r="S73" i="25" s="1"/>
  <c r="V73" i="25"/>
  <c r="G74" i="25"/>
  <c r="J74" i="25"/>
  <c r="K74" i="25"/>
  <c r="M74" i="25"/>
  <c r="L74" i="25"/>
  <c r="P74" i="25"/>
  <c r="Q74" i="25"/>
  <c r="S74" i="25"/>
  <c r="V74" i="25"/>
  <c r="G75" i="25"/>
  <c r="J75" i="25"/>
  <c r="K75" i="25"/>
  <c r="M75" i="25" s="1"/>
  <c r="L75" i="25"/>
  <c r="P75" i="25"/>
  <c r="Q75" i="25"/>
  <c r="S75" i="25" s="1"/>
  <c r="V75" i="25"/>
  <c r="G76" i="25"/>
  <c r="J76" i="25"/>
  <c r="K76" i="25"/>
  <c r="L76" i="25"/>
  <c r="P76" i="25"/>
  <c r="Q76" i="25"/>
  <c r="S76" i="25"/>
  <c r="V76" i="25"/>
  <c r="G77" i="25"/>
  <c r="J77" i="25"/>
  <c r="K77" i="25"/>
  <c r="M77" i="25" s="1"/>
  <c r="L77" i="25"/>
  <c r="P77" i="25"/>
  <c r="Q77" i="25"/>
  <c r="S77" i="25" s="1"/>
  <c r="V77" i="25"/>
  <c r="G78" i="25"/>
  <c r="J78" i="25"/>
  <c r="K78" i="25"/>
  <c r="L78" i="25"/>
  <c r="M78" i="25" s="1"/>
  <c r="P78" i="25"/>
  <c r="Q78" i="25"/>
  <c r="S78" i="25"/>
  <c r="V78" i="25"/>
  <c r="G79" i="25"/>
  <c r="J79" i="25"/>
  <c r="K79" i="25"/>
  <c r="M79" i="25" s="1"/>
  <c r="L79" i="25"/>
  <c r="P79" i="25"/>
  <c r="Q79" i="25"/>
  <c r="S79" i="25"/>
  <c r="V79" i="25"/>
  <c r="G80" i="25"/>
  <c r="J80" i="25"/>
  <c r="K80" i="25"/>
  <c r="L80" i="25"/>
  <c r="M80" i="25" s="1"/>
  <c r="P80" i="25"/>
  <c r="Q80" i="25"/>
  <c r="S80" i="25"/>
  <c r="V80" i="25"/>
  <c r="G81" i="25"/>
  <c r="J81" i="25"/>
  <c r="K81" i="25"/>
  <c r="L81" i="25"/>
  <c r="M81" i="25"/>
  <c r="P81" i="25"/>
  <c r="Q81" i="25"/>
  <c r="S81" i="25" s="1"/>
  <c r="V81" i="25"/>
  <c r="G82" i="25"/>
  <c r="J82" i="25"/>
  <c r="K82" i="25"/>
  <c r="M82" i="25"/>
  <c r="L82" i="25"/>
  <c r="P82" i="25"/>
  <c r="Q82" i="25"/>
  <c r="S82" i="25"/>
  <c r="V82" i="25"/>
  <c r="G83" i="25"/>
  <c r="J83" i="25"/>
  <c r="K83" i="25"/>
  <c r="L83" i="25"/>
  <c r="M83" i="25"/>
  <c r="P83" i="25"/>
  <c r="Q83" i="25"/>
  <c r="S83" i="25" s="1"/>
  <c r="V83" i="25"/>
  <c r="G84" i="25"/>
  <c r="J84" i="25"/>
  <c r="K84" i="25"/>
  <c r="L84" i="25"/>
  <c r="P84" i="25"/>
  <c r="Q84" i="25"/>
  <c r="S84" i="25"/>
  <c r="V84" i="25"/>
  <c r="G85" i="25"/>
  <c r="J85" i="25"/>
  <c r="K85" i="25"/>
  <c r="L85" i="25"/>
  <c r="M85" i="25"/>
  <c r="P85" i="25"/>
  <c r="Q85" i="25"/>
  <c r="S85" i="25" s="1"/>
  <c r="V85" i="25"/>
  <c r="G86" i="25"/>
  <c r="J86" i="25"/>
  <c r="K86" i="25"/>
  <c r="L86" i="25"/>
  <c r="M86" i="25" s="1"/>
  <c r="P86" i="25"/>
  <c r="Q86" i="25"/>
  <c r="S86" i="25"/>
  <c r="V86" i="25"/>
  <c r="G87" i="25"/>
  <c r="J87" i="25"/>
  <c r="K87" i="25"/>
  <c r="L87" i="25"/>
  <c r="M87" i="25"/>
  <c r="P87" i="25"/>
  <c r="Q87" i="25"/>
  <c r="S87" i="25" s="1"/>
  <c r="V87" i="25"/>
  <c r="G88" i="25"/>
  <c r="J88" i="25"/>
  <c r="K88" i="25"/>
  <c r="L88" i="25"/>
  <c r="M88" i="25" s="1"/>
  <c r="P88" i="25"/>
  <c r="Q88" i="25"/>
  <c r="S88" i="25" s="1"/>
  <c r="V88" i="25"/>
  <c r="G89" i="25"/>
  <c r="J89" i="25"/>
  <c r="K89" i="25"/>
  <c r="L89" i="25"/>
  <c r="M89" i="25"/>
  <c r="P89" i="25"/>
  <c r="Q89" i="25"/>
  <c r="S89" i="25" s="1"/>
  <c r="V89" i="25"/>
  <c r="G90" i="25"/>
  <c r="J90" i="25"/>
  <c r="K90" i="25"/>
  <c r="L90" i="25"/>
  <c r="M90" i="25" s="1"/>
  <c r="P90" i="25"/>
  <c r="Q90" i="25"/>
  <c r="S90" i="25"/>
  <c r="V90" i="25"/>
  <c r="G92" i="25"/>
  <c r="J92" i="25"/>
  <c r="J91" i="25" s="1"/>
  <c r="K92" i="25"/>
  <c r="L92" i="25"/>
  <c r="M92" i="25"/>
  <c r="P92" i="25"/>
  <c r="Q92" i="25"/>
  <c r="S92" i="25" s="1"/>
  <c r="V92" i="25"/>
  <c r="G93" i="25"/>
  <c r="J93" i="25"/>
  <c r="K93" i="25"/>
  <c r="L93" i="25"/>
  <c r="M93" i="25" s="1"/>
  <c r="P93" i="25"/>
  <c r="Q93" i="25"/>
  <c r="S93" i="25"/>
  <c r="V93" i="25"/>
  <c r="G94" i="25"/>
  <c r="J94" i="25"/>
  <c r="K94" i="25"/>
  <c r="L94" i="25"/>
  <c r="M94" i="25"/>
  <c r="P94" i="25"/>
  <c r="Q94" i="25"/>
  <c r="S94" i="25" s="1"/>
  <c r="V94" i="25"/>
  <c r="G95" i="25"/>
  <c r="J95" i="25"/>
  <c r="K95" i="25"/>
  <c r="L95" i="25"/>
  <c r="P95" i="25"/>
  <c r="Q95" i="25"/>
  <c r="S95" i="25" s="1"/>
  <c r="V95" i="25"/>
  <c r="G96" i="25"/>
  <c r="J96" i="25"/>
  <c r="L96" i="25"/>
  <c r="P96" i="25"/>
  <c r="Q96" i="25"/>
  <c r="S96" i="25"/>
  <c r="V96" i="25"/>
  <c r="G97" i="25"/>
  <c r="J97" i="25"/>
  <c r="K97" i="25"/>
  <c r="L97" i="25"/>
  <c r="M97" i="25"/>
  <c r="P97" i="25"/>
  <c r="Q97" i="25"/>
  <c r="S97" i="25" s="1"/>
  <c r="V97" i="25"/>
  <c r="G98" i="25"/>
  <c r="J98" i="25"/>
  <c r="K98" i="25"/>
  <c r="L98" i="25"/>
  <c r="M98" i="25"/>
  <c r="P98" i="25"/>
  <c r="Q98" i="25"/>
  <c r="S98" i="25"/>
  <c r="V98" i="25"/>
  <c r="G99" i="25"/>
  <c r="J99" i="25"/>
  <c r="K99" i="25"/>
  <c r="M99" i="25"/>
  <c r="L99" i="25"/>
  <c r="P99" i="25"/>
  <c r="Q99" i="25"/>
  <c r="S99" i="25" s="1"/>
  <c r="V99" i="25"/>
  <c r="G100" i="25"/>
  <c r="J100" i="25"/>
  <c r="K100" i="25"/>
  <c r="L100" i="25"/>
  <c r="M100" i="25" s="1"/>
  <c r="P100" i="25"/>
  <c r="Q100" i="25"/>
  <c r="S100" i="25"/>
  <c r="V100" i="25"/>
  <c r="G101" i="25"/>
  <c r="J101" i="25"/>
  <c r="K101" i="25"/>
  <c r="M101" i="25" s="1"/>
  <c r="L101" i="25"/>
  <c r="P101" i="25"/>
  <c r="Q101" i="25"/>
  <c r="S101" i="25" s="1"/>
  <c r="V101" i="25"/>
  <c r="G102" i="25"/>
  <c r="J102" i="25"/>
  <c r="K102" i="25"/>
  <c r="L102" i="25"/>
  <c r="M102" i="25" s="1"/>
  <c r="P102" i="25"/>
  <c r="Q102" i="25"/>
  <c r="S102" i="25"/>
  <c r="V102" i="25"/>
  <c r="G103" i="25"/>
  <c r="J103" i="25"/>
  <c r="K103" i="25"/>
  <c r="L103" i="25"/>
  <c r="M103" i="25" s="1"/>
  <c r="P103" i="25"/>
  <c r="Q103" i="25"/>
  <c r="S103" i="25" s="1"/>
  <c r="V103" i="25"/>
  <c r="G104" i="25"/>
  <c r="J104" i="25"/>
  <c r="L104" i="25"/>
  <c r="P104" i="25"/>
  <c r="Q104" i="25"/>
  <c r="S104" i="25"/>
  <c r="V104" i="25"/>
  <c r="G105" i="25"/>
  <c r="J105" i="25"/>
  <c r="M105" i="25"/>
  <c r="P105" i="25"/>
  <c r="Q105" i="25"/>
  <c r="S105" i="25" s="1"/>
  <c r="V105" i="25"/>
  <c r="G108" i="25"/>
  <c r="J108" i="25"/>
  <c r="L108" i="25"/>
  <c r="M108" i="25" s="1"/>
  <c r="P108" i="25"/>
  <c r="Q108" i="25"/>
  <c r="S108" i="25" s="1"/>
  <c r="V108" i="25"/>
  <c r="G109" i="25"/>
  <c r="J109" i="25"/>
  <c r="K109" i="25"/>
  <c r="L109" i="25"/>
  <c r="M109" i="25" s="1"/>
  <c r="P109" i="25"/>
  <c r="Q109" i="25"/>
  <c r="S109" i="25"/>
  <c r="V109" i="25"/>
  <c r="G110" i="25"/>
  <c r="J110" i="25"/>
  <c r="K110" i="25"/>
  <c r="L110" i="25"/>
  <c r="P110" i="25"/>
  <c r="Q110" i="25"/>
  <c r="S110" i="25" s="1"/>
  <c r="V110" i="25"/>
  <c r="G111" i="25"/>
  <c r="J111" i="25"/>
  <c r="K111" i="25"/>
  <c r="L111" i="25"/>
  <c r="P111" i="25"/>
  <c r="Q111" i="25"/>
  <c r="S111" i="25" s="1"/>
  <c r="V111" i="25"/>
  <c r="G112" i="25"/>
  <c r="J112" i="25"/>
  <c r="L112" i="25"/>
  <c r="P112" i="25"/>
  <c r="Q112" i="25"/>
  <c r="S112" i="25"/>
  <c r="V112" i="25"/>
  <c r="G113" i="25"/>
  <c r="J113" i="25"/>
  <c r="K113" i="25"/>
  <c r="L113" i="25"/>
  <c r="M113" i="25" s="1"/>
  <c r="P113" i="25"/>
  <c r="Q113" i="25"/>
  <c r="S113" i="25" s="1"/>
  <c r="V113" i="25"/>
  <c r="G114" i="25"/>
  <c r="J114" i="25"/>
  <c r="L114" i="25"/>
  <c r="P114" i="25"/>
  <c r="Q114" i="25"/>
  <c r="S114" i="25"/>
  <c r="V114" i="25"/>
  <c r="G115" i="25"/>
  <c r="J115" i="25"/>
  <c r="L115" i="25"/>
  <c r="P115" i="25"/>
  <c r="Q115" i="25"/>
  <c r="S115" i="25" s="1"/>
  <c r="V115" i="25"/>
  <c r="G116" i="25"/>
  <c r="J116" i="25"/>
  <c r="L116" i="25"/>
  <c r="P116" i="25"/>
  <c r="Q116" i="25"/>
  <c r="S116" i="25" s="1"/>
  <c r="V116" i="25"/>
  <c r="G117" i="25"/>
  <c r="J117" i="25"/>
  <c r="L117" i="25"/>
  <c r="P117" i="25"/>
  <c r="Q117" i="25"/>
  <c r="S117" i="25" s="1"/>
  <c r="V117" i="25"/>
  <c r="G118" i="25"/>
  <c r="J118" i="25"/>
  <c r="L118" i="25"/>
  <c r="P118" i="25"/>
  <c r="Q118" i="25"/>
  <c r="S118" i="25"/>
  <c r="V118" i="25"/>
  <c r="G119" i="25"/>
  <c r="J119" i="25"/>
  <c r="L119" i="25"/>
  <c r="P119" i="25"/>
  <c r="Q119" i="25"/>
  <c r="S119" i="25" s="1"/>
  <c r="V119" i="25"/>
  <c r="G120" i="25"/>
  <c r="J120" i="25"/>
  <c r="K120" i="25"/>
  <c r="L120" i="25"/>
  <c r="M120" i="25" s="1"/>
  <c r="P120" i="25"/>
  <c r="Q120" i="25"/>
  <c r="S120" i="25"/>
  <c r="V120" i="25"/>
  <c r="G121" i="25"/>
  <c r="J121" i="25"/>
  <c r="K121" i="25"/>
  <c r="L121" i="25"/>
  <c r="M121" i="25"/>
  <c r="P121" i="25"/>
  <c r="Q121" i="25"/>
  <c r="S121" i="25" s="1"/>
  <c r="V121" i="25"/>
  <c r="G122" i="25"/>
  <c r="J122" i="25"/>
  <c r="K122" i="25"/>
  <c r="L122" i="25"/>
  <c r="P122" i="25"/>
  <c r="Q122" i="25"/>
  <c r="S122" i="25"/>
  <c r="V122" i="25"/>
  <c r="G123" i="25"/>
  <c r="J123" i="25"/>
  <c r="K123" i="25"/>
  <c r="L123" i="25"/>
  <c r="P123" i="25"/>
  <c r="Q123" i="25"/>
  <c r="S123" i="25" s="1"/>
  <c r="V123" i="25"/>
  <c r="G124" i="25"/>
  <c r="J124" i="25"/>
  <c r="K124" i="25"/>
  <c r="L124" i="25"/>
  <c r="M124" i="25" s="1"/>
  <c r="P124" i="25"/>
  <c r="Q124" i="25"/>
  <c r="S124" i="25"/>
  <c r="V124" i="25"/>
  <c r="G125" i="25"/>
  <c r="J125" i="25"/>
  <c r="K125" i="25"/>
  <c r="M125" i="25" s="1"/>
  <c r="L125" i="25"/>
  <c r="P125" i="25"/>
  <c r="Q125" i="25"/>
  <c r="S125" i="25"/>
  <c r="V125" i="25"/>
  <c r="G126" i="25"/>
  <c r="J126" i="25"/>
  <c r="K126" i="25"/>
  <c r="L126" i="25"/>
  <c r="M126" i="25" s="1"/>
  <c r="P126" i="25"/>
  <c r="Q126" i="25"/>
  <c r="S126" i="25"/>
  <c r="V126" i="25"/>
  <c r="G127" i="25"/>
  <c r="J127" i="25"/>
  <c r="K127" i="25"/>
  <c r="L127" i="25"/>
  <c r="P127" i="25"/>
  <c r="Q127" i="25"/>
  <c r="S127" i="25" s="1"/>
  <c r="V127" i="25"/>
  <c r="G128" i="25"/>
  <c r="J128" i="25"/>
  <c r="K128" i="25"/>
  <c r="L128" i="25"/>
  <c r="M128" i="25" s="1"/>
  <c r="P128" i="25"/>
  <c r="Q128" i="25"/>
  <c r="S128" i="25"/>
  <c r="V128" i="25"/>
  <c r="G129" i="25"/>
  <c r="J129" i="25"/>
  <c r="K129" i="25"/>
  <c r="L129" i="25"/>
  <c r="M129" i="25"/>
  <c r="P129" i="25"/>
  <c r="Q129" i="25"/>
  <c r="S129" i="25" s="1"/>
  <c r="V129" i="25"/>
  <c r="G130" i="25"/>
  <c r="J130" i="25"/>
  <c r="K130" i="25"/>
  <c r="L130" i="25"/>
  <c r="P130" i="25"/>
  <c r="Q130" i="25"/>
  <c r="S130" i="25"/>
  <c r="V130" i="25"/>
  <c r="G131" i="25"/>
  <c r="J131" i="25"/>
  <c r="K131" i="25"/>
  <c r="L131" i="25"/>
  <c r="P131" i="25"/>
  <c r="Q131" i="25"/>
  <c r="S131" i="25" s="1"/>
  <c r="V131" i="25"/>
  <c r="G132" i="25"/>
  <c r="J132" i="25"/>
  <c r="K132" i="25"/>
  <c r="L132" i="25"/>
  <c r="M132" i="25" s="1"/>
  <c r="P132" i="25"/>
  <c r="Q132" i="25"/>
  <c r="S132" i="25"/>
  <c r="V132" i="25"/>
  <c r="G133" i="25"/>
  <c r="J133" i="25"/>
  <c r="K133" i="25"/>
  <c r="M133" i="25" s="1"/>
  <c r="L133" i="25"/>
  <c r="P133" i="25"/>
  <c r="Q133" i="25"/>
  <c r="S133" i="25"/>
  <c r="V133" i="25"/>
  <c r="G134" i="25"/>
  <c r="J134" i="25"/>
  <c r="K134" i="25"/>
  <c r="L134" i="25"/>
  <c r="M134" i="25" s="1"/>
  <c r="P134" i="25"/>
  <c r="Q134" i="25"/>
  <c r="S134" i="25"/>
  <c r="V134" i="25"/>
  <c r="G136" i="25"/>
  <c r="J136" i="25"/>
  <c r="K136" i="25"/>
  <c r="L136" i="25"/>
  <c r="P136" i="25"/>
  <c r="Q136" i="25"/>
  <c r="V136" i="25"/>
  <c r="G137" i="25"/>
  <c r="J137" i="25"/>
  <c r="K137" i="25"/>
  <c r="L137" i="25"/>
  <c r="M137" i="25" s="1"/>
  <c r="P137" i="25"/>
  <c r="Q137" i="25"/>
  <c r="S137" i="25" s="1"/>
  <c r="V137" i="25"/>
  <c r="G138" i="25"/>
  <c r="J138" i="25"/>
  <c r="K138" i="25"/>
  <c r="M138" i="25" s="1"/>
  <c r="L138" i="25"/>
  <c r="P138" i="25"/>
  <c r="Q138" i="25"/>
  <c r="S138" i="25" s="1"/>
  <c r="V138" i="25"/>
  <c r="G139" i="25"/>
  <c r="J139" i="25"/>
  <c r="K139" i="25"/>
  <c r="L139" i="25"/>
  <c r="M139" i="25" s="1"/>
  <c r="P139" i="25"/>
  <c r="Q139" i="25"/>
  <c r="S139" i="25"/>
  <c r="V139" i="25"/>
  <c r="G140" i="25"/>
  <c r="J140" i="25"/>
  <c r="L140" i="25"/>
  <c r="P140" i="25"/>
  <c r="Q140" i="25"/>
  <c r="S140" i="25" s="1"/>
  <c r="V140" i="25"/>
  <c r="G141" i="25"/>
  <c r="J141" i="25"/>
  <c r="K141" i="25"/>
  <c r="L141" i="25"/>
  <c r="P141" i="25"/>
  <c r="Q141" i="25"/>
  <c r="S141" i="25"/>
  <c r="V141" i="25"/>
  <c r="G142" i="25"/>
  <c r="J142" i="25"/>
  <c r="K142" i="25"/>
  <c r="L142" i="25"/>
  <c r="M142" i="25"/>
  <c r="P142" i="25"/>
  <c r="Q142" i="25"/>
  <c r="S142" i="25" s="1"/>
  <c r="V142" i="25"/>
  <c r="G143" i="25"/>
  <c r="J143" i="25"/>
  <c r="L143" i="25"/>
  <c r="P143" i="25"/>
  <c r="Q143" i="25"/>
  <c r="S143" i="25"/>
  <c r="V143" i="25"/>
  <c r="G144" i="25"/>
  <c r="J144" i="25"/>
  <c r="K144" i="25"/>
  <c r="L144" i="25"/>
  <c r="P144" i="25"/>
  <c r="Q144" i="25"/>
  <c r="S144" i="25" s="1"/>
  <c r="V144" i="25"/>
  <c r="G145" i="25"/>
  <c r="J145" i="25"/>
  <c r="K145" i="25"/>
  <c r="L145" i="25"/>
  <c r="M145" i="25" s="1"/>
  <c r="P145" i="25"/>
  <c r="Q145" i="25"/>
  <c r="S145" i="25" s="1"/>
  <c r="V145" i="25"/>
  <c r="G146" i="25"/>
  <c r="J146" i="25"/>
  <c r="K146" i="25"/>
  <c r="M146" i="25" s="1"/>
  <c r="L146" i="25"/>
  <c r="P146" i="25"/>
  <c r="Q146" i="25"/>
  <c r="S146" i="25" s="1"/>
  <c r="V146" i="25"/>
  <c r="G147" i="25"/>
  <c r="J147" i="25"/>
  <c r="K147" i="25"/>
  <c r="L147" i="25"/>
  <c r="M147" i="25" s="1"/>
  <c r="P147" i="25"/>
  <c r="Q147" i="25"/>
  <c r="S147" i="25"/>
  <c r="V147" i="25"/>
  <c r="G148" i="25"/>
  <c r="J148" i="25"/>
  <c r="K148" i="25"/>
  <c r="L148" i="25"/>
  <c r="M148" i="25" s="1"/>
  <c r="P148" i="25"/>
  <c r="Q148" i="25"/>
  <c r="S148" i="25" s="1"/>
  <c r="V148" i="25"/>
  <c r="G149" i="25"/>
  <c r="J149" i="25"/>
  <c r="K149" i="25"/>
  <c r="L149" i="25"/>
  <c r="P149" i="25"/>
  <c r="Q149" i="25"/>
  <c r="S149" i="25"/>
  <c r="V149" i="25"/>
  <c r="G150" i="25"/>
  <c r="J150" i="25"/>
  <c r="K150" i="25"/>
  <c r="L150" i="25"/>
  <c r="M150" i="25"/>
  <c r="P150" i="25"/>
  <c r="Q150" i="25"/>
  <c r="S150" i="25" s="1"/>
  <c r="V150" i="25"/>
  <c r="G151" i="25"/>
  <c r="J151" i="25"/>
  <c r="K151" i="25"/>
  <c r="L151" i="25"/>
  <c r="M151" i="25"/>
  <c r="P151" i="25"/>
  <c r="Q151" i="25"/>
  <c r="S151" i="25" s="1"/>
  <c r="V151" i="25"/>
  <c r="G152" i="25"/>
  <c r="J152" i="25"/>
  <c r="K152" i="25"/>
  <c r="M152" i="25"/>
  <c r="L152" i="25"/>
  <c r="P152" i="25"/>
  <c r="Q152" i="25"/>
  <c r="S152" i="25"/>
  <c r="V152" i="25"/>
  <c r="G153" i="25"/>
  <c r="J153" i="25"/>
  <c r="K153" i="25"/>
  <c r="M153" i="25" s="1"/>
  <c r="L153" i="25"/>
  <c r="P153" i="25"/>
  <c r="Q153" i="25"/>
  <c r="S153" i="25"/>
  <c r="V153" i="25"/>
  <c r="G154" i="25"/>
  <c r="J154" i="25"/>
  <c r="K154" i="25"/>
  <c r="L154" i="25"/>
  <c r="M154" i="25" s="1"/>
  <c r="P154" i="25"/>
  <c r="Q154" i="25"/>
  <c r="S154" i="25" s="1"/>
  <c r="V154" i="25"/>
  <c r="G155" i="25"/>
  <c r="J155" i="25"/>
  <c r="K155" i="25"/>
  <c r="L155" i="25"/>
  <c r="M155" i="25"/>
  <c r="P155" i="25"/>
  <c r="Q155" i="25"/>
  <c r="S155" i="25" s="1"/>
  <c r="V155" i="25"/>
  <c r="G157" i="25"/>
  <c r="J157" i="25"/>
  <c r="J156" i="25" s="1"/>
  <c r="K157" i="25"/>
  <c r="M157" i="25" s="1"/>
  <c r="L157" i="25"/>
  <c r="P157" i="25"/>
  <c r="Q157" i="25"/>
  <c r="V157" i="25"/>
  <c r="G158" i="25"/>
  <c r="J158" i="25"/>
  <c r="K158" i="25"/>
  <c r="L158" i="25"/>
  <c r="P158" i="25"/>
  <c r="Q158" i="25"/>
  <c r="S158" i="25" s="1"/>
  <c r="V158" i="25"/>
  <c r="G159" i="25"/>
  <c r="J159" i="25"/>
  <c r="K159" i="25"/>
  <c r="L159" i="25"/>
  <c r="P159" i="25"/>
  <c r="Q159" i="25"/>
  <c r="S159" i="25"/>
  <c r="V159" i="25"/>
  <c r="G160" i="25"/>
  <c r="J160" i="25"/>
  <c r="K160" i="25"/>
  <c r="L160" i="25"/>
  <c r="M160" i="25"/>
  <c r="P160" i="25"/>
  <c r="Q160" i="25"/>
  <c r="S160" i="25" s="1"/>
  <c r="V160" i="25"/>
  <c r="G161" i="25"/>
  <c r="J161" i="25"/>
  <c r="K161" i="25"/>
  <c r="L161" i="25"/>
  <c r="P161" i="25"/>
  <c r="Q161" i="25"/>
  <c r="S161" i="25" s="1"/>
  <c r="V161" i="25"/>
  <c r="G162" i="25"/>
  <c r="J162" i="25"/>
  <c r="K162" i="25"/>
  <c r="L162" i="25"/>
  <c r="M162" i="25" s="1"/>
  <c r="P162" i="25"/>
  <c r="Q162" i="25"/>
  <c r="S162" i="25"/>
  <c r="V162" i="25"/>
  <c r="G163" i="25"/>
  <c r="J163" i="25"/>
  <c r="K163" i="25"/>
  <c r="M163" i="25" s="1"/>
  <c r="L163" i="25"/>
  <c r="P163" i="25"/>
  <c r="Q163" i="25"/>
  <c r="S163" i="25"/>
  <c r="V163" i="25"/>
  <c r="G164" i="25"/>
  <c r="J164" i="25"/>
  <c r="K164" i="25"/>
  <c r="L164" i="25"/>
  <c r="M164" i="25" s="1"/>
  <c r="P164" i="25"/>
  <c r="Q164" i="25"/>
  <c r="S164" i="25" s="1"/>
  <c r="V164" i="25"/>
  <c r="G165" i="25"/>
  <c r="J165" i="25"/>
  <c r="K165" i="25"/>
  <c r="L165" i="25"/>
  <c r="M165" i="25" s="1"/>
  <c r="P165" i="25"/>
  <c r="Q165" i="25"/>
  <c r="S165" i="25" s="1"/>
  <c r="V165" i="25"/>
  <c r="G166" i="25"/>
  <c r="J166" i="25"/>
  <c r="K166" i="25"/>
  <c r="L166" i="25"/>
  <c r="M166" i="25"/>
  <c r="P166" i="25"/>
  <c r="Q166" i="25"/>
  <c r="S166" i="25"/>
  <c r="V166" i="25"/>
  <c r="G167" i="25"/>
  <c r="J167" i="25"/>
  <c r="K167" i="25"/>
  <c r="L167" i="25"/>
  <c r="M167" i="25" s="1"/>
  <c r="P167" i="25"/>
  <c r="Q167" i="25"/>
  <c r="S167" i="25" s="1"/>
  <c r="V167" i="25"/>
  <c r="G168" i="25"/>
  <c r="J168" i="25"/>
  <c r="K168" i="25"/>
  <c r="L168" i="25"/>
  <c r="M168" i="25" s="1"/>
  <c r="P168" i="25"/>
  <c r="Q168" i="25"/>
  <c r="S168" i="25"/>
  <c r="V168" i="25"/>
  <c r="G169" i="25"/>
  <c r="J169" i="25"/>
  <c r="K169" i="25"/>
  <c r="L169" i="25"/>
  <c r="M169" i="25" s="1"/>
  <c r="P169" i="25"/>
  <c r="Q169" i="25"/>
  <c r="S169" i="25" s="1"/>
  <c r="V169" i="25"/>
  <c r="G170" i="25"/>
  <c r="J170" i="25"/>
  <c r="K170" i="25"/>
  <c r="L170" i="25"/>
  <c r="M170" i="25" s="1"/>
  <c r="P170" i="25"/>
  <c r="Q170" i="25"/>
  <c r="S170" i="25"/>
  <c r="V170" i="25"/>
  <c r="G171" i="25"/>
  <c r="J171" i="25"/>
  <c r="K171" i="25"/>
  <c r="M171" i="25" s="1"/>
  <c r="L171" i="25"/>
  <c r="P171" i="25"/>
  <c r="Q171" i="25"/>
  <c r="S171" i="25"/>
  <c r="V171" i="25"/>
  <c r="G174" i="25"/>
  <c r="J174" i="25"/>
  <c r="K174" i="25"/>
  <c r="L174" i="25"/>
  <c r="M174" i="25" s="1"/>
  <c r="P174" i="25"/>
  <c r="Q174" i="25"/>
  <c r="S174" i="25" s="1"/>
  <c r="V174" i="25"/>
  <c r="G175" i="25"/>
  <c r="J175" i="25"/>
  <c r="K175" i="25"/>
  <c r="L175" i="25"/>
  <c r="M175" i="25" s="1"/>
  <c r="P175" i="25"/>
  <c r="Q175" i="25"/>
  <c r="S175" i="25" s="1"/>
  <c r="V175" i="25"/>
  <c r="G176" i="25"/>
  <c r="J176" i="25"/>
  <c r="K176" i="25"/>
  <c r="L176" i="25"/>
  <c r="M176" i="25" s="1"/>
  <c r="P176" i="25"/>
  <c r="Q176" i="25"/>
  <c r="S176" i="25"/>
  <c r="V176" i="25"/>
  <c r="G177" i="25"/>
  <c r="J177" i="25"/>
  <c r="K177" i="25"/>
  <c r="L177" i="25"/>
  <c r="P177" i="25"/>
  <c r="Q177" i="25"/>
  <c r="S177" i="25"/>
  <c r="V177" i="25"/>
  <c r="G178" i="25"/>
  <c r="J178" i="25"/>
  <c r="L178" i="25"/>
  <c r="P178" i="25"/>
  <c r="Q178" i="25"/>
  <c r="S178" i="25" s="1"/>
  <c r="V178" i="25"/>
  <c r="G179" i="25"/>
  <c r="J179" i="25"/>
  <c r="L179" i="25"/>
  <c r="P179" i="25"/>
  <c r="Q179" i="25"/>
  <c r="S179" i="25"/>
  <c r="V179" i="25"/>
  <c r="G180" i="25"/>
  <c r="J180" i="25"/>
  <c r="K180" i="25"/>
  <c r="L180" i="25"/>
  <c r="M180" i="25"/>
  <c r="P180" i="25"/>
  <c r="Q180" i="25"/>
  <c r="S180" i="25" s="1"/>
  <c r="V180" i="25"/>
  <c r="G181" i="25"/>
  <c r="J181" i="25"/>
  <c r="K181" i="25"/>
  <c r="L181" i="25"/>
  <c r="M181" i="25" s="1"/>
  <c r="P181" i="25"/>
  <c r="Q181" i="25"/>
  <c r="S181" i="25"/>
  <c r="V181" i="25"/>
  <c r="G182" i="25"/>
  <c r="J182" i="25"/>
  <c r="K182" i="25"/>
  <c r="M182" i="25" s="1"/>
  <c r="L182" i="25"/>
  <c r="P182" i="25"/>
  <c r="Q182" i="25"/>
  <c r="S182" i="25"/>
  <c r="V182" i="25"/>
  <c r="G183" i="25"/>
  <c r="J183" i="25"/>
  <c r="K183" i="25"/>
  <c r="M183" i="25"/>
  <c r="L183" i="25"/>
  <c r="P183" i="25"/>
  <c r="Q183" i="25"/>
  <c r="S183" i="25" s="1"/>
  <c r="V183" i="25"/>
  <c r="G184" i="25"/>
  <c r="J184" i="25"/>
  <c r="L184" i="25"/>
  <c r="P184" i="25"/>
  <c r="Q184" i="25"/>
  <c r="S184" i="25"/>
  <c r="V184" i="25"/>
  <c r="G185" i="25"/>
  <c r="J185" i="25"/>
  <c r="L185" i="25"/>
  <c r="P185" i="25"/>
  <c r="Q185" i="25"/>
  <c r="S185" i="25"/>
  <c r="V185" i="25"/>
  <c r="G186" i="25"/>
  <c r="J186" i="25"/>
  <c r="K186" i="25"/>
  <c r="L186" i="25"/>
  <c r="P186" i="25"/>
  <c r="Q186" i="25"/>
  <c r="S186" i="25"/>
  <c r="V186" i="25"/>
  <c r="G187" i="25"/>
  <c r="J187" i="25"/>
  <c r="L187" i="25"/>
  <c r="P187" i="25"/>
  <c r="Q187" i="25"/>
  <c r="S187" i="25"/>
  <c r="V187" i="25"/>
  <c r="G188" i="25"/>
  <c r="J188" i="25"/>
  <c r="K188" i="25"/>
  <c r="L188" i="25"/>
  <c r="M188" i="25" s="1"/>
  <c r="P188" i="25"/>
  <c r="Q188" i="25"/>
  <c r="S188" i="25" s="1"/>
  <c r="V188" i="25"/>
  <c r="G189" i="25"/>
  <c r="J189" i="25"/>
  <c r="K189" i="25"/>
  <c r="L189" i="25"/>
  <c r="M189" i="25" s="1"/>
  <c r="P189" i="25"/>
  <c r="Q189" i="25"/>
  <c r="S189" i="25" s="1"/>
  <c r="V189" i="25"/>
  <c r="G190" i="25"/>
  <c r="J190" i="25"/>
  <c r="K190" i="25"/>
  <c r="L190" i="25"/>
  <c r="M190" i="25"/>
  <c r="P190" i="25"/>
  <c r="Q190" i="25"/>
  <c r="S190" i="25"/>
  <c r="V190" i="25"/>
  <c r="G191" i="25"/>
  <c r="J191" i="25"/>
  <c r="K191" i="25"/>
  <c r="L191" i="25"/>
  <c r="M191" i="25" s="1"/>
  <c r="P191" i="25"/>
  <c r="Q191" i="25"/>
  <c r="S191" i="25" s="1"/>
  <c r="V191" i="25"/>
  <c r="G192" i="25"/>
  <c r="J192" i="25"/>
  <c r="K192" i="25"/>
  <c r="L192" i="25"/>
  <c r="M192" i="25" s="1"/>
  <c r="P192" i="25"/>
  <c r="Q192" i="25"/>
  <c r="S192" i="25"/>
  <c r="V192" i="25"/>
  <c r="G193" i="25"/>
  <c r="J193" i="25"/>
  <c r="K193" i="25"/>
  <c r="L193" i="25"/>
  <c r="M193" i="25"/>
  <c r="P193" i="25"/>
  <c r="Q193" i="25"/>
  <c r="S193" i="25" s="1"/>
  <c r="V193" i="25"/>
  <c r="G194" i="25"/>
  <c r="J194" i="25"/>
  <c r="K194" i="25"/>
  <c r="L194" i="25"/>
  <c r="P194" i="25"/>
  <c r="Q194" i="25"/>
  <c r="S194" i="25" s="1"/>
  <c r="V194" i="25"/>
  <c r="G195" i="25"/>
  <c r="J195" i="25"/>
  <c r="K195" i="25"/>
  <c r="M195" i="25"/>
  <c r="L195" i="25"/>
  <c r="P195" i="25"/>
  <c r="Q195" i="25"/>
  <c r="S195" i="25"/>
  <c r="V195" i="25"/>
  <c r="G196" i="25"/>
  <c r="J196" i="25"/>
  <c r="K196" i="25"/>
  <c r="M196" i="25" s="1"/>
  <c r="L196" i="25"/>
  <c r="P196" i="25"/>
  <c r="Q196" i="25"/>
  <c r="S196" i="25" s="1"/>
  <c r="V196" i="25"/>
  <c r="G197" i="25"/>
  <c r="J197" i="25"/>
  <c r="K197" i="25"/>
  <c r="L197" i="25"/>
  <c r="M197" i="25" s="1"/>
  <c r="P197" i="25"/>
  <c r="Q197" i="25"/>
  <c r="S197" i="25" s="1"/>
  <c r="V197" i="25"/>
  <c r="G198" i="25"/>
  <c r="J198" i="25"/>
  <c r="K198" i="25"/>
  <c r="L198" i="25"/>
  <c r="M198" i="25"/>
  <c r="P198" i="25"/>
  <c r="Q198" i="25"/>
  <c r="S198" i="25" s="1"/>
  <c r="V198" i="25"/>
  <c r="G199" i="25"/>
  <c r="J199" i="25"/>
  <c r="K199" i="25"/>
  <c r="L199" i="25"/>
  <c r="M199" i="25"/>
  <c r="P199" i="25"/>
  <c r="Q199" i="25"/>
  <c r="S199" i="25"/>
  <c r="V199" i="25"/>
  <c r="G200" i="25"/>
  <c r="J200" i="25"/>
  <c r="K200" i="25"/>
  <c r="L200" i="25"/>
  <c r="M200" i="25" s="1"/>
  <c r="P200" i="25"/>
  <c r="Q200" i="25"/>
  <c r="S200" i="25" s="1"/>
  <c r="V200" i="25"/>
  <c r="G202" i="25"/>
  <c r="J202" i="25"/>
  <c r="L202" i="25"/>
  <c r="P202" i="25"/>
  <c r="P201" i="25" s="1"/>
  <c r="Q202" i="25"/>
  <c r="V202" i="25"/>
  <c r="G203" i="25"/>
  <c r="G201" i="25" s="1"/>
  <c r="G172" i="25" s="1"/>
  <c r="J203" i="25"/>
  <c r="K203" i="25"/>
  <c r="L203" i="25"/>
  <c r="M203" i="25" s="1"/>
  <c r="P203" i="25"/>
  <c r="Q203" i="25"/>
  <c r="S203" i="25"/>
  <c r="V203" i="25"/>
  <c r="G204" i="25"/>
  <c r="J204" i="25"/>
  <c r="K204" i="25"/>
  <c r="M204" i="25" s="1"/>
  <c r="L204" i="25"/>
  <c r="P204" i="25"/>
  <c r="Q204" i="25"/>
  <c r="S204" i="25"/>
  <c r="V204" i="25"/>
  <c r="G205" i="25"/>
  <c r="J205" i="25"/>
  <c r="K205" i="25"/>
  <c r="L205" i="25"/>
  <c r="M205" i="25" s="1"/>
  <c r="P205" i="25"/>
  <c r="Q205" i="25"/>
  <c r="S205" i="25" s="1"/>
  <c r="V205" i="25"/>
  <c r="G206" i="25"/>
  <c r="J206" i="25"/>
  <c r="K206" i="25"/>
  <c r="L206" i="25"/>
  <c r="P206" i="25"/>
  <c r="Q206" i="25"/>
  <c r="S206" i="25" s="1"/>
  <c r="V206" i="25"/>
  <c r="G207" i="25"/>
  <c r="J207" i="25"/>
  <c r="K207" i="25"/>
  <c r="L207" i="25"/>
  <c r="M207" i="25"/>
  <c r="P207" i="25"/>
  <c r="Q207" i="25"/>
  <c r="S207" i="25"/>
  <c r="V207" i="25"/>
  <c r="G208" i="25"/>
  <c r="J208" i="25"/>
  <c r="K208" i="25"/>
  <c r="L208" i="25"/>
  <c r="M208" i="25" s="1"/>
  <c r="P208" i="25"/>
  <c r="Q208" i="25"/>
  <c r="S208" i="25" s="1"/>
  <c r="V208" i="25"/>
  <c r="G209" i="25"/>
  <c r="J209" i="25"/>
  <c r="J201" i="25" s="1"/>
  <c r="K209" i="25"/>
  <c r="L209" i="25"/>
  <c r="P209" i="25"/>
  <c r="Q209" i="25"/>
  <c r="S209" i="25"/>
  <c r="V209" i="25"/>
  <c r="G210" i="25"/>
  <c r="J210" i="25"/>
  <c r="K210" i="25"/>
  <c r="L210" i="25"/>
  <c r="M210" i="25"/>
  <c r="P210" i="25"/>
  <c r="Q210" i="25"/>
  <c r="S210" i="25" s="1"/>
  <c r="V210" i="25"/>
  <c r="G211" i="25"/>
  <c r="J211" i="25"/>
  <c r="K211" i="25"/>
  <c r="L211" i="25"/>
  <c r="P211" i="25"/>
  <c r="Q211" i="25"/>
  <c r="S211" i="25" s="1"/>
  <c r="V211" i="25"/>
  <c r="G212" i="25"/>
  <c r="J212" i="25"/>
  <c r="K212" i="25"/>
  <c r="M212" i="25"/>
  <c r="L212" i="25"/>
  <c r="P212" i="25"/>
  <c r="Q212" i="25"/>
  <c r="S212" i="25"/>
  <c r="V212" i="25"/>
  <c r="G213" i="25"/>
  <c r="J213" i="25"/>
  <c r="K213" i="25"/>
  <c r="M213" i="25" s="1"/>
  <c r="L213" i="25"/>
  <c r="P213" i="25"/>
  <c r="Q213" i="25"/>
  <c r="S213" i="25"/>
  <c r="V213" i="25"/>
  <c r="G214" i="25"/>
  <c r="J214" i="25"/>
  <c r="K214" i="25"/>
  <c r="M214" i="25"/>
  <c r="L214" i="25"/>
  <c r="P214" i="25"/>
  <c r="Q214" i="25"/>
  <c r="S214" i="25" s="1"/>
  <c r="V214" i="25"/>
  <c r="G215" i="25"/>
  <c r="J215" i="25"/>
  <c r="K215" i="25"/>
  <c r="L215" i="25"/>
  <c r="M215" i="25"/>
  <c r="P215" i="25"/>
  <c r="Q215" i="25"/>
  <c r="S215" i="25" s="1"/>
  <c r="V215" i="25"/>
  <c r="G216" i="25"/>
  <c r="J216" i="25"/>
  <c r="K216" i="25"/>
  <c r="L216" i="25"/>
  <c r="M216" i="25"/>
  <c r="P216" i="25"/>
  <c r="Q216" i="25"/>
  <c r="S216" i="25"/>
  <c r="V216" i="25"/>
  <c r="G217" i="25"/>
  <c r="J217" i="25"/>
  <c r="K217" i="25"/>
  <c r="L217" i="25"/>
  <c r="M217" i="25" s="1"/>
  <c r="P217" i="25"/>
  <c r="Q217" i="25"/>
  <c r="S217" i="25" s="1"/>
  <c r="V217" i="25"/>
  <c r="G218" i="25"/>
  <c r="J218" i="25"/>
  <c r="K218" i="25"/>
  <c r="L218" i="25"/>
  <c r="P218" i="25"/>
  <c r="Q218" i="25"/>
  <c r="S218" i="25"/>
  <c r="V218" i="25"/>
  <c r="G219" i="25"/>
  <c r="J219" i="25"/>
  <c r="K219" i="25"/>
  <c r="L219" i="25"/>
  <c r="M219" i="25"/>
  <c r="P219" i="25"/>
  <c r="Q219" i="25"/>
  <c r="S219" i="25" s="1"/>
  <c r="V219" i="25"/>
  <c r="G220" i="25"/>
  <c r="J220" i="25"/>
  <c r="K220" i="25"/>
  <c r="L220" i="25"/>
  <c r="M220" i="25" s="1"/>
  <c r="P220" i="25"/>
  <c r="Q220" i="25"/>
  <c r="S220" i="25"/>
  <c r="V220" i="25"/>
  <c r="G221" i="25"/>
  <c r="J221" i="25"/>
  <c r="K221" i="25"/>
  <c r="M221" i="25" s="1"/>
  <c r="L221" i="25"/>
  <c r="P221" i="25"/>
  <c r="Q221" i="25"/>
  <c r="S221" i="25"/>
  <c r="V221" i="25"/>
  <c r="G223" i="25"/>
  <c r="G222" i="25" s="1"/>
  <c r="J223" i="25"/>
  <c r="K223" i="25"/>
  <c r="L223" i="25"/>
  <c r="M223" i="25" s="1"/>
  <c r="P223" i="25"/>
  <c r="Q223" i="25"/>
  <c r="S223" i="25" s="1"/>
  <c r="V223" i="25"/>
  <c r="V222" i="25" s="1"/>
  <c r="G224" i="25"/>
  <c r="J224" i="25"/>
  <c r="K224" i="25"/>
  <c r="K222" i="25" s="1"/>
  <c r="L224" i="25"/>
  <c r="P224" i="25"/>
  <c r="Q224" i="25"/>
  <c r="V224" i="25"/>
  <c r="G225" i="25"/>
  <c r="J225" i="25"/>
  <c r="K225" i="25"/>
  <c r="L225" i="25"/>
  <c r="P225" i="25"/>
  <c r="Q225" i="25"/>
  <c r="S225" i="25"/>
  <c r="V225" i="25"/>
  <c r="G226" i="25"/>
  <c r="J226" i="25"/>
  <c r="K226" i="25"/>
  <c r="L226" i="25"/>
  <c r="M226" i="25"/>
  <c r="P226" i="25"/>
  <c r="Q226" i="25"/>
  <c r="S226" i="25" s="1"/>
  <c r="V226" i="25"/>
  <c r="G227" i="25"/>
  <c r="J227" i="25"/>
  <c r="K227" i="25"/>
  <c r="L227" i="25"/>
  <c r="M227" i="25" s="1"/>
  <c r="P227" i="25"/>
  <c r="Q227" i="25"/>
  <c r="S227" i="25"/>
  <c r="V227" i="25"/>
  <c r="G228" i="25"/>
  <c r="J228" i="25"/>
  <c r="K228" i="25"/>
  <c r="L228" i="25"/>
  <c r="P228" i="25"/>
  <c r="Q228" i="25"/>
  <c r="S228" i="25"/>
  <c r="V228" i="25"/>
  <c r="G229" i="25"/>
  <c r="J229" i="25"/>
  <c r="K229" i="25"/>
  <c r="M229" i="25" s="1"/>
  <c r="L229" i="25"/>
  <c r="P229" i="25"/>
  <c r="Q229" i="25"/>
  <c r="S229" i="25" s="1"/>
  <c r="V229" i="25"/>
  <c r="G230" i="25"/>
  <c r="J230" i="25"/>
  <c r="K230" i="25"/>
  <c r="L230" i="25"/>
  <c r="M230" i="25" s="1"/>
  <c r="P230" i="25"/>
  <c r="Q230" i="25"/>
  <c r="S230" i="25" s="1"/>
  <c r="V230" i="25"/>
  <c r="G231" i="25"/>
  <c r="J231" i="25"/>
  <c r="K231" i="25"/>
  <c r="L231" i="25"/>
  <c r="M231" i="25"/>
  <c r="P231" i="25"/>
  <c r="Q231" i="25"/>
  <c r="S231" i="25" s="1"/>
  <c r="V231" i="25"/>
  <c r="G232" i="25"/>
  <c r="J232" i="25"/>
  <c r="K232" i="25"/>
  <c r="L232" i="25"/>
  <c r="M232" i="25" s="1"/>
  <c r="P232" i="25"/>
  <c r="Q232" i="25"/>
  <c r="S232" i="25"/>
  <c r="V232" i="25"/>
  <c r="G233" i="25"/>
  <c r="J233" i="25"/>
  <c r="K233" i="25"/>
  <c r="L233" i="25"/>
  <c r="P233" i="25"/>
  <c r="Q233" i="25"/>
  <c r="S233" i="25" s="1"/>
  <c r="V233" i="25"/>
  <c r="G234" i="25"/>
  <c r="J234" i="25"/>
  <c r="K234" i="25"/>
  <c r="L234" i="25"/>
  <c r="M234" i="25" s="1"/>
  <c r="P234" i="25"/>
  <c r="Q234" i="25"/>
  <c r="S234" i="25"/>
  <c r="V234" i="25"/>
  <c r="G235" i="25"/>
  <c r="J235" i="25"/>
  <c r="K235" i="25"/>
  <c r="L235" i="25"/>
  <c r="M235" i="25"/>
  <c r="P235" i="25"/>
  <c r="Q235" i="25"/>
  <c r="S235" i="25" s="1"/>
  <c r="V235" i="25"/>
  <c r="G236" i="25"/>
  <c r="J236" i="25"/>
  <c r="K236" i="25"/>
  <c r="L236" i="25"/>
  <c r="M236" i="25" s="1"/>
  <c r="P236" i="25"/>
  <c r="Q236" i="25"/>
  <c r="S236" i="25"/>
  <c r="V236" i="25"/>
  <c r="G237" i="25"/>
  <c r="J237" i="25"/>
  <c r="K237" i="25"/>
  <c r="M237" i="25" s="1"/>
  <c r="L237" i="25"/>
  <c r="P237" i="25"/>
  <c r="Q237" i="25"/>
  <c r="S237" i="25"/>
  <c r="V237" i="25"/>
  <c r="G240" i="25"/>
  <c r="G239" i="25" s="1"/>
  <c r="J240" i="25"/>
  <c r="L240" i="25"/>
  <c r="N240" i="25"/>
  <c r="P240" i="25"/>
  <c r="Q240" i="25"/>
  <c r="S240" i="25"/>
  <c r="G241" i="25"/>
  <c r="J241" i="25"/>
  <c r="K241" i="25"/>
  <c r="L241" i="25"/>
  <c r="M241" i="25" s="1"/>
  <c r="N241" i="25"/>
  <c r="P241" i="25"/>
  <c r="Q241" i="25"/>
  <c r="S241" i="25" s="1"/>
  <c r="G242" i="25"/>
  <c r="J242" i="25"/>
  <c r="K242" i="25"/>
  <c r="L242" i="25"/>
  <c r="M242" i="25"/>
  <c r="N242" i="25"/>
  <c r="P242" i="25"/>
  <c r="Q242" i="25"/>
  <c r="S242" i="25"/>
  <c r="V242" i="25"/>
  <c r="G243" i="25"/>
  <c r="J243" i="25"/>
  <c r="K243" i="25"/>
  <c r="L243" i="25"/>
  <c r="M243" i="25" s="1"/>
  <c r="N243" i="25"/>
  <c r="P243" i="25"/>
  <c r="Q243" i="25"/>
  <c r="S243" i="25" s="1"/>
  <c r="V243" i="25"/>
  <c r="G244" i="25"/>
  <c r="J244" i="25"/>
  <c r="K244" i="25"/>
  <c r="L244" i="25"/>
  <c r="M244" i="25" s="1"/>
  <c r="N244" i="25"/>
  <c r="P244" i="25" s="1"/>
  <c r="Q244" i="25"/>
  <c r="S244" i="25" s="1"/>
  <c r="V244" i="25"/>
  <c r="G245" i="25"/>
  <c r="J245" i="25"/>
  <c r="K245" i="25"/>
  <c r="L245" i="25"/>
  <c r="N245" i="25"/>
  <c r="P245" i="25"/>
  <c r="Q245" i="25"/>
  <c r="S245" i="25"/>
  <c r="V245" i="25"/>
  <c r="G247" i="25"/>
  <c r="J247" i="25"/>
  <c r="K247" i="25"/>
  <c r="L247" i="25"/>
  <c r="P247" i="25"/>
  <c r="Q247" i="25"/>
  <c r="S247" i="25"/>
  <c r="V247" i="25"/>
  <c r="G248" i="25"/>
  <c r="J248" i="25"/>
  <c r="K248" i="25"/>
  <c r="L248" i="25"/>
  <c r="M248" i="25" s="1"/>
  <c r="P248" i="25"/>
  <c r="Q248" i="25"/>
  <c r="S248" i="25"/>
  <c r="V248" i="25"/>
  <c r="G249" i="25"/>
  <c r="J249" i="25"/>
  <c r="K249" i="25"/>
  <c r="L249" i="25"/>
  <c r="M249" i="25" s="1"/>
  <c r="P249" i="25"/>
  <c r="Q249" i="25"/>
  <c r="S249" i="25" s="1"/>
  <c r="V249" i="25"/>
  <c r="G250" i="25"/>
  <c r="J250" i="25"/>
  <c r="K250" i="25"/>
  <c r="L250" i="25"/>
  <c r="M250" i="25"/>
  <c r="P250" i="25"/>
  <c r="Q250" i="25"/>
  <c r="S250" i="25"/>
  <c r="V250" i="25"/>
  <c r="G251" i="25"/>
  <c r="J251" i="25"/>
  <c r="K251" i="25"/>
  <c r="L251" i="25"/>
  <c r="M251" i="25" s="1"/>
  <c r="P251" i="25"/>
  <c r="Q251" i="25"/>
  <c r="S251" i="25" s="1"/>
  <c r="V251" i="25"/>
  <c r="V246" i="25" s="1"/>
  <c r="G252" i="25"/>
  <c r="J252" i="25"/>
  <c r="K252" i="25"/>
  <c r="L252" i="25"/>
  <c r="P252" i="25"/>
  <c r="Q252" i="25"/>
  <c r="S252" i="25"/>
  <c r="V252" i="25"/>
  <c r="G253" i="25"/>
  <c r="J253" i="25"/>
  <c r="L253" i="25"/>
  <c r="P253" i="25"/>
  <c r="Q253" i="25"/>
  <c r="S253" i="25" s="1"/>
  <c r="V253" i="25"/>
  <c r="G254" i="25"/>
  <c r="J254" i="25"/>
  <c r="K254" i="25"/>
  <c r="L254" i="25"/>
  <c r="M254" i="25" s="1"/>
  <c r="P254" i="25"/>
  <c r="Q254" i="25"/>
  <c r="S254" i="25"/>
  <c r="V254" i="25"/>
  <c r="G255" i="25"/>
  <c r="J255" i="25"/>
  <c r="K255" i="25"/>
  <c r="L255" i="25"/>
  <c r="P255" i="25"/>
  <c r="Q255" i="25"/>
  <c r="S255" i="25"/>
  <c r="V255" i="25"/>
  <c r="G256" i="25"/>
  <c r="J256" i="25"/>
  <c r="K256" i="25"/>
  <c r="M256" i="25" s="1"/>
  <c r="L256" i="25"/>
  <c r="P256" i="25"/>
  <c r="Q256" i="25"/>
  <c r="S256" i="25"/>
  <c r="V256" i="25"/>
  <c r="G258" i="25"/>
  <c r="G257" i="25" s="1"/>
  <c r="J258" i="25"/>
  <c r="L258" i="25"/>
  <c r="P258" i="25"/>
  <c r="Q258" i="25"/>
  <c r="S258" i="25" s="1"/>
  <c r="V258" i="25"/>
  <c r="G259" i="25"/>
  <c r="J259" i="25"/>
  <c r="L259" i="25"/>
  <c r="M259" i="25" s="1"/>
  <c r="P259" i="25"/>
  <c r="Q259" i="25"/>
  <c r="S259" i="25" s="1"/>
  <c r="V259" i="25"/>
  <c r="G260" i="25"/>
  <c r="J260" i="25"/>
  <c r="L260" i="25"/>
  <c r="P260" i="25"/>
  <c r="Q260" i="25"/>
  <c r="S260" i="25" s="1"/>
  <c r="V260" i="25"/>
  <c r="G261" i="25"/>
  <c r="J261" i="25"/>
  <c r="L261" i="25"/>
  <c r="P261" i="25"/>
  <c r="Q261" i="25"/>
  <c r="S261" i="25" s="1"/>
  <c r="V261" i="25"/>
  <c r="G262" i="25"/>
  <c r="J262" i="25"/>
  <c r="K262" i="25"/>
  <c r="M262" i="25" s="1"/>
  <c r="L262" i="25"/>
  <c r="P262" i="25"/>
  <c r="Q262" i="25"/>
  <c r="S262" i="25" s="1"/>
  <c r="V262" i="25"/>
  <c r="G263" i="25"/>
  <c r="J263" i="25"/>
  <c r="K263" i="25"/>
  <c r="L263" i="25"/>
  <c r="M263" i="25"/>
  <c r="P263" i="25"/>
  <c r="Q263" i="25"/>
  <c r="S263" i="25"/>
  <c r="V263" i="25"/>
  <c r="G264" i="25"/>
  <c r="J264" i="25"/>
  <c r="L264" i="25"/>
  <c r="P264" i="25"/>
  <c r="Q264" i="25"/>
  <c r="S264" i="25" s="1"/>
  <c r="V264" i="25"/>
  <c r="G265" i="25"/>
  <c r="J265" i="25"/>
  <c r="L265" i="25"/>
  <c r="P265" i="25"/>
  <c r="V265" i="25"/>
  <c r="G266" i="25"/>
  <c r="J266" i="25"/>
  <c r="L266" i="25"/>
  <c r="P266" i="25"/>
  <c r="Q266" i="25"/>
  <c r="S266" i="25" s="1"/>
  <c r="V266" i="25"/>
  <c r="G267" i="25"/>
  <c r="J267" i="25"/>
  <c r="K267" i="25"/>
  <c r="L267" i="25"/>
  <c r="M267" i="25" s="1"/>
  <c r="P267" i="25"/>
  <c r="Q267" i="25"/>
  <c r="S267" i="25"/>
  <c r="V267" i="25"/>
  <c r="G269" i="25"/>
  <c r="G268" i="25" s="1"/>
  <c r="J269" i="25"/>
  <c r="K269" i="25"/>
  <c r="M269" i="25" s="1"/>
  <c r="L269" i="25"/>
  <c r="P269" i="25"/>
  <c r="P268" i="25"/>
  <c r="Q269" i="25"/>
  <c r="S269" i="25" s="1"/>
  <c r="V269" i="25"/>
  <c r="G270" i="25"/>
  <c r="J270" i="25"/>
  <c r="K270" i="25"/>
  <c r="L270" i="25"/>
  <c r="M270" i="25"/>
  <c r="P270" i="25"/>
  <c r="Q270" i="25"/>
  <c r="S270" i="25"/>
  <c r="V270" i="25"/>
  <c r="G271" i="25"/>
  <c r="J271" i="25"/>
  <c r="J268" i="25" s="1"/>
  <c r="K271" i="25"/>
  <c r="L271" i="25"/>
  <c r="M271" i="25" s="1"/>
  <c r="P271" i="25"/>
  <c r="Q271" i="25"/>
  <c r="S271" i="25"/>
  <c r="V271" i="25"/>
  <c r="G272" i="25"/>
  <c r="J272" i="25"/>
  <c r="L272" i="25"/>
  <c r="P272" i="25"/>
  <c r="Q272" i="25"/>
  <c r="S272" i="25"/>
  <c r="V272" i="25"/>
  <c r="G273" i="25"/>
  <c r="J273" i="25"/>
  <c r="K273" i="25"/>
  <c r="M273" i="25" s="1"/>
  <c r="L273" i="25"/>
  <c r="P273" i="25"/>
  <c r="Q273" i="25"/>
  <c r="S273" i="25" s="1"/>
  <c r="V273" i="25"/>
  <c r="V268" i="25" s="1"/>
  <c r="G274" i="25"/>
  <c r="J274" i="25"/>
  <c r="K274" i="25"/>
  <c r="L274" i="25"/>
  <c r="M274" i="25" s="1"/>
  <c r="P274" i="25"/>
  <c r="Q274" i="25"/>
  <c r="S274" i="25" s="1"/>
  <c r="V274" i="25"/>
  <c r="G276" i="25"/>
  <c r="J276" i="25"/>
  <c r="K276" i="25"/>
  <c r="L276" i="25"/>
  <c r="M276" i="25" s="1"/>
  <c r="P276" i="25"/>
  <c r="Q276" i="25"/>
  <c r="S276" i="25"/>
  <c r="V276" i="25"/>
  <c r="G277" i="25"/>
  <c r="J277" i="25"/>
  <c r="K277" i="25"/>
  <c r="M277" i="25" s="1"/>
  <c r="L277" i="25"/>
  <c r="P277" i="25"/>
  <c r="Q277" i="25"/>
  <c r="S277" i="25" s="1"/>
  <c r="V277" i="25"/>
  <c r="G278" i="25"/>
  <c r="J278" i="25"/>
  <c r="K278" i="25"/>
  <c r="L278" i="25"/>
  <c r="P278" i="25"/>
  <c r="Q278" i="25"/>
  <c r="S278" i="25"/>
  <c r="V278" i="25"/>
  <c r="G279" i="25"/>
  <c r="J279" i="25"/>
  <c r="K279" i="25"/>
  <c r="M279" i="25" s="1"/>
  <c r="L279" i="25"/>
  <c r="P279" i="25"/>
  <c r="Q279" i="25"/>
  <c r="S279" i="25" s="1"/>
  <c r="V279" i="25"/>
  <c r="G280" i="25"/>
  <c r="J280" i="25"/>
  <c r="K280" i="25"/>
  <c r="L280" i="25"/>
  <c r="P280" i="25"/>
  <c r="Q280" i="25"/>
  <c r="S280" i="25"/>
  <c r="S275" i="25" s="1"/>
  <c r="V280" i="25"/>
  <c r="V275" i="25" s="1"/>
  <c r="G281" i="25"/>
  <c r="J281" i="25"/>
  <c r="L281" i="25"/>
  <c r="P281" i="25"/>
  <c r="Q281" i="25"/>
  <c r="S281" i="25"/>
  <c r="V281" i="25"/>
  <c r="M282" i="25"/>
  <c r="P282" i="25"/>
  <c r="S282" i="25"/>
  <c r="G298" i="25"/>
  <c r="M7" i="5"/>
  <c r="O7" i="5"/>
  <c r="R7" i="5"/>
  <c r="U7" i="5"/>
  <c r="W7" i="5"/>
  <c r="L8" i="5"/>
  <c r="M8" i="5"/>
  <c r="O8" i="5"/>
  <c r="P8" i="5" s="1"/>
  <c r="S8" i="5"/>
  <c r="U8" i="5"/>
  <c r="N8" i="5" s="1"/>
  <c r="W8" i="5"/>
  <c r="L9" i="5"/>
  <c r="M9" i="5"/>
  <c r="P9" i="5" s="1"/>
  <c r="O9" i="5"/>
  <c r="S9" i="5"/>
  <c r="U9" i="5"/>
  <c r="N9" i="5" s="1"/>
  <c r="W9" i="5"/>
  <c r="D289" i="8" s="1"/>
  <c r="J10" i="5"/>
  <c r="L10" i="5" s="1"/>
  <c r="K10" i="5"/>
  <c r="M10" i="5"/>
  <c r="P10" i="5"/>
  <c r="S10" i="5"/>
  <c r="W10" i="5"/>
  <c r="J11" i="5"/>
  <c r="K11" i="5"/>
  <c r="L11" i="5" s="1"/>
  <c r="M11" i="5"/>
  <c r="P11" i="5" s="1"/>
  <c r="S11" i="5"/>
  <c r="V11" i="5"/>
  <c r="L12" i="5"/>
  <c r="M12" i="5"/>
  <c r="P12" i="5"/>
  <c r="S12" i="5"/>
  <c r="V12" i="5"/>
  <c r="L13" i="5"/>
  <c r="M13" i="5"/>
  <c r="P13" i="5" s="1"/>
  <c r="S13" i="5"/>
  <c r="W13" i="5"/>
  <c r="L14" i="5"/>
  <c r="M14" i="5"/>
  <c r="P14" i="5"/>
  <c r="S14" i="5"/>
  <c r="W14" i="5"/>
  <c r="L16" i="5"/>
  <c r="M16" i="5"/>
  <c r="O16" i="5"/>
  <c r="R16" i="5"/>
  <c r="S16" i="5"/>
  <c r="S15" i="5"/>
  <c r="U16" i="5"/>
  <c r="Q16" i="5" s="1"/>
  <c r="L17" i="5"/>
  <c r="M17" i="5"/>
  <c r="O17" i="5"/>
  <c r="S17" i="5"/>
  <c r="L18" i="5"/>
  <c r="M18" i="5"/>
  <c r="O18" i="5"/>
  <c r="R18" i="5"/>
  <c r="S18" i="5" s="1"/>
  <c r="T18" i="5"/>
  <c r="W18" i="5"/>
  <c r="L19" i="5"/>
  <c r="L15" i="5" s="1"/>
  <c r="M19" i="5"/>
  <c r="O19" i="5"/>
  <c r="P19" i="5" s="1"/>
  <c r="S19" i="5"/>
  <c r="V19" i="5"/>
  <c r="L20" i="5"/>
  <c r="M20" i="5"/>
  <c r="O20" i="5"/>
  <c r="P20" i="5" s="1"/>
  <c r="S20" i="5"/>
  <c r="W20" i="5"/>
  <c r="L21" i="5"/>
  <c r="O21" i="5"/>
  <c r="S21" i="5"/>
  <c r="T21" i="5"/>
  <c r="L22" i="5"/>
  <c r="O22" i="5"/>
  <c r="S22" i="5"/>
  <c r="T22" i="5"/>
  <c r="M22" i="5"/>
  <c r="W22" i="5"/>
  <c r="K23" i="5"/>
  <c r="W23" i="5"/>
  <c r="P23" i="5" s="1"/>
  <c r="S24" i="5"/>
  <c r="L24" i="5" s="1"/>
  <c r="W24" i="5"/>
  <c r="P24" i="5" s="1"/>
  <c r="P25" i="5"/>
  <c r="S25" i="5"/>
  <c r="F26" i="5"/>
  <c r="D7" i="9" s="1"/>
  <c r="I26" i="5"/>
  <c r="E7" i="9" s="1"/>
  <c r="G6" i="4"/>
  <c r="J6" i="4"/>
  <c r="K7" i="4"/>
  <c r="L7" i="4"/>
  <c r="M7" i="4"/>
  <c r="O7" i="4"/>
  <c r="P7" i="4" s="1"/>
  <c r="S7" i="4"/>
  <c r="T7" i="4"/>
  <c r="N7" i="4" s="1"/>
  <c r="V7" i="4"/>
  <c r="W7" i="4"/>
  <c r="K8" i="4"/>
  <c r="L8" i="4"/>
  <c r="M8" i="4" s="1"/>
  <c r="N8" i="4"/>
  <c r="P8" i="4" s="1"/>
  <c r="O8" i="4"/>
  <c r="S8" i="4"/>
  <c r="V8" i="4"/>
  <c r="K9" i="4"/>
  <c r="L9" i="4"/>
  <c r="M9" i="4" s="1"/>
  <c r="N9" i="4"/>
  <c r="O9" i="4"/>
  <c r="P9" i="4"/>
  <c r="S9" i="4"/>
  <c r="V9" i="4"/>
  <c r="K10" i="4"/>
  <c r="L10" i="4"/>
  <c r="M10" i="4" s="1"/>
  <c r="N10" i="4"/>
  <c r="O10" i="4"/>
  <c r="P10" i="4"/>
  <c r="S10" i="4"/>
  <c r="V10" i="4"/>
  <c r="K11" i="4"/>
  <c r="L11" i="4"/>
  <c r="M11" i="4" s="1"/>
  <c r="N11" i="4"/>
  <c r="P11" i="4" s="1"/>
  <c r="S11" i="4"/>
  <c r="V11" i="4"/>
  <c r="K12" i="4"/>
  <c r="L12" i="4"/>
  <c r="N12" i="4"/>
  <c r="P12" i="4" s="1"/>
  <c r="S12" i="4"/>
  <c r="V12" i="4"/>
  <c r="K13" i="4"/>
  <c r="M13" i="4" s="1"/>
  <c r="L13" i="4"/>
  <c r="N13" i="4"/>
  <c r="P13" i="4"/>
  <c r="S13" i="4"/>
  <c r="V13" i="4"/>
  <c r="L14" i="4"/>
  <c r="M14" i="4"/>
  <c r="N14" i="4"/>
  <c r="P14" i="4"/>
  <c r="S14" i="4"/>
  <c r="L15" i="4"/>
  <c r="M15" i="4" s="1"/>
  <c r="N15" i="4"/>
  <c r="P15" i="4" s="1"/>
  <c r="S15" i="4"/>
  <c r="M17" i="4"/>
  <c r="P17" i="4"/>
  <c r="S17" i="4"/>
  <c r="V17" i="4"/>
  <c r="M18" i="4"/>
  <c r="P18" i="4"/>
  <c r="S18" i="4"/>
  <c r="S16" i="4"/>
  <c r="V18" i="4"/>
  <c r="M19" i="4"/>
  <c r="P19" i="4"/>
  <c r="S19" i="4"/>
  <c r="V19" i="4"/>
  <c r="M20" i="4"/>
  <c r="P20" i="4"/>
  <c r="S20" i="4"/>
  <c r="V20" i="4"/>
  <c r="V16" i="4" s="1"/>
  <c r="M21" i="4"/>
  <c r="P21" i="4"/>
  <c r="S21" i="4"/>
  <c r="V21" i="4"/>
  <c r="M22" i="4"/>
  <c r="P22" i="4"/>
  <c r="S22" i="4"/>
  <c r="V22" i="4"/>
  <c r="M23" i="4"/>
  <c r="P23" i="4"/>
  <c r="S23" i="4"/>
  <c r="V23" i="4"/>
  <c r="M24" i="4"/>
  <c r="P24" i="4"/>
  <c r="S24" i="4"/>
  <c r="V24" i="4"/>
  <c r="M25" i="4"/>
  <c r="P25" i="4"/>
  <c r="S25" i="4"/>
  <c r="V25" i="4"/>
  <c r="M26" i="4"/>
  <c r="P26" i="4"/>
  <c r="S26" i="4"/>
  <c r="V26" i="4"/>
  <c r="M27" i="4"/>
  <c r="P27" i="4"/>
  <c r="S27" i="4"/>
  <c r="V27" i="4"/>
  <c r="M28" i="4"/>
  <c r="P28" i="4"/>
  <c r="S28" i="4"/>
  <c r="V28" i="4"/>
  <c r="M29" i="4"/>
  <c r="P29" i="4"/>
  <c r="S29" i="4"/>
  <c r="V29" i="4"/>
  <c r="M30" i="4"/>
  <c r="P30" i="4"/>
  <c r="S30" i="4"/>
  <c r="V30" i="4"/>
  <c r="M31" i="4"/>
  <c r="P31" i="4"/>
  <c r="S31" i="4"/>
  <c r="V31" i="4"/>
  <c r="M35" i="4"/>
  <c r="P35" i="4"/>
  <c r="S35" i="4"/>
  <c r="V35" i="4"/>
  <c r="M36" i="4"/>
  <c r="P36" i="4"/>
  <c r="S36" i="4"/>
  <c r="S34" i="4"/>
  <c r="V36" i="4"/>
  <c r="M37" i="4"/>
  <c r="P37" i="4"/>
  <c r="S37" i="4"/>
  <c r="V37" i="4"/>
  <c r="M38" i="4"/>
  <c r="P38" i="4"/>
  <c r="S38" i="4"/>
  <c r="V38" i="4"/>
  <c r="V34" i="4" s="1"/>
  <c r="M40" i="4"/>
  <c r="P40" i="4"/>
  <c r="P39" i="4" s="1"/>
  <c r="S40" i="4"/>
  <c r="S39" i="4" s="1"/>
  <c r="V40" i="4"/>
  <c r="M41" i="4"/>
  <c r="P41" i="4"/>
  <c r="S41" i="4"/>
  <c r="V41" i="4"/>
  <c r="M42" i="4"/>
  <c r="P42" i="4"/>
  <c r="S42" i="4"/>
  <c r="V42" i="4"/>
  <c r="M43" i="4"/>
  <c r="P43" i="4"/>
  <c r="S43" i="4"/>
  <c r="V43" i="4"/>
  <c r="M45" i="4"/>
  <c r="P45" i="4"/>
  <c r="S45" i="4"/>
  <c r="V45" i="4"/>
  <c r="M46" i="4"/>
  <c r="M44" i="4"/>
  <c r="P46" i="4"/>
  <c r="P44" i="4"/>
  <c r="S46" i="4"/>
  <c r="S44" i="4"/>
  <c r="V46" i="4"/>
  <c r="V44" i="4"/>
  <c r="M48" i="4"/>
  <c r="M47" i="4"/>
  <c r="P48" i="4"/>
  <c r="P47" i="4"/>
  <c r="S48" i="4"/>
  <c r="S47" i="4"/>
  <c r="V48" i="4"/>
  <c r="M49" i="4"/>
  <c r="P49" i="4"/>
  <c r="S49" i="4"/>
  <c r="V49" i="4"/>
  <c r="V47" i="4" s="1"/>
  <c r="M51" i="4"/>
  <c r="P51" i="4"/>
  <c r="S51" i="4"/>
  <c r="V51" i="4"/>
  <c r="M52" i="4"/>
  <c r="P52" i="4"/>
  <c r="S52" i="4"/>
  <c r="S50" i="4"/>
  <c r="V52" i="4"/>
  <c r="V50" i="4" s="1"/>
  <c r="M53" i="4"/>
  <c r="P53" i="4"/>
  <c r="S53" i="4"/>
  <c r="V53" i="4"/>
  <c r="M54" i="4"/>
  <c r="P54" i="4"/>
  <c r="S54" i="4"/>
  <c r="V54" i="4"/>
  <c r="M55" i="4"/>
  <c r="P55" i="4"/>
  <c r="S55" i="4"/>
  <c r="V55" i="4"/>
  <c r="M56" i="4"/>
  <c r="P56" i="4"/>
  <c r="S56" i="4"/>
  <c r="V56" i="4"/>
  <c r="M57" i="4"/>
  <c r="P57" i="4"/>
  <c r="S57" i="4"/>
  <c r="V57" i="4"/>
  <c r="M58" i="4"/>
  <c r="P58" i="4"/>
  <c r="S58" i="4"/>
  <c r="V58" i="4"/>
  <c r="M59" i="4"/>
  <c r="P59" i="4"/>
  <c r="S59" i="4"/>
  <c r="V59" i="4"/>
  <c r="M60" i="4"/>
  <c r="P60" i="4"/>
  <c r="S60" i="4"/>
  <c r="V60" i="4"/>
  <c r="M61" i="4"/>
  <c r="P61" i="4"/>
  <c r="S61" i="4"/>
  <c r="V61" i="4"/>
  <c r="M62" i="4"/>
  <c r="P62" i="4"/>
  <c r="S62" i="4"/>
  <c r="V62" i="4"/>
  <c r="M63" i="4"/>
  <c r="P63" i="4"/>
  <c r="S63" i="4"/>
  <c r="V63" i="4"/>
  <c r="M64" i="4"/>
  <c r="P64" i="4"/>
  <c r="S64" i="4"/>
  <c r="V64" i="4"/>
  <c r="M65" i="4"/>
  <c r="P65" i="4"/>
  <c r="S65" i="4"/>
  <c r="V65" i="4"/>
  <c r="M66" i="4"/>
  <c r="P66" i="4"/>
  <c r="S66" i="4"/>
  <c r="V66" i="4"/>
  <c r="M67" i="4"/>
  <c r="P67" i="4"/>
  <c r="S67" i="4"/>
  <c r="V67" i="4"/>
  <c r="M68" i="4"/>
  <c r="P68" i="4"/>
  <c r="S68" i="4"/>
  <c r="V68" i="4"/>
  <c r="M69" i="4"/>
  <c r="P69" i="4"/>
  <c r="S69" i="4"/>
  <c r="V69" i="4"/>
  <c r="M70" i="4"/>
  <c r="P70" i="4"/>
  <c r="S70" i="4"/>
  <c r="V70" i="4"/>
  <c r="M71" i="4"/>
  <c r="P71" i="4"/>
  <c r="S71" i="4"/>
  <c r="V71" i="4"/>
  <c r="M72" i="4"/>
  <c r="P72" i="4"/>
  <c r="S72" i="4"/>
  <c r="V72" i="4"/>
  <c r="M73" i="4"/>
  <c r="P73" i="4"/>
  <c r="S73" i="4"/>
  <c r="V73" i="4"/>
  <c r="M74" i="4"/>
  <c r="P74" i="4"/>
  <c r="S74" i="4"/>
  <c r="V74" i="4"/>
  <c r="M75" i="4"/>
  <c r="P75" i="4"/>
  <c r="S75" i="4"/>
  <c r="V75" i="4"/>
  <c r="M76" i="4"/>
  <c r="P76" i="4"/>
  <c r="S76" i="4"/>
  <c r="V76" i="4"/>
  <c r="M77" i="4"/>
  <c r="P77" i="4"/>
  <c r="S77" i="4"/>
  <c r="V77" i="4"/>
  <c r="M78" i="4"/>
  <c r="P78" i="4"/>
  <c r="S78" i="4"/>
  <c r="V78" i="4"/>
  <c r="M79" i="4"/>
  <c r="P79" i="4"/>
  <c r="S79" i="4"/>
  <c r="V79" i="4"/>
  <c r="M80" i="4"/>
  <c r="P80" i="4"/>
  <c r="S80" i="4"/>
  <c r="V80" i="4"/>
  <c r="M81" i="4"/>
  <c r="P81" i="4"/>
  <c r="S81" i="4"/>
  <c r="V81" i="4"/>
  <c r="M82" i="4"/>
  <c r="P82" i="4"/>
  <c r="S82" i="4"/>
  <c r="V82" i="4"/>
  <c r="M83" i="4"/>
  <c r="P83" i="4"/>
  <c r="S83" i="4"/>
  <c r="V83" i="4"/>
  <c r="M84" i="4"/>
  <c r="P84" i="4"/>
  <c r="S84" i="4"/>
  <c r="V84" i="4"/>
  <c r="M85" i="4"/>
  <c r="P85" i="4"/>
  <c r="S85" i="4"/>
  <c r="V85" i="4"/>
  <c r="M86" i="4"/>
  <c r="P86" i="4"/>
  <c r="S86" i="4"/>
  <c r="V86" i="4"/>
  <c r="M87" i="4"/>
  <c r="P87" i="4"/>
  <c r="S87" i="4"/>
  <c r="V87" i="4"/>
  <c r="M88" i="4"/>
  <c r="P88" i="4"/>
  <c r="S88" i="4"/>
  <c r="V88" i="4"/>
  <c r="M89" i="4"/>
  <c r="P89" i="4"/>
  <c r="S89" i="4"/>
  <c r="V89" i="4"/>
  <c r="M90" i="4"/>
  <c r="P90" i="4"/>
  <c r="S90" i="4"/>
  <c r="V90" i="4"/>
  <c r="M91" i="4"/>
  <c r="P91" i="4"/>
  <c r="S91" i="4"/>
  <c r="V91" i="4"/>
  <c r="M92" i="4"/>
  <c r="P92" i="4"/>
  <c r="S92" i="4"/>
  <c r="V92" i="4"/>
  <c r="M93" i="4"/>
  <c r="P93" i="4"/>
  <c r="S93" i="4"/>
  <c r="V93" i="4"/>
  <c r="M94" i="4"/>
  <c r="P94" i="4"/>
  <c r="S94" i="4"/>
  <c r="V94" i="4"/>
  <c r="M95" i="4"/>
  <c r="P95" i="4"/>
  <c r="S95" i="4"/>
  <c r="V95" i="4"/>
  <c r="M96" i="4"/>
  <c r="P96" i="4"/>
  <c r="S96" i="4"/>
  <c r="V96" i="4"/>
  <c r="M97" i="4"/>
  <c r="P97" i="4"/>
  <c r="S97" i="4"/>
  <c r="V97" i="4"/>
  <c r="M98" i="4"/>
  <c r="P98" i="4"/>
  <c r="S98" i="4"/>
  <c r="V98" i="4"/>
  <c r="M99" i="4"/>
  <c r="P99" i="4"/>
  <c r="S99" i="4"/>
  <c r="V99" i="4"/>
  <c r="M100" i="4"/>
  <c r="P100" i="4"/>
  <c r="S100" i="4"/>
  <c r="V100" i="4"/>
  <c r="M101" i="4"/>
  <c r="P101" i="4"/>
  <c r="S101" i="4"/>
  <c r="V101" i="4"/>
  <c r="M102" i="4"/>
  <c r="P102" i="4"/>
  <c r="S102" i="4"/>
  <c r="V102" i="4"/>
  <c r="M103" i="4"/>
  <c r="P103" i="4"/>
  <c r="S103" i="4"/>
  <c r="V103" i="4"/>
  <c r="M104" i="4"/>
  <c r="P104" i="4"/>
  <c r="S104" i="4"/>
  <c r="V104" i="4"/>
  <c r="M105" i="4"/>
  <c r="P105" i="4"/>
  <c r="S105" i="4"/>
  <c r="V105" i="4"/>
  <c r="M106" i="4"/>
  <c r="P106" i="4"/>
  <c r="S106" i="4"/>
  <c r="V106" i="4"/>
  <c r="M107" i="4"/>
  <c r="P107" i="4"/>
  <c r="S107" i="4"/>
  <c r="V107" i="4"/>
  <c r="M108" i="4"/>
  <c r="P108" i="4"/>
  <c r="S108" i="4"/>
  <c r="V108" i="4"/>
  <c r="M109" i="4"/>
  <c r="P109" i="4"/>
  <c r="S109" i="4"/>
  <c r="V109" i="4"/>
  <c r="M110" i="4"/>
  <c r="P110" i="4"/>
  <c r="S110" i="4"/>
  <c r="V110" i="4"/>
  <c r="M111" i="4"/>
  <c r="P111" i="4"/>
  <c r="S111" i="4"/>
  <c r="V111" i="4"/>
  <c r="M112" i="4"/>
  <c r="P112" i="4"/>
  <c r="S112" i="4"/>
  <c r="V112" i="4"/>
  <c r="M113" i="4"/>
  <c r="P113" i="4"/>
  <c r="S113" i="4"/>
  <c r="V113" i="4"/>
  <c r="M114" i="4"/>
  <c r="P114" i="4"/>
  <c r="S114" i="4"/>
  <c r="V114" i="4"/>
  <c r="M115" i="4"/>
  <c r="P115" i="4"/>
  <c r="S115" i="4"/>
  <c r="V115" i="4"/>
  <c r="M116" i="4"/>
  <c r="P116" i="4"/>
  <c r="S116" i="4"/>
  <c r="V116" i="4"/>
  <c r="M117" i="4"/>
  <c r="P117" i="4"/>
  <c r="S117" i="4"/>
  <c r="V117" i="4"/>
  <c r="M118" i="4"/>
  <c r="P118" i="4"/>
  <c r="S118" i="4"/>
  <c r="V118" i="4"/>
  <c r="M119" i="4"/>
  <c r="P119" i="4"/>
  <c r="S119" i="4"/>
  <c r="V119" i="4"/>
  <c r="M120" i="4"/>
  <c r="P120" i="4"/>
  <c r="S120" i="4"/>
  <c r="V120" i="4"/>
  <c r="M121" i="4"/>
  <c r="P121" i="4"/>
  <c r="S121" i="4"/>
  <c r="V121" i="4"/>
  <c r="M122" i="4"/>
  <c r="P122" i="4"/>
  <c r="S122" i="4"/>
  <c r="V122" i="4"/>
  <c r="M123" i="4"/>
  <c r="P123" i="4"/>
  <c r="S123" i="4"/>
  <c r="V123" i="4"/>
  <c r="M124" i="4"/>
  <c r="P124" i="4"/>
  <c r="S124" i="4"/>
  <c r="V124" i="4"/>
  <c r="M125" i="4"/>
  <c r="P125" i="4"/>
  <c r="S125" i="4"/>
  <c r="V125" i="4"/>
  <c r="M126" i="4"/>
  <c r="P126" i="4"/>
  <c r="S126" i="4"/>
  <c r="V126" i="4"/>
  <c r="M127" i="4"/>
  <c r="P127" i="4"/>
  <c r="S127" i="4"/>
  <c r="V127" i="4"/>
  <c r="M128" i="4"/>
  <c r="P128" i="4"/>
  <c r="S128" i="4"/>
  <c r="V128" i="4"/>
  <c r="M129" i="4"/>
  <c r="P129" i="4"/>
  <c r="S129" i="4"/>
  <c r="V129" i="4"/>
  <c r="M130" i="4"/>
  <c r="P130" i="4"/>
  <c r="S130" i="4"/>
  <c r="V130" i="4"/>
  <c r="M131" i="4"/>
  <c r="P131" i="4"/>
  <c r="S131" i="4"/>
  <c r="V131" i="4"/>
  <c r="M132" i="4"/>
  <c r="P132" i="4"/>
  <c r="S132" i="4"/>
  <c r="V132" i="4"/>
  <c r="M133" i="4"/>
  <c r="P133" i="4"/>
  <c r="S133" i="4"/>
  <c r="V133" i="4"/>
  <c r="M134" i="4"/>
  <c r="P134" i="4"/>
  <c r="S134" i="4"/>
  <c r="V134" i="4"/>
  <c r="M135" i="4"/>
  <c r="P135" i="4"/>
  <c r="S135" i="4"/>
  <c r="V135" i="4"/>
  <c r="M136" i="4"/>
  <c r="P136" i="4"/>
  <c r="S136" i="4"/>
  <c r="V136" i="4"/>
  <c r="M137" i="4"/>
  <c r="P137" i="4"/>
  <c r="S137" i="4"/>
  <c r="V137" i="4"/>
  <c r="M138" i="4"/>
  <c r="P138" i="4"/>
  <c r="S138" i="4"/>
  <c r="V138" i="4"/>
  <c r="M139" i="4"/>
  <c r="P139" i="4"/>
  <c r="S139" i="4"/>
  <c r="V139" i="4"/>
  <c r="M140" i="4"/>
  <c r="P140" i="4"/>
  <c r="S140" i="4"/>
  <c r="V140" i="4"/>
  <c r="M141" i="4"/>
  <c r="P141" i="4"/>
  <c r="S141" i="4"/>
  <c r="V141" i="4"/>
  <c r="M142" i="4"/>
  <c r="P142" i="4"/>
  <c r="S142" i="4"/>
  <c r="V142" i="4"/>
  <c r="M143" i="4"/>
  <c r="P143" i="4"/>
  <c r="S143" i="4"/>
  <c r="V143" i="4"/>
  <c r="M144" i="4"/>
  <c r="P144" i="4"/>
  <c r="S144" i="4"/>
  <c r="V144" i="4"/>
  <c r="M145" i="4"/>
  <c r="P145" i="4"/>
  <c r="S145" i="4"/>
  <c r="V145" i="4"/>
  <c r="M146" i="4"/>
  <c r="P146" i="4"/>
  <c r="S146" i="4"/>
  <c r="V146" i="4"/>
  <c r="M147" i="4"/>
  <c r="P147" i="4"/>
  <c r="S147" i="4"/>
  <c r="V147" i="4"/>
  <c r="M148" i="4"/>
  <c r="P148" i="4"/>
  <c r="S148" i="4"/>
  <c r="V148" i="4"/>
  <c r="M149" i="4"/>
  <c r="P149" i="4"/>
  <c r="S149" i="4"/>
  <c r="V149" i="4"/>
  <c r="M150" i="4"/>
  <c r="P150" i="4"/>
  <c r="S150" i="4"/>
  <c r="V150" i="4"/>
  <c r="M151" i="4"/>
  <c r="P151" i="4"/>
  <c r="S151" i="4"/>
  <c r="V151" i="4"/>
  <c r="M152" i="4"/>
  <c r="P152" i="4"/>
  <c r="S152" i="4"/>
  <c r="V152" i="4"/>
  <c r="M153" i="4"/>
  <c r="P153" i="4"/>
  <c r="S153" i="4"/>
  <c r="V153" i="4"/>
  <c r="M154" i="4"/>
  <c r="P154" i="4"/>
  <c r="S154" i="4"/>
  <c r="V154" i="4"/>
  <c r="M155" i="4"/>
  <c r="P155" i="4"/>
  <c r="S155" i="4"/>
  <c r="V155" i="4"/>
  <c r="M156" i="4"/>
  <c r="P156" i="4"/>
  <c r="S156" i="4"/>
  <c r="V156" i="4"/>
  <c r="M157" i="4"/>
  <c r="P157" i="4"/>
  <c r="S157" i="4"/>
  <c r="V157" i="4"/>
  <c r="M158" i="4"/>
  <c r="P158" i="4"/>
  <c r="S158" i="4"/>
  <c r="V158" i="4"/>
  <c r="M159" i="4"/>
  <c r="P159" i="4"/>
  <c r="S159" i="4"/>
  <c r="V159" i="4"/>
  <c r="M160" i="4"/>
  <c r="P160" i="4"/>
  <c r="S160" i="4"/>
  <c r="V160" i="4"/>
  <c r="M161" i="4"/>
  <c r="P161" i="4"/>
  <c r="S161" i="4"/>
  <c r="V161" i="4"/>
  <c r="M162" i="4"/>
  <c r="P162" i="4"/>
  <c r="S162" i="4"/>
  <c r="V162" i="4"/>
  <c r="M163" i="4"/>
  <c r="P163" i="4"/>
  <c r="S163" i="4"/>
  <c r="V163" i="4"/>
  <c r="M164" i="4"/>
  <c r="P164" i="4"/>
  <c r="S164" i="4"/>
  <c r="V164" i="4"/>
  <c r="M165" i="4"/>
  <c r="P165" i="4"/>
  <c r="S165" i="4"/>
  <c r="V165" i="4"/>
  <c r="M166" i="4"/>
  <c r="P166" i="4"/>
  <c r="S166" i="4"/>
  <c r="V166" i="4"/>
  <c r="M167" i="4"/>
  <c r="P167" i="4"/>
  <c r="S167" i="4"/>
  <c r="V167" i="4"/>
  <c r="M168" i="4"/>
  <c r="P168" i="4"/>
  <c r="S168" i="4"/>
  <c r="V168" i="4"/>
  <c r="M169" i="4"/>
  <c r="P169" i="4"/>
  <c r="S169" i="4"/>
  <c r="V169" i="4"/>
  <c r="M170" i="4"/>
  <c r="P170" i="4"/>
  <c r="S170" i="4"/>
  <c r="V170" i="4"/>
  <c r="M171" i="4"/>
  <c r="P171" i="4"/>
  <c r="S171" i="4"/>
  <c r="V171" i="4"/>
  <c r="M172" i="4"/>
  <c r="P172" i="4"/>
  <c r="S172" i="4"/>
  <c r="V172" i="4"/>
  <c r="M173" i="4"/>
  <c r="P173" i="4"/>
  <c r="S173" i="4"/>
  <c r="V173" i="4"/>
  <c r="M174" i="4"/>
  <c r="P174" i="4"/>
  <c r="S174" i="4"/>
  <c r="V174" i="4"/>
  <c r="M175" i="4"/>
  <c r="P175" i="4"/>
  <c r="S175" i="4"/>
  <c r="V175" i="4"/>
  <c r="M176" i="4"/>
  <c r="P176" i="4"/>
  <c r="S176" i="4"/>
  <c r="V176" i="4"/>
  <c r="M177" i="4"/>
  <c r="P177" i="4"/>
  <c r="S177" i="4"/>
  <c r="V177" i="4"/>
  <c r="M178" i="4"/>
  <c r="P178" i="4"/>
  <c r="S178" i="4"/>
  <c r="V178" i="4"/>
  <c r="M179" i="4"/>
  <c r="P179" i="4"/>
  <c r="S179" i="4"/>
  <c r="V179" i="4"/>
  <c r="M180" i="4"/>
  <c r="P180" i="4"/>
  <c r="S180" i="4"/>
  <c r="V180" i="4"/>
  <c r="M181" i="4"/>
  <c r="P181" i="4"/>
  <c r="S181" i="4"/>
  <c r="V181" i="4"/>
  <c r="M182" i="4"/>
  <c r="P182" i="4"/>
  <c r="S182" i="4"/>
  <c r="V182" i="4"/>
  <c r="M183" i="4"/>
  <c r="P183" i="4"/>
  <c r="S183" i="4"/>
  <c r="V183" i="4"/>
  <c r="M184" i="4"/>
  <c r="P184" i="4"/>
  <c r="S184" i="4"/>
  <c r="V184" i="4"/>
  <c r="M185" i="4"/>
  <c r="P185" i="4"/>
  <c r="S185" i="4"/>
  <c r="V185" i="4"/>
  <c r="M186" i="4"/>
  <c r="P186" i="4"/>
  <c r="S186" i="4"/>
  <c r="V186" i="4"/>
  <c r="M187" i="4"/>
  <c r="P187" i="4"/>
  <c r="S187" i="4"/>
  <c r="V187" i="4"/>
  <c r="M188" i="4"/>
  <c r="P188" i="4"/>
  <c r="S188" i="4"/>
  <c r="V188" i="4"/>
  <c r="M189" i="4"/>
  <c r="P189" i="4"/>
  <c r="S189" i="4"/>
  <c r="V189" i="4"/>
  <c r="M190" i="4"/>
  <c r="P190" i="4"/>
  <c r="S190" i="4"/>
  <c r="V190" i="4"/>
  <c r="M191" i="4"/>
  <c r="P191" i="4"/>
  <c r="S191" i="4"/>
  <c r="V191" i="4"/>
  <c r="M192" i="4"/>
  <c r="P192" i="4"/>
  <c r="S192" i="4"/>
  <c r="V192" i="4"/>
  <c r="M193" i="4"/>
  <c r="P193" i="4"/>
  <c r="S193" i="4"/>
  <c r="V193" i="4"/>
  <c r="M194" i="4"/>
  <c r="P194" i="4"/>
  <c r="S194" i="4"/>
  <c r="V194" i="4"/>
  <c r="M195" i="4"/>
  <c r="P195" i="4"/>
  <c r="S195" i="4"/>
  <c r="V195" i="4"/>
  <c r="M196" i="4"/>
  <c r="P196" i="4"/>
  <c r="S196" i="4"/>
  <c r="V196" i="4"/>
  <c r="M197" i="4"/>
  <c r="P197" i="4"/>
  <c r="S197" i="4"/>
  <c r="V197" i="4"/>
  <c r="M198" i="4"/>
  <c r="P198" i="4"/>
  <c r="S198" i="4"/>
  <c r="V198" i="4"/>
  <c r="M199" i="4"/>
  <c r="P199" i="4"/>
  <c r="S199" i="4"/>
  <c r="V199" i="4"/>
  <c r="M200" i="4"/>
  <c r="P200" i="4"/>
  <c r="S200" i="4"/>
  <c r="V200" i="4"/>
  <c r="M201" i="4"/>
  <c r="P201" i="4"/>
  <c r="S201" i="4"/>
  <c r="V201" i="4"/>
  <c r="M202" i="4"/>
  <c r="P202" i="4"/>
  <c r="S202" i="4"/>
  <c r="V202" i="4"/>
  <c r="M203" i="4"/>
  <c r="P203" i="4"/>
  <c r="S203" i="4"/>
  <c r="V203" i="4"/>
  <c r="M204" i="4"/>
  <c r="P204" i="4"/>
  <c r="S204" i="4"/>
  <c r="V204" i="4"/>
  <c r="M205" i="4"/>
  <c r="P205" i="4"/>
  <c r="S205" i="4"/>
  <c r="V205" i="4"/>
  <c r="M206" i="4"/>
  <c r="P206" i="4"/>
  <c r="S206" i="4"/>
  <c r="V206" i="4"/>
  <c r="M207" i="4"/>
  <c r="P207" i="4"/>
  <c r="S207" i="4"/>
  <c r="V207" i="4"/>
  <c r="M208" i="4"/>
  <c r="P208" i="4"/>
  <c r="S208" i="4"/>
  <c r="V208" i="4"/>
  <c r="M209" i="4"/>
  <c r="P209" i="4"/>
  <c r="S209" i="4"/>
  <c r="V209" i="4"/>
  <c r="M210" i="4"/>
  <c r="P210" i="4"/>
  <c r="S210" i="4"/>
  <c r="V210" i="4"/>
  <c r="M211" i="4"/>
  <c r="P211" i="4"/>
  <c r="S211" i="4"/>
  <c r="V211" i="4"/>
  <c r="M212" i="4"/>
  <c r="P212" i="4"/>
  <c r="S212" i="4"/>
  <c r="V212" i="4"/>
  <c r="M213" i="4"/>
  <c r="P213" i="4"/>
  <c r="S213" i="4"/>
  <c r="V213" i="4"/>
  <c r="M214" i="4"/>
  <c r="P214" i="4"/>
  <c r="S214" i="4"/>
  <c r="V214" i="4"/>
  <c r="M215" i="4"/>
  <c r="P215" i="4"/>
  <c r="S215" i="4"/>
  <c r="V215" i="4"/>
  <c r="M216" i="4"/>
  <c r="P216" i="4"/>
  <c r="S216" i="4"/>
  <c r="V216" i="4"/>
  <c r="M217" i="4"/>
  <c r="P217" i="4"/>
  <c r="S217" i="4"/>
  <c r="V217" i="4"/>
  <c r="M218" i="4"/>
  <c r="P218" i="4"/>
  <c r="S218" i="4"/>
  <c r="V218" i="4"/>
  <c r="M219" i="4"/>
  <c r="P219" i="4"/>
  <c r="S219" i="4"/>
  <c r="V219" i="4"/>
  <c r="M220" i="4"/>
  <c r="P220" i="4"/>
  <c r="S220" i="4"/>
  <c r="V220" i="4"/>
  <c r="M221" i="4"/>
  <c r="P221" i="4"/>
  <c r="S221" i="4"/>
  <c r="V221" i="4"/>
  <c r="M222" i="4"/>
  <c r="P222" i="4"/>
  <c r="S222" i="4"/>
  <c r="V222" i="4"/>
  <c r="M223" i="4"/>
  <c r="P223" i="4"/>
  <c r="S223" i="4"/>
  <c r="V223" i="4"/>
  <c r="M224" i="4"/>
  <c r="P224" i="4"/>
  <c r="S224" i="4"/>
  <c r="V224" i="4"/>
  <c r="M225" i="4"/>
  <c r="P225" i="4"/>
  <c r="S225" i="4"/>
  <c r="V225" i="4"/>
  <c r="M226" i="4"/>
  <c r="P226" i="4"/>
  <c r="S226" i="4"/>
  <c r="V226" i="4"/>
  <c r="M227" i="4"/>
  <c r="P227" i="4"/>
  <c r="S227" i="4"/>
  <c r="V227" i="4"/>
  <c r="M228" i="4"/>
  <c r="P228" i="4"/>
  <c r="S228" i="4"/>
  <c r="V228" i="4"/>
  <c r="M229" i="4"/>
  <c r="P229" i="4"/>
  <c r="S229" i="4"/>
  <c r="V229" i="4"/>
  <c r="M230" i="4"/>
  <c r="P230" i="4"/>
  <c r="S230" i="4"/>
  <c r="V230" i="4"/>
  <c r="M231" i="4"/>
  <c r="P231" i="4"/>
  <c r="S231" i="4"/>
  <c r="V231" i="4"/>
  <c r="M232" i="4"/>
  <c r="P232" i="4"/>
  <c r="S232" i="4"/>
  <c r="V232" i="4"/>
  <c r="M233" i="4"/>
  <c r="P233" i="4"/>
  <c r="S233" i="4"/>
  <c r="V233" i="4"/>
  <c r="M234" i="4"/>
  <c r="P234" i="4"/>
  <c r="S234" i="4"/>
  <c r="V234" i="4"/>
  <c r="M235" i="4"/>
  <c r="P235" i="4"/>
  <c r="S235" i="4"/>
  <c r="V235" i="4"/>
  <c r="M236" i="4"/>
  <c r="P236" i="4"/>
  <c r="S236" i="4"/>
  <c r="V236" i="4"/>
  <c r="M237" i="4"/>
  <c r="P237" i="4"/>
  <c r="S237" i="4"/>
  <c r="V237" i="4"/>
  <c r="M238" i="4"/>
  <c r="P238" i="4"/>
  <c r="S238" i="4"/>
  <c r="V238" i="4"/>
  <c r="M239" i="4"/>
  <c r="P239" i="4"/>
  <c r="S239" i="4"/>
  <c r="V239" i="4"/>
  <c r="M240" i="4"/>
  <c r="P240" i="4"/>
  <c r="S240" i="4"/>
  <c r="V240" i="4"/>
  <c r="M241" i="4"/>
  <c r="P241" i="4"/>
  <c r="S241" i="4"/>
  <c r="V241" i="4"/>
  <c r="M242" i="4"/>
  <c r="P242" i="4"/>
  <c r="S242" i="4"/>
  <c r="V242" i="4"/>
  <c r="M243" i="4"/>
  <c r="P243" i="4"/>
  <c r="S243" i="4"/>
  <c r="V243" i="4"/>
  <c r="M244" i="4"/>
  <c r="P244" i="4"/>
  <c r="S244" i="4"/>
  <c r="V244" i="4"/>
  <c r="M245" i="4"/>
  <c r="P245" i="4"/>
  <c r="S245" i="4"/>
  <c r="V245" i="4"/>
  <c r="M246" i="4"/>
  <c r="P246" i="4"/>
  <c r="S246" i="4"/>
  <c r="V246" i="4"/>
  <c r="M247" i="4"/>
  <c r="P247" i="4"/>
  <c r="S247" i="4"/>
  <c r="V247" i="4"/>
  <c r="M248" i="4"/>
  <c r="P248" i="4"/>
  <c r="S248" i="4"/>
  <c r="V248" i="4"/>
  <c r="M249" i="4"/>
  <c r="P249" i="4"/>
  <c r="S249" i="4"/>
  <c r="V249" i="4"/>
  <c r="M250" i="4"/>
  <c r="P250" i="4"/>
  <c r="S250" i="4"/>
  <c r="V250" i="4"/>
  <c r="M251" i="4"/>
  <c r="P251" i="4"/>
  <c r="S251" i="4"/>
  <c r="V251" i="4"/>
  <c r="Q253" i="4"/>
  <c r="Q254" i="4"/>
  <c r="K255" i="4"/>
  <c r="M255" i="4" s="1"/>
  <c r="S255" i="4"/>
  <c r="T255" i="4"/>
  <c r="N255" i="4" s="1"/>
  <c r="P255" i="4" s="1"/>
  <c r="K256" i="4"/>
  <c r="M256" i="4"/>
  <c r="S256" i="4"/>
  <c r="T256" i="4"/>
  <c r="Q257" i="4"/>
  <c r="S257" i="4"/>
  <c r="T257" i="4"/>
  <c r="K258" i="4"/>
  <c r="M258" i="4" s="1"/>
  <c r="N258" i="4"/>
  <c r="P258" i="4" s="1"/>
  <c r="S258" i="4"/>
  <c r="T258" i="4"/>
  <c r="V258" i="4"/>
  <c r="K259" i="4"/>
  <c r="M259" i="4"/>
  <c r="S259" i="4"/>
  <c r="T259" i="4"/>
  <c r="K260" i="4"/>
  <c r="M260" i="4" s="1"/>
  <c r="S260" i="4"/>
  <c r="T260" i="4"/>
  <c r="N260" i="4"/>
  <c r="P260" i="4"/>
  <c r="V260" i="4"/>
  <c r="K261" i="4"/>
  <c r="M261" i="4"/>
  <c r="S261" i="4"/>
  <c r="T261" i="4"/>
  <c r="V261" i="4" s="1"/>
  <c r="K262" i="4"/>
  <c r="M262" i="4"/>
  <c r="N262" i="4"/>
  <c r="P262" i="4" s="1"/>
  <c r="S262" i="4"/>
  <c r="T262" i="4"/>
  <c r="V262" i="4"/>
  <c r="M263" i="4"/>
  <c r="P263" i="4"/>
  <c r="S263" i="4"/>
  <c r="V263" i="4"/>
  <c r="M264" i="4"/>
  <c r="P264" i="4"/>
  <c r="S264" i="4"/>
  <c r="V264" i="4"/>
  <c r="M266" i="4"/>
  <c r="N266" i="4"/>
  <c r="P266" i="4" s="1"/>
  <c r="Q266" i="4"/>
  <c r="K266" i="4" s="1"/>
  <c r="S266" i="4"/>
  <c r="T266" i="4"/>
  <c r="V266" i="4"/>
  <c r="M267" i="4"/>
  <c r="N267" i="4"/>
  <c r="P267" i="4" s="1"/>
  <c r="Q267" i="4"/>
  <c r="K267" i="4" s="1"/>
  <c r="S267" i="4"/>
  <c r="T267" i="4"/>
  <c r="V267" i="4"/>
  <c r="K268" i="4"/>
  <c r="M268" i="4"/>
  <c r="N268" i="4"/>
  <c r="P268" i="4" s="1"/>
  <c r="P265" i="4" s="1"/>
  <c r="S268" i="4"/>
  <c r="T268" i="4"/>
  <c r="V268" i="4" s="1"/>
  <c r="K269" i="4"/>
  <c r="M269" i="4" s="1"/>
  <c r="S269" i="4"/>
  <c r="T269" i="4"/>
  <c r="N269" i="4" s="1"/>
  <c r="P269" i="4" s="1"/>
  <c r="V269" i="4"/>
  <c r="Q270" i="4"/>
  <c r="K271" i="4"/>
  <c r="M271" i="4" s="1"/>
  <c r="S271" i="4"/>
  <c r="T271" i="4"/>
  <c r="V271" i="4" s="1"/>
  <c r="K272" i="4"/>
  <c r="M272" i="4"/>
  <c r="S272" i="4"/>
  <c r="T272" i="4"/>
  <c r="V272" i="4" s="1"/>
  <c r="K273" i="4"/>
  <c r="M273" i="4"/>
  <c r="N273" i="4"/>
  <c r="P273" i="4" s="1"/>
  <c r="S273" i="4"/>
  <c r="T273" i="4"/>
  <c r="V273" i="4"/>
  <c r="K274" i="4"/>
  <c r="M274" i="4"/>
  <c r="S274" i="4"/>
  <c r="T274" i="4"/>
  <c r="N274" i="4" s="1"/>
  <c r="P274" i="4"/>
  <c r="K275" i="4"/>
  <c r="M275" i="4"/>
  <c r="S275" i="4"/>
  <c r="T275" i="4"/>
  <c r="M276" i="4"/>
  <c r="P276" i="4"/>
  <c r="S276" i="4"/>
  <c r="T276" i="4"/>
  <c r="V276" i="4" s="1"/>
  <c r="M277" i="4"/>
  <c r="P277" i="4"/>
  <c r="S277" i="4"/>
  <c r="T277" i="4"/>
  <c r="V277" i="4" s="1"/>
  <c r="M279" i="4"/>
  <c r="P279" i="4"/>
  <c r="S279" i="4"/>
  <c r="V279" i="4"/>
  <c r="M280" i="4"/>
  <c r="P280" i="4"/>
  <c r="S280" i="4"/>
  <c r="V280" i="4"/>
  <c r="M281" i="4"/>
  <c r="P281" i="4"/>
  <c r="S281" i="4"/>
  <c r="V281" i="4"/>
  <c r="M282" i="4"/>
  <c r="P282" i="4"/>
  <c r="S282" i="4"/>
  <c r="V282" i="4"/>
  <c r="M283" i="4"/>
  <c r="P283" i="4"/>
  <c r="S283" i="4"/>
  <c r="V283" i="4"/>
  <c r="M284" i="4"/>
  <c r="P284" i="4"/>
  <c r="S284" i="4"/>
  <c r="V284" i="4"/>
  <c r="M285" i="4"/>
  <c r="P285" i="4"/>
  <c r="S285" i="4"/>
  <c r="V285" i="4"/>
  <c r="M286" i="4"/>
  <c r="P286" i="4"/>
  <c r="S286" i="4"/>
  <c r="V286" i="4"/>
  <c r="M287" i="4"/>
  <c r="P287" i="4"/>
  <c r="S287" i="4"/>
  <c r="V287" i="4"/>
  <c r="M288" i="4"/>
  <c r="P288" i="4"/>
  <c r="S288" i="4"/>
  <c r="V288" i="4"/>
  <c r="M289" i="4"/>
  <c r="P289" i="4"/>
  <c r="S289" i="4"/>
  <c r="V289" i="4"/>
  <c r="M290" i="4"/>
  <c r="P290" i="4"/>
  <c r="S290" i="4"/>
  <c r="V290" i="4"/>
  <c r="M291" i="4"/>
  <c r="P291" i="4"/>
  <c r="S291" i="4"/>
  <c r="V291" i="4"/>
  <c r="L294" i="4"/>
  <c r="O294" i="4"/>
  <c r="T294" i="4"/>
  <c r="V294" i="4" s="1"/>
  <c r="L295" i="4"/>
  <c r="T295" i="4"/>
  <c r="U295" i="4"/>
  <c r="L296" i="4"/>
  <c r="T296" i="4"/>
  <c r="U296" i="4"/>
  <c r="V296" i="4" s="1"/>
  <c r="K297" i="4"/>
  <c r="L297" i="4"/>
  <c r="M297" i="4"/>
  <c r="N297" i="4"/>
  <c r="O297" i="4"/>
  <c r="P297" i="4" s="1"/>
  <c r="S297" i="4"/>
  <c r="V297" i="4"/>
  <c r="K298" i="4"/>
  <c r="M298" i="4" s="1"/>
  <c r="L298" i="4"/>
  <c r="N298" i="4"/>
  <c r="O298" i="4"/>
  <c r="S298" i="4"/>
  <c r="V298" i="4"/>
  <c r="K299" i="4"/>
  <c r="M299" i="4" s="1"/>
  <c r="L299" i="4"/>
  <c r="N299" i="4"/>
  <c r="O299" i="4"/>
  <c r="P299" i="4" s="1"/>
  <c r="S299" i="4"/>
  <c r="V299" i="4"/>
  <c r="K300" i="4"/>
  <c r="L300" i="4"/>
  <c r="M300" i="4"/>
  <c r="N300" i="4"/>
  <c r="O300" i="4"/>
  <c r="P300" i="4" s="1"/>
  <c r="S300" i="4"/>
  <c r="V300" i="4"/>
  <c r="K301" i="4"/>
  <c r="L301" i="4"/>
  <c r="M301" i="4"/>
  <c r="N301" i="4"/>
  <c r="O301" i="4"/>
  <c r="S301" i="4"/>
  <c r="V301" i="4"/>
  <c r="L302" i="4"/>
  <c r="O302" i="4"/>
  <c r="P302" i="4"/>
  <c r="Q302" i="4"/>
  <c r="S302" i="4"/>
  <c r="T302" i="4"/>
  <c r="N302" i="4"/>
  <c r="V302" i="4"/>
  <c r="K303" i="4"/>
  <c r="L303" i="4"/>
  <c r="M303" i="4"/>
  <c r="O303" i="4"/>
  <c r="P303" i="4"/>
  <c r="S303" i="4"/>
  <c r="V303" i="4"/>
  <c r="L304" i="4"/>
  <c r="M304" i="4"/>
  <c r="O304" i="4"/>
  <c r="P304" i="4"/>
  <c r="S304" i="4"/>
  <c r="V304" i="4"/>
  <c r="M305" i="4"/>
  <c r="P305" i="4"/>
  <c r="S305" i="4"/>
  <c r="V305" i="4"/>
  <c r="M306" i="4"/>
  <c r="P306" i="4"/>
  <c r="S306" i="4"/>
  <c r="V306" i="4"/>
  <c r="M307" i="4"/>
  <c r="P307" i="4"/>
  <c r="S307" i="4"/>
  <c r="V307" i="4"/>
  <c r="M308" i="4"/>
  <c r="P308" i="4"/>
  <c r="S308" i="4"/>
  <c r="V308" i="4"/>
  <c r="M309" i="4"/>
  <c r="P309" i="4"/>
  <c r="S309" i="4"/>
  <c r="V309" i="4"/>
  <c r="M310" i="4"/>
  <c r="P310" i="4"/>
  <c r="S310" i="4"/>
  <c r="V310" i="4"/>
  <c r="G311" i="4"/>
  <c r="J311" i="4"/>
  <c r="L312" i="4"/>
  <c r="M312" i="4" s="1"/>
  <c r="M311" i="4" s="1"/>
  <c r="O312" i="4"/>
  <c r="Q312" i="4"/>
  <c r="K312" i="4" s="1"/>
  <c r="T312" i="4"/>
  <c r="V312" i="4" s="1"/>
  <c r="V311" i="4" s="1"/>
  <c r="L313" i="4"/>
  <c r="M313" i="4"/>
  <c r="O313" i="4"/>
  <c r="Q313" i="4"/>
  <c r="K313" i="4" s="1"/>
  <c r="S313" i="4"/>
  <c r="T313" i="4"/>
  <c r="V313" i="4" s="1"/>
  <c r="X313" i="4"/>
  <c r="K314" i="4"/>
  <c r="M314" i="4" s="1"/>
  <c r="L314" i="4"/>
  <c r="N314" i="4"/>
  <c r="P314" i="4" s="1"/>
  <c r="P311" i="4" s="1"/>
  <c r="O314" i="4"/>
  <c r="S314" i="4"/>
  <c r="V314" i="4"/>
  <c r="M315" i="4"/>
  <c r="O315" i="4"/>
  <c r="P315" i="4" s="1"/>
  <c r="S315" i="4"/>
  <c r="V315" i="4"/>
  <c r="M316" i="4"/>
  <c r="O316" i="4"/>
  <c r="P316" i="4"/>
  <c r="S316" i="4"/>
  <c r="V316" i="4"/>
  <c r="G317" i="4"/>
  <c r="M318" i="4"/>
  <c r="P318" i="4"/>
  <c r="S318" i="4"/>
  <c r="U318" i="4"/>
  <c r="V318" i="4"/>
  <c r="M319" i="4"/>
  <c r="P319" i="4"/>
  <c r="S319" i="4"/>
  <c r="U319" i="4"/>
  <c r="V319" i="4"/>
  <c r="M320" i="4"/>
  <c r="P320" i="4"/>
  <c r="S320" i="4"/>
  <c r="V320" i="4"/>
  <c r="M321" i="4"/>
  <c r="P321" i="4"/>
  <c r="S321" i="4"/>
  <c r="V321" i="4"/>
  <c r="M322" i="4"/>
  <c r="P322" i="4"/>
  <c r="S322" i="4"/>
  <c r="V322" i="4"/>
  <c r="M323" i="4"/>
  <c r="P323" i="4"/>
  <c r="S323" i="4"/>
  <c r="V323" i="4"/>
  <c r="G324" i="4"/>
  <c r="J324" i="4"/>
  <c r="K325" i="4"/>
  <c r="L325" i="4"/>
  <c r="M325" i="4" s="1"/>
  <c r="O325" i="4"/>
  <c r="S325" i="4"/>
  <c r="T325" i="4"/>
  <c r="L326" i="4"/>
  <c r="Q326" i="4"/>
  <c r="U326" i="4"/>
  <c r="K327" i="4"/>
  <c r="M327" i="4" s="1"/>
  <c r="L327" i="4"/>
  <c r="N327" i="4"/>
  <c r="S327" i="4"/>
  <c r="U327" i="4"/>
  <c r="V327" i="4"/>
  <c r="P327" i="4" s="1"/>
  <c r="K328" i="4"/>
  <c r="M328" i="4" s="1"/>
  <c r="L328" i="4"/>
  <c r="N328" i="4"/>
  <c r="S328" i="4"/>
  <c r="U328" i="4"/>
  <c r="V328" i="4"/>
  <c r="K329" i="4"/>
  <c r="L329" i="4"/>
  <c r="M329" i="4" s="1"/>
  <c r="N329" i="4"/>
  <c r="S329" i="4"/>
  <c r="U329" i="4"/>
  <c r="K330" i="4"/>
  <c r="O330" i="4"/>
  <c r="R330" i="4"/>
  <c r="L330" i="4" s="1"/>
  <c r="S330" i="4"/>
  <c r="T330" i="4"/>
  <c r="U330" i="4"/>
  <c r="V330" i="4" s="1"/>
  <c r="G331" i="4"/>
  <c r="J331" i="4"/>
  <c r="M332" i="4"/>
  <c r="P332" i="4"/>
  <c r="P331" i="4"/>
  <c r="S332" i="4"/>
  <c r="V332" i="4"/>
  <c r="V331" i="4" s="1"/>
  <c r="M333" i="4"/>
  <c r="M331" i="4"/>
  <c r="P333" i="4"/>
  <c r="S333" i="4"/>
  <c r="S331" i="4" s="1"/>
  <c r="V333" i="4"/>
  <c r="G334" i="4"/>
  <c r="J334" i="4"/>
  <c r="M335" i="4"/>
  <c r="P335" i="4"/>
  <c r="S335" i="4"/>
  <c r="S334" i="4" s="1"/>
  <c r="V335" i="4"/>
  <c r="M336" i="4"/>
  <c r="M334" i="4" s="1"/>
  <c r="P336" i="4"/>
  <c r="S336" i="4"/>
  <c r="V336" i="4"/>
  <c r="M337" i="4"/>
  <c r="P337" i="4"/>
  <c r="S337" i="4"/>
  <c r="V337" i="4"/>
  <c r="M338" i="4"/>
  <c r="P338" i="4"/>
  <c r="S338" i="4"/>
  <c r="V338" i="4"/>
  <c r="M339" i="4"/>
  <c r="P339" i="4"/>
  <c r="S339" i="4"/>
  <c r="V339" i="4"/>
  <c r="M340" i="4"/>
  <c r="P340" i="4"/>
  <c r="S340" i="4"/>
  <c r="V340" i="4"/>
  <c r="M341" i="4"/>
  <c r="P341" i="4"/>
  <c r="S341" i="4"/>
  <c r="V341" i="4"/>
  <c r="M342" i="4"/>
  <c r="P342" i="4"/>
  <c r="S342" i="4"/>
  <c r="V342" i="4"/>
  <c r="G343" i="4"/>
  <c r="J343" i="4"/>
  <c r="M344" i="4"/>
  <c r="P344" i="4"/>
  <c r="S344" i="4"/>
  <c r="V344" i="4"/>
  <c r="M345" i="4"/>
  <c r="M343" i="4" s="1"/>
  <c r="P345" i="4"/>
  <c r="S345" i="4"/>
  <c r="S343" i="4" s="1"/>
  <c r="V345" i="4"/>
  <c r="M346" i="4"/>
  <c r="P346" i="4"/>
  <c r="S346" i="4"/>
  <c r="V346" i="4"/>
  <c r="M347" i="4"/>
  <c r="P347" i="4"/>
  <c r="S347" i="4"/>
  <c r="V347" i="4"/>
  <c r="M348" i="4"/>
  <c r="P348" i="4"/>
  <c r="S348" i="4"/>
  <c r="V348" i="4"/>
  <c r="M349" i="4"/>
  <c r="P349" i="4"/>
  <c r="S349" i="4"/>
  <c r="V349" i="4"/>
  <c r="M350" i="4"/>
  <c r="P350" i="4"/>
  <c r="S350" i="4"/>
  <c r="V350" i="4"/>
  <c r="M351" i="4"/>
  <c r="P351" i="4"/>
  <c r="S351" i="4"/>
  <c r="V351" i="4"/>
  <c r="M352" i="4"/>
  <c r="P352" i="4"/>
  <c r="S352" i="4"/>
  <c r="V352" i="4"/>
  <c r="M353" i="4"/>
  <c r="P353" i="4"/>
  <c r="S353" i="4"/>
  <c r="V353" i="4"/>
  <c r="M354" i="4"/>
  <c r="P354" i="4"/>
  <c r="S354" i="4"/>
  <c r="V354" i="4"/>
  <c r="M355" i="4"/>
  <c r="P355" i="4"/>
  <c r="S355" i="4"/>
  <c r="V355" i="4"/>
  <c r="M356" i="4"/>
  <c r="P356" i="4"/>
  <c r="S356" i="4"/>
  <c r="V356" i="4"/>
  <c r="M357" i="4"/>
  <c r="P357" i="4"/>
  <c r="S357" i="4"/>
  <c r="V357" i="4"/>
  <c r="L358" i="4"/>
  <c r="M358" i="4"/>
  <c r="P358" i="4"/>
  <c r="S358" i="4"/>
  <c r="V358" i="4"/>
  <c r="L359" i="4"/>
  <c r="M359" i="4" s="1"/>
  <c r="P359" i="4"/>
  <c r="S359" i="4"/>
  <c r="V359" i="4"/>
  <c r="M360" i="4"/>
  <c r="P360" i="4"/>
  <c r="S360" i="4"/>
  <c r="V360" i="4"/>
  <c r="M361" i="4"/>
  <c r="P361" i="4"/>
  <c r="S361" i="4"/>
  <c r="V361" i="4"/>
  <c r="M362" i="4"/>
  <c r="P362" i="4"/>
  <c r="S362" i="4"/>
  <c r="V362" i="4"/>
  <c r="M363" i="4"/>
  <c r="P363" i="4"/>
  <c r="S363" i="4"/>
  <c r="V363" i="4"/>
  <c r="M364" i="4"/>
  <c r="P364" i="4"/>
  <c r="S364" i="4"/>
  <c r="V364" i="4"/>
  <c r="M365" i="4"/>
  <c r="P365" i="4"/>
  <c r="S365" i="4"/>
  <c r="V365" i="4"/>
  <c r="M366" i="4"/>
  <c r="P366" i="4"/>
  <c r="S366" i="4"/>
  <c r="V366" i="4"/>
  <c r="M367" i="4"/>
  <c r="P367" i="4"/>
  <c r="S367" i="4"/>
  <c r="V367" i="4"/>
  <c r="M368" i="4"/>
  <c r="P368" i="4"/>
  <c r="S368" i="4"/>
  <c r="V368" i="4"/>
  <c r="M369" i="4"/>
  <c r="P369" i="4"/>
  <c r="S369" i="4"/>
  <c r="V369" i="4"/>
  <c r="M370" i="4"/>
  <c r="P370" i="4"/>
  <c r="S370" i="4"/>
  <c r="V370" i="4"/>
  <c r="M371" i="4"/>
  <c r="P371" i="4"/>
  <c r="S371" i="4"/>
  <c r="V371" i="4"/>
  <c r="M372" i="4"/>
  <c r="P372" i="4"/>
  <c r="S372" i="4"/>
  <c r="V372" i="4"/>
  <c r="M373" i="4"/>
  <c r="P373" i="4"/>
  <c r="S373" i="4"/>
  <c r="V373" i="4"/>
  <c r="M374" i="4"/>
  <c r="P374" i="4"/>
  <c r="S374" i="4"/>
  <c r="V374" i="4"/>
  <c r="M375" i="4"/>
  <c r="P375" i="4"/>
  <c r="S375" i="4"/>
  <c r="V375" i="4"/>
  <c r="M376" i="4"/>
  <c r="P376" i="4"/>
  <c r="S376" i="4"/>
  <c r="V376" i="4"/>
  <c r="M377" i="4"/>
  <c r="P377" i="4"/>
  <c r="S377" i="4"/>
  <c r="V377" i="4"/>
  <c r="M378" i="4"/>
  <c r="P378" i="4"/>
  <c r="S378" i="4"/>
  <c r="V378" i="4"/>
  <c r="M379" i="4"/>
  <c r="P379" i="4"/>
  <c r="S379" i="4"/>
  <c r="V379" i="4"/>
  <c r="M380" i="4"/>
  <c r="P380" i="4"/>
  <c r="S380" i="4"/>
  <c r="V380" i="4"/>
  <c r="M381" i="4"/>
  <c r="P381" i="4"/>
  <c r="S381" i="4"/>
  <c r="V381" i="4"/>
  <c r="M382" i="4"/>
  <c r="P382" i="4"/>
  <c r="S382" i="4"/>
  <c r="V382" i="4"/>
  <c r="M383" i="4"/>
  <c r="P383" i="4"/>
  <c r="S383" i="4"/>
  <c r="V383" i="4"/>
  <c r="M384" i="4"/>
  <c r="P384" i="4"/>
  <c r="S384" i="4"/>
  <c r="V384" i="4"/>
  <c r="M385" i="4"/>
  <c r="P385" i="4"/>
  <c r="S385" i="4"/>
  <c r="V385" i="4"/>
  <c r="M386" i="4"/>
  <c r="P386" i="4"/>
  <c r="S386" i="4"/>
  <c r="V386" i="4"/>
  <c r="M387" i="4"/>
  <c r="P387" i="4"/>
  <c r="S387" i="4"/>
  <c r="V387" i="4"/>
  <c r="M388" i="4"/>
  <c r="P388" i="4"/>
  <c r="S388" i="4"/>
  <c r="V388" i="4"/>
  <c r="M389" i="4"/>
  <c r="P389" i="4"/>
  <c r="S389" i="4"/>
  <c r="V389" i="4"/>
  <c r="M390" i="4"/>
  <c r="P390" i="4"/>
  <c r="S390" i="4"/>
  <c r="V390" i="4"/>
  <c r="M391" i="4"/>
  <c r="P391" i="4"/>
  <c r="S391" i="4"/>
  <c r="V391" i="4"/>
  <c r="M392" i="4"/>
  <c r="P392" i="4"/>
  <c r="S392" i="4"/>
  <c r="V392" i="4"/>
  <c r="M393" i="4"/>
  <c r="P393" i="4"/>
  <c r="S393" i="4"/>
  <c r="V393" i="4"/>
  <c r="M394" i="4"/>
  <c r="P394" i="4"/>
  <c r="S394" i="4"/>
  <c r="V394" i="4"/>
  <c r="M395" i="4"/>
  <c r="P395" i="4"/>
  <c r="S395" i="4"/>
  <c r="V395" i="4"/>
  <c r="M396" i="4"/>
  <c r="P396" i="4"/>
  <c r="S396" i="4"/>
  <c r="V396" i="4"/>
  <c r="M397" i="4"/>
  <c r="P397" i="4"/>
  <c r="S397" i="4"/>
  <c r="V397" i="4"/>
  <c r="M398" i="4"/>
  <c r="P398" i="4"/>
  <c r="S398" i="4"/>
  <c r="V398" i="4"/>
  <c r="M399" i="4"/>
  <c r="P399" i="4"/>
  <c r="S399" i="4"/>
  <c r="V399" i="4"/>
  <c r="M400" i="4"/>
  <c r="P400" i="4"/>
  <c r="S400" i="4"/>
  <c r="V400" i="4"/>
  <c r="M401" i="4"/>
  <c r="P401" i="4"/>
  <c r="S401" i="4"/>
  <c r="V401" i="4"/>
  <c r="M402" i="4"/>
  <c r="P402" i="4"/>
  <c r="S402" i="4"/>
  <c r="V402" i="4"/>
  <c r="M403" i="4"/>
  <c r="P403" i="4"/>
  <c r="S403" i="4"/>
  <c r="V403" i="4"/>
  <c r="M404" i="4"/>
  <c r="P404" i="4"/>
  <c r="S404" i="4"/>
  <c r="V404" i="4"/>
  <c r="M405" i="4"/>
  <c r="P405" i="4"/>
  <c r="S405" i="4"/>
  <c r="V405" i="4"/>
  <c r="M406" i="4"/>
  <c r="P406" i="4"/>
  <c r="S406" i="4"/>
  <c r="V406" i="4"/>
  <c r="M407" i="4"/>
  <c r="P407" i="4"/>
  <c r="S407" i="4"/>
  <c r="V407" i="4"/>
  <c r="M408" i="4"/>
  <c r="P408" i="4"/>
  <c r="S408" i="4"/>
  <c r="V408" i="4"/>
  <c r="M409" i="4"/>
  <c r="P409" i="4"/>
  <c r="S409" i="4"/>
  <c r="V409" i="4"/>
  <c r="M410" i="4"/>
  <c r="P410" i="4"/>
  <c r="S410" i="4"/>
  <c r="V410" i="4"/>
  <c r="M411" i="4"/>
  <c r="P411" i="4"/>
  <c r="S411" i="4"/>
  <c r="V411" i="4"/>
  <c r="M412" i="4"/>
  <c r="P412" i="4"/>
  <c r="S412" i="4"/>
  <c r="V412" i="4"/>
  <c r="M413" i="4"/>
  <c r="P413" i="4"/>
  <c r="S413" i="4"/>
  <c r="V413" i="4"/>
  <c r="M414" i="4"/>
  <c r="P414" i="4"/>
  <c r="S414" i="4"/>
  <c r="V414" i="4"/>
  <c r="M415" i="4"/>
  <c r="P415" i="4"/>
  <c r="S415" i="4"/>
  <c r="V415" i="4"/>
  <c r="M416" i="4"/>
  <c r="P416" i="4"/>
  <c r="S416" i="4"/>
  <c r="V416" i="4"/>
  <c r="M417" i="4"/>
  <c r="P417" i="4"/>
  <c r="S417" i="4"/>
  <c r="V417" i="4"/>
  <c r="M418" i="4"/>
  <c r="P418" i="4"/>
  <c r="S418" i="4"/>
  <c r="V418" i="4"/>
  <c r="M419" i="4"/>
  <c r="P419" i="4"/>
  <c r="S419" i="4"/>
  <c r="V419" i="4"/>
  <c r="M420" i="4"/>
  <c r="P420" i="4"/>
  <c r="S420" i="4"/>
  <c r="V420" i="4"/>
  <c r="M421" i="4"/>
  <c r="P421" i="4"/>
  <c r="S421" i="4"/>
  <c r="V421" i="4"/>
  <c r="M422" i="4"/>
  <c r="P422" i="4"/>
  <c r="S422" i="4"/>
  <c r="V422" i="4"/>
  <c r="M423" i="4"/>
  <c r="P423" i="4"/>
  <c r="S423" i="4"/>
  <c r="V423" i="4"/>
  <c r="M424" i="4"/>
  <c r="P424" i="4"/>
  <c r="S424" i="4"/>
  <c r="V424" i="4"/>
  <c r="M425" i="4"/>
  <c r="P425" i="4"/>
  <c r="S425" i="4"/>
  <c r="V425" i="4"/>
  <c r="M426" i="4"/>
  <c r="P426" i="4"/>
  <c r="S426" i="4"/>
  <c r="V426" i="4"/>
  <c r="M428" i="4"/>
  <c r="P428" i="4"/>
  <c r="S428" i="4"/>
  <c r="V428" i="4"/>
  <c r="M429" i="4"/>
  <c r="P429" i="4"/>
  <c r="S429" i="4"/>
  <c r="V429" i="4"/>
  <c r="M430" i="4"/>
  <c r="P430" i="4"/>
  <c r="S430" i="4"/>
  <c r="V430" i="4"/>
  <c r="M431" i="4"/>
  <c r="P431" i="4"/>
  <c r="S431" i="4"/>
  <c r="V431" i="4"/>
  <c r="M432" i="4"/>
  <c r="P432" i="4"/>
  <c r="S432" i="4"/>
  <c r="V432" i="4"/>
  <c r="M433" i="4"/>
  <c r="P433" i="4"/>
  <c r="S433" i="4"/>
  <c r="V433" i="4"/>
  <c r="M434" i="4"/>
  <c r="P434" i="4"/>
  <c r="S434" i="4"/>
  <c r="V434" i="4"/>
  <c r="M435" i="4"/>
  <c r="P435" i="4"/>
  <c r="S435" i="4"/>
  <c r="V435" i="4"/>
  <c r="M436" i="4"/>
  <c r="P436" i="4"/>
  <c r="S436" i="4"/>
  <c r="V436" i="4"/>
  <c r="M437" i="4"/>
  <c r="P437" i="4"/>
  <c r="S437" i="4"/>
  <c r="V437" i="4"/>
  <c r="M438" i="4"/>
  <c r="P438" i="4"/>
  <c r="S438" i="4"/>
  <c r="V438" i="4"/>
  <c r="M439" i="4"/>
  <c r="P439" i="4"/>
  <c r="S439" i="4"/>
  <c r="V439" i="4"/>
  <c r="M440" i="4"/>
  <c r="P440" i="4"/>
  <c r="S440" i="4"/>
  <c r="V440" i="4"/>
  <c r="M441" i="4"/>
  <c r="P441" i="4"/>
  <c r="S441" i="4"/>
  <c r="V441" i="4"/>
  <c r="M442" i="4"/>
  <c r="P442" i="4"/>
  <c r="S442" i="4"/>
  <c r="V442" i="4"/>
  <c r="M443" i="4"/>
  <c r="P443" i="4"/>
  <c r="S443" i="4"/>
  <c r="V443" i="4"/>
  <c r="M444" i="4"/>
  <c r="P444" i="4"/>
  <c r="S444" i="4"/>
  <c r="V444" i="4"/>
  <c r="M445" i="4"/>
  <c r="P445" i="4"/>
  <c r="S445" i="4"/>
  <c r="V445" i="4"/>
  <c r="M447" i="4"/>
  <c r="P447" i="4"/>
  <c r="S447" i="4"/>
  <c r="M448" i="4"/>
  <c r="P448" i="4"/>
  <c r="S448" i="4"/>
  <c r="V448" i="4"/>
  <c r="M449" i="4"/>
  <c r="P449" i="4"/>
  <c r="S449" i="4"/>
  <c r="V449" i="4"/>
  <c r="M450" i="4"/>
  <c r="P450" i="4"/>
  <c r="S450" i="4"/>
  <c r="V450" i="4"/>
  <c r="M451" i="4"/>
  <c r="P451" i="4"/>
  <c r="S451" i="4"/>
  <c r="V451" i="4"/>
  <c r="M452" i="4"/>
  <c r="P452" i="4"/>
  <c r="S452" i="4"/>
  <c r="V452" i="4"/>
  <c r="M453" i="4"/>
  <c r="P453" i="4"/>
  <c r="S453" i="4"/>
  <c r="V453" i="4"/>
  <c r="M454" i="4"/>
  <c r="P454" i="4"/>
  <c r="S454" i="4"/>
  <c r="V454" i="4"/>
  <c r="M455" i="4"/>
  <c r="P455" i="4"/>
  <c r="S455" i="4"/>
  <c r="V455" i="4"/>
  <c r="M456" i="4"/>
  <c r="P456" i="4"/>
  <c r="S456" i="4"/>
  <c r="V456" i="4"/>
  <c r="M457" i="4"/>
  <c r="P457" i="4"/>
  <c r="S457" i="4"/>
  <c r="V457" i="4"/>
  <c r="M458" i="4"/>
  <c r="P458" i="4"/>
  <c r="S458" i="4"/>
  <c r="V458" i="4"/>
  <c r="M459" i="4"/>
  <c r="P459" i="4"/>
  <c r="S459" i="4"/>
  <c r="V459" i="4"/>
  <c r="M460" i="4"/>
  <c r="P460" i="4"/>
  <c r="S460" i="4"/>
  <c r="V460" i="4"/>
  <c r="M461" i="4"/>
  <c r="P461" i="4"/>
  <c r="S461" i="4"/>
  <c r="V461" i="4"/>
  <c r="M462" i="4"/>
  <c r="P462" i="4"/>
  <c r="S462" i="4"/>
  <c r="V462" i="4"/>
  <c r="M463" i="4"/>
  <c r="P463" i="4"/>
  <c r="S463" i="4"/>
  <c r="V463" i="4"/>
  <c r="M464" i="4"/>
  <c r="P464" i="4"/>
  <c r="S464" i="4"/>
  <c r="V464" i="4"/>
  <c r="M465" i="4"/>
  <c r="P465" i="4"/>
  <c r="S465" i="4"/>
  <c r="V465" i="4"/>
  <c r="G466" i="4"/>
  <c r="G446" i="4" s="1"/>
  <c r="J466" i="4"/>
  <c r="J446" i="4" s="1"/>
  <c r="K467" i="4"/>
  <c r="M467" i="4" s="1"/>
  <c r="N467" i="4"/>
  <c r="S467" i="4"/>
  <c r="U467" i="4"/>
  <c r="O467" i="4"/>
  <c r="V467" i="4"/>
  <c r="V466" i="4"/>
  <c r="K468" i="4"/>
  <c r="M468" i="4"/>
  <c r="N468" i="4"/>
  <c r="R468" i="4"/>
  <c r="S468" i="4"/>
  <c r="U468" i="4"/>
  <c r="V468" i="4" s="1"/>
  <c r="O468" i="4"/>
  <c r="P468" i="4" s="1"/>
  <c r="X468" i="4"/>
  <c r="K469" i="4"/>
  <c r="M469" i="4" s="1"/>
  <c r="N469" i="4"/>
  <c r="P469" i="4"/>
  <c r="S469" i="4"/>
  <c r="V469" i="4"/>
  <c r="K470" i="4"/>
  <c r="M470" i="4"/>
  <c r="N470" i="4"/>
  <c r="P470" i="4" s="1"/>
  <c r="S470" i="4"/>
  <c r="V470" i="4"/>
  <c r="M471" i="4"/>
  <c r="P471" i="4"/>
  <c r="S471" i="4"/>
  <c r="V471" i="4"/>
  <c r="M472" i="4"/>
  <c r="P472" i="4"/>
  <c r="S472" i="4"/>
  <c r="V472" i="4"/>
  <c r="M473" i="4"/>
  <c r="P473" i="4"/>
  <c r="S473" i="4"/>
  <c r="V473" i="4"/>
  <c r="M474" i="4"/>
  <c r="P474" i="4"/>
  <c r="S474" i="4"/>
  <c r="V474" i="4"/>
  <c r="M475" i="4"/>
  <c r="P475" i="4"/>
  <c r="S475" i="4"/>
  <c r="V475" i="4"/>
  <c r="M476" i="4"/>
  <c r="P476" i="4"/>
  <c r="S476" i="4"/>
  <c r="V476" i="4"/>
  <c r="M477" i="4"/>
  <c r="P477" i="4"/>
  <c r="S477" i="4"/>
  <c r="V477" i="4"/>
  <c r="M478" i="4"/>
  <c r="P478" i="4"/>
  <c r="S478" i="4"/>
  <c r="V478" i="4"/>
  <c r="M479" i="4"/>
  <c r="P479" i="4"/>
  <c r="S479" i="4"/>
  <c r="V479" i="4"/>
  <c r="M480" i="4"/>
  <c r="P480" i="4"/>
  <c r="S480" i="4"/>
  <c r="V480" i="4"/>
  <c r="M481" i="4"/>
  <c r="P481" i="4"/>
  <c r="S481" i="4"/>
  <c r="V481" i="4"/>
  <c r="M482" i="4"/>
  <c r="P482" i="4"/>
  <c r="S482" i="4"/>
  <c r="V482" i="4"/>
  <c r="M483" i="4"/>
  <c r="P483" i="4"/>
  <c r="S483" i="4"/>
  <c r="V483" i="4"/>
  <c r="M484" i="4"/>
  <c r="P484" i="4"/>
  <c r="S484" i="4"/>
  <c r="V484" i="4"/>
  <c r="M485" i="4"/>
  <c r="P485" i="4"/>
  <c r="S485" i="4"/>
  <c r="V485" i="4"/>
  <c r="M486" i="4"/>
  <c r="P486" i="4"/>
  <c r="S486" i="4"/>
  <c r="V486" i="4"/>
  <c r="M487" i="4"/>
  <c r="P487" i="4"/>
  <c r="S487" i="4"/>
  <c r="V487" i="4"/>
  <c r="M488" i="4"/>
  <c r="P488" i="4"/>
  <c r="S488" i="4"/>
  <c r="V488" i="4"/>
  <c r="M489" i="4"/>
  <c r="P489" i="4"/>
  <c r="S489" i="4"/>
  <c r="V489" i="4"/>
  <c r="M490" i="4"/>
  <c r="P490" i="4"/>
  <c r="S490" i="4"/>
  <c r="V490" i="4"/>
  <c r="M491" i="4"/>
  <c r="P491" i="4"/>
  <c r="S491" i="4"/>
  <c r="V491" i="4"/>
  <c r="M492" i="4"/>
  <c r="P492" i="4"/>
  <c r="S492" i="4"/>
  <c r="V492" i="4"/>
  <c r="M493" i="4"/>
  <c r="P493" i="4"/>
  <c r="S493" i="4"/>
  <c r="V493" i="4"/>
  <c r="M494" i="4"/>
  <c r="P494" i="4"/>
  <c r="S494" i="4"/>
  <c r="V494" i="4"/>
  <c r="M495" i="4"/>
  <c r="P495" i="4"/>
  <c r="S495" i="4"/>
  <c r="V495" i="4"/>
  <c r="M496" i="4"/>
  <c r="P496" i="4"/>
  <c r="S496" i="4"/>
  <c r="V496" i="4"/>
  <c r="M497" i="4"/>
  <c r="P497" i="4"/>
  <c r="S497" i="4"/>
  <c r="V497" i="4"/>
  <c r="M498" i="4"/>
  <c r="P498" i="4"/>
  <c r="S498" i="4"/>
  <c r="V498" i="4"/>
  <c r="M499" i="4"/>
  <c r="P499" i="4"/>
  <c r="S499" i="4"/>
  <c r="V499" i="4"/>
  <c r="M500" i="4"/>
  <c r="P500" i="4"/>
  <c r="S500" i="4"/>
  <c r="V500" i="4"/>
  <c r="M501" i="4"/>
  <c r="P501" i="4"/>
  <c r="S501" i="4"/>
  <c r="V501" i="4"/>
  <c r="M502" i="4"/>
  <c r="P502" i="4"/>
  <c r="S502" i="4"/>
  <c r="V502" i="4"/>
  <c r="M503" i="4"/>
  <c r="P503" i="4"/>
  <c r="S503" i="4"/>
  <c r="V503" i="4"/>
  <c r="M504" i="4"/>
  <c r="P504" i="4"/>
  <c r="S504" i="4"/>
  <c r="V504" i="4"/>
  <c r="M505" i="4"/>
  <c r="P505" i="4"/>
  <c r="S505" i="4"/>
  <c r="V505" i="4"/>
  <c r="M506" i="4"/>
  <c r="P506" i="4"/>
  <c r="S506" i="4"/>
  <c r="V506" i="4"/>
  <c r="M507" i="4"/>
  <c r="P507" i="4"/>
  <c r="S507" i="4"/>
  <c r="V507" i="4"/>
  <c r="M508" i="4"/>
  <c r="P508" i="4"/>
  <c r="S508" i="4"/>
  <c r="V508" i="4"/>
  <c r="M509" i="4"/>
  <c r="P509" i="4"/>
  <c r="S509" i="4"/>
  <c r="V509" i="4"/>
  <c r="M510" i="4"/>
  <c r="P510" i="4"/>
  <c r="S510" i="4"/>
  <c r="V510" i="4"/>
  <c r="M511" i="4"/>
  <c r="P511" i="4"/>
  <c r="S511" i="4"/>
  <c r="V511" i="4"/>
  <c r="M512" i="4"/>
  <c r="P512" i="4"/>
  <c r="S512" i="4"/>
  <c r="V512" i="4"/>
  <c r="M513" i="4"/>
  <c r="P513" i="4"/>
  <c r="S513" i="4"/>
  <c r="V513" i="4"/>
  <c r="M514" i="4"/>
  <c r="P514" i="4"/>
  <c r="S514" i="4"/>
  <c r="V514" i="4"/>
  <c r="M515" i="4"/>
  <c r="P515" i="4"/>
  <c r="S515" i="4"/>
  <c r="V515" i="4"/>
  <c r="M516" i="4"/>
  <c r="P516" i="4"/>
  <c r="S516" i="4"/>
  <c r="V516" i="4"/>
  <c r="M517" i="4"/>
  <c r="P517" i="4"/>
  <c r="S517" i="4"/>
  <c r="V517" i="4"/>
  <c r="M518" i="4"/>
  <c r="P518" i="4"/>
  <c r="S518" i="4"/>
  <c r="V518" i="4"/>
  <c r="M519" i="4"/>
  <c r="P519" i="4"/>
  <c r="S519" i="4"/>
  <c r="V519" i="4"/>
  <c r="M520" i="4"/>
  <c r="P520" i="4"/>
  <c r="S520" i="4"/>
  <c r="V520" i="4"/>
  <c r="M521" i="4"/>
  <c r="P521" i="4"/>
  <c r="S521" i="4"/>
  <c r="M522" i="4"/>
  <c r="P522" i="4"/>
  <c r="S522" i="4"/>
  <c r="M523" i="4"/>
  <c r="P523" i="4"/>
  <c r="S523" i="4"/>
  <c r="V523" i="4"/>
  <c r="M524" i="4"/>
  <c r="P524" i="4"/>
  <c r="S524" i="4"/>
  <c r="V524" i="4"/>
  <c r="M525" i="4"/>
  <c r="P525" i="4"/>
  <c r="S525" i="4"/>
  <c r="V525" i="4"/>
  <c r="V522" i="4" s="1"/>
  <c r="M526" i="4"/>
  <c r="P526" i="4"/>
  <c r="S526" i="4"/>
  <c r="V526" i="4"/>
  <c r="M527" i="4"/>
  <c r="P527" i="4"/>
  <c r="S527" i="4"/>
  <c r="V527" i="4"/>
  <c r="M528" i="4"/>
  <c r="P528" i="4"/>
  <c r="S528" i="4"/>
  <c r="V528" i="4"/>
  <c r="M529" i="4"/>
  <c r="P529" i="4"/>
  <c r="S529" i="4"/>
  <c r="V529" i="4"/>
  <c r="M530" i="4"/>
  <c r="P530" i="4"/>
  <c r="S530" i="4"/>
  <c r="V530" i="4"/>
  <c r="M531" i="4"/>
  <c r="P531" i="4"/>
  <c r="S531" i="4"/>
  <c r="V531" i="4"/>
  <c r="M532" i="4"/>
  <c r="P532" i="4"/>
  <c r="S532" i="4"/>
  <c r="V532" i="4"/>
  <c r="M533" i="4"/>
  <c r="P533" i="4"/>
  <c r="S533" i="4"/>
  <c r="V533" i="4"/>
  <c r="M534" i="4"/>
  <c r="P534" i="4"/>
  <c r="S534" i="4"/>
  <c r="V534" i="4"/>
  <c r="M535" i="4"/>
  <c r="P535" i="4"/>
  <c r="S535" i="4"/>
  <c r="V535" i="4"/>
  <c r="M536" i="4"/>
  <c r="P536" i="4"/>
  <c r="S536" i="4"/>
  <c r="V536" i="4"/>
  <c r="M537" i="4"/>
  <c r="P537" i="4"/>
  <c r="S537" i="4"/>
  <c r="V537" i="4"/>
  <c r="M538" i="4"/>
  <c r="P538" i="4"/>
  <c r="S538" i="4"/>
  <c r="V538" i="4"/>
  <c r="M539" i="4"/>
  <c r="P539" i="4"/>
  <c r="S539" i="4"/>
  <c r="V539" i="4"/>
  <c r="M540" i="4"/>
  <c r="P540" i="4"/>
  <c r="S540" i="4"/>
  <c r="V540" i="4"/>
  <c r="M541" i="4"/>
  <c r="P541" i="4"/>
  <c r="S541" i="4"/>
  <c r="M542" i="4"/>
  <c r="P542" i="4"/>
  <c r="S542" i="4"/>
  <c r="V542" i="4"/>
  <c r="M543" i="4"/>
  <c r="P543" i="4"/>
  <c r="S543" i="4"/>
  <c r="T543" i="4"/>
  <c r="U543" i="4"/>
  <c r="M544" i="4"/>
  <c r="P544" i="4"/>
  <c r="S544" i="4"/>
  <c r="V544" i="4"/>
  <c r="M545" i="4"/>
  <c r="P545" i="4"/>
  <c r="S545" i="4"/>
  <c r="V545" i="4"/>
  <c r="M546" i="4"/>
  <c r="P546" i="4"/>
  <c r="S546" i="4"/>
  <c r="V546" i="4"/>
  <c r="M547" i="4"/>
  <c r="P547" i="4"/>
  <c r="S547" i="4"/>
  <c r="V547" i="4"/>
  <c r="M548" i="4"/>
  <c r="P548" i="4"/>
  <c r="S548" i="4"/>
  <c r="V548" i="4"/>
  <c r="M549" i="4"/>
  <c r="P549" i="4"/>
  <c r="S549" i="4"/>
  <c r="V549" i="4"/>
  <c r="M550" i="4"/>
  <c r="P550" i="4"/>
  <c r="S550" i="4"/>
  <c r="V550" i="4"/>
  <c r="M551" i="4"/>
  <c r="P551" i="4"/>
  <c r="S551" i="4"/>
  <c r="V551" i="4"/>
  <c r="M552" i="4"/>
  <c r="P552" i="4"/>
  <c r="S552" i="4"/>
  <c r="V552" i="4"/>
  <c r="M553" i="4"/>
  <c r="P553" i="4"/>
  <c r="S553" i="4"/>
  <c r="V553" i="4"/>
  <c r="M554" i="4"/>
  <c r="P554" i="4"/>
  <c r="S554" i="4"/>
  <c r="V554" i="4"/>
  <c r="M555" i="4"/>
  <c r="P555" i="4"/>
  <c r="S555" i="4"/>
  <c r="V555" i="4"/>
  <c r="M556" i="4"/>
  <c r="P556" i="4"/>
  <c r="S556" i="4"/>
  <c r="V556" i="4"/>
  <c r="M557" i="4"/>
  <c r="P557" i="4"/>
  <c r="S557" i="4"/>
  <c r="V557" i="4"/>
  <c r="M558" i="4"/>
  <c r="P558" i="4"/>
  <c r="S558" i="4"/>
  <c r="V558" i="4"/>
  <c r="M559" i="4"/>
  <c r="P559" i="4"/>
  <c r="S559" i="4"/>
  <c r="V559" i="4"/>
  <c r="M560" i="4"/>
  <c r="P560" i="4"/>
  <c r="S560" i="4"/>
  <c r="V560" i="4"/>
  <c r="M561" i="4"/>
  <c r="P561" i="4"/>
  <c r="S561" i="4"/>
  <c r="V561" i="4"/>
  <c r="M562" i="4"/>
  <c r="P562" i="4"/>
  <c r="S562" i="4"/>
  <c r="V562" i="4"/>
  <c r="M563" i="4"/>
  <c r="P563" i="4"/>
  <c r="S563" i="4"/>
  <c r="V563" i="4"/>
  <c r="M564" i="4"/>
  <c r="P564" i="4"/>
  <c r="S564" i="4"/>
  <c r="V564" i="4"/>
  <c r="M565" i="4"/>
  <c r="P565" i="4"/>
  <c r="S565" i="4"/>
  <c r="V565" i="4"/>
  <c r="M566" i="4"/>
  <c r="P566" i="4"/>
  <c r="S566" i="4"/>
  <c r="V566" i="4"/>
  <c r="M567" i="4"/>
  <c r="P567" i="4"/>
  <c r="S567" i="4"/>
  <c r="V567" i="4"/>
  <c r="M568" i="4"/>
  <c r="P568" i="4"/>
  <c r="S568" i="4"/>
  <c r="V568" i="4"/>
  <c r="M569" i="4"/>
  <c r="P569" i="4"/>
  <c r="S569" i="4"/>
  <c r="V569" i="4"/>
  <c r="M570" i="4"/>
  <c r="P570" i="4"/>
  <c r="S570" i="4"/>
  <c r="V570" i="4"/>
  <c r="M571" i="4"/>
  <c r="P571" i="4"/>
  <c r="S571" i="4"/>
  <c r="V571" i="4"/>
  <c r="M572" i="4"/>
  <c r="P572" i="4"/>
  <c r="S572" i="4"/>
  <c r="V572" i="4"/>
  <c r="M573" i="4"/>
  <c r="P573" i="4"/>
  <c r="S573" i="4"/>
  <c r="V573" i="4"/>
  <c r="M574" i="4"/>
  <c r="P574" i="4"/>
  <c r="S574" i="4"/>
  <c r="V574" i="4"/>
  <c r="M575" i="4"/>
  <c r="P575" i="4"/>
  <c r="S575" i="4"/>
  <c r="V575" i="4"/>
  <c r="M576" i="4"/>
  <c r="P576" i="4"/>
  <c r="S576" i="4"/>
  <c r="V576" i="4"/>
  <c r="M577" i="4"/>
  <c r="P577" i="4"/>
  <c r="S577" i="4"/>
  <c r="V577" i="4"/>
  <c r="L578" i="4"/>
  <c r="M578" i="4"/>
  <c r="P578" i="4"/>
  <c r="S578" i="4"/>
  <c r="V578" i="4"/>
  <c r="M580" i="4"/>
  <c r="P580" i="4"/>
  <c r="S580" i="4"/>
  <c r="L581" i="4"/>
  <c r="M581" i="4"/>
  <c r="J32" i="9" s="1"/>
  <c r="O581" i="4"/>
  <c r="P581" i="4" s="1"/>
  <c r="J33" i="9" s="1"/>
  <c r="S581" i="4"/>
  <c r="K32" i="9"/>
  <c r="V581" i="4"/>
  <c r="K33" i="9"/>
  <c r="G582" i="4"/>
  <c r="D8" i="9" s="1"/>
  <c r="F8" i="9" s="1"/>
  <c r="J582" i="4"/>
  <c r="E8" i="9" s="1"/>
  <c r="K8" i="6"/>
  <c r="N8" i="6" s="1"/>
  <c r="P8" i="6" s="1"/>
  <c r="L8" i="6"/>
  <c r="O8" i="6"/>
  <c r="S8" i="6"/>
  <c r="T8" i="6"/>
  <c r="V8" i="6" s="1"/>
  <c r="K9" i="6"/>
  <c r="M9" i="6" s="1"/>
  <c r="L9" i="6"/>
  <c r="O9" i="6"/>
  <c r="S9" i="6"/>
  <c r="T9" i="6"/>
  <c r="V9" i="6"/>
  <c r="K10" i="6"/>
  <c r="N10" i="6" s="1"/>
  <c r="L10" i="6"/>
  <c r="M10" i="6"/>
  <c r="O10" i="6"/>
  <c r="S10" i="6"/>
  <c r="T10" i="6"/>
  <c r="V10" i="6" s="1"/>
  <c r="K11" i="6"/>
  <c r="N11" i="6"/>
  <c r="L11" i="6"/>
  <c r="M11" i="6" s="1"/>
  <c r="O11" i="6"/>
  <c r="P11" i="6" s="1"/>
  <c r="S11" i="6"/>
  <c r="T11" i="6"/>
  <c r="V11" i="6" s="1"/>
  <c r="K12" i="6"/>
  <c r="N12" i="6" s="1"/>
  <c r="L12" i="6"/>
  <c r="O12" i="6"/>
  <c r="S12" i="6"/>
  <c r="T12" i="6"/>
  <c r="V12" i="6"/>
  <c r="K13" i="6"/>
  <c r="N13" i="6" s="1"/>
  <c r="P13" i="6" s="1"/>
  <c r="L13" i="6"/>
  <c r="O13" i="6"/>
  <c r="S13" i="6"/>
  <c r="T13" i="6"/>
  <c r="V13" i="6"/>
  <c r="K14" i="6"/>
  <c r="L14" i="6"/>
  <c r="M14" i="6" s="1"/>
  <c r="N14" i="6"/>
  <c r="P14" i="6"/>
  <c r="O14" i="6"/>
  <c r="S14" i="6"/>
  <c r="T14" i="6"/>
  <c r="V14" i="6" s="1"/>
  <c r="K15" i="6"/>
  <c r="N15" i="6"/>
  <c r="L15" i="6"/>
  <c r="O15" i="6"/>
  <c r="S15" i="6"/>
  <c r="T15" i="6"/>
  <c r="V15" i="6"/>
  <c r="K16" i="6"/>
  <c r="N16" i="6"/>
  <c r="P16" i="6" s="1"/>
  <c r="L16" i="6"/>
  <c r="O16" i="6"/>
  <c r="S16" i="6"/>
  <c r="T16" i="6"/>
  <c r="V16" i="6"/>
  <c r="K17" i="6"/>
  <c r="L17" i="6"/>
  <c r="O17" i="6"/>
  <c r="S17" i="6"/>
  <c r="T17" i="6"/>
  <c r="V17" i="6"/>
  <c r="K18" i="6"/>
  <c r="L18" i="6"/>
  <c r="M18" i="6" s="1"/>
  <c r="N18" i="6"/>
  <c r="O18" i="6"/>
  <c r="S18" i="6"/>
  <c r="T18" i="6"/>
  <c r="V18" i="6" s="1"/>
  <c r="K19" i="6"/>
  <c r="N19" i="6" s="1"/>
  <c r="P19" i="6" s="1"/>
  <c r="L19" i="6"/>
  <c r="O19" i="6"/>
  <c r="S19" i="6"/>
  <c r="T19" i="6"/>
  <c r="V19" i="6"/>
  <c r="K20" i="6"/>
  <c r="N20" i="6" s="1"/>
  <c r="P20" i="6" s="1"/>
  <c r="L20" i="6"/>
  <c r="O20" i="6"/>
  <c r="S20" i="6"/>
  <c r="T20" i="6"/>
  <c r="V20" i="6"/>
  <c r="K21" i="6"/>
  <c r="L21" i="6"/>
  <c r="O21" i="6"/>
  <c r="S21" i="6"/>
  <c r="T21" i="6"/>
  <c r="V21" i="6" s="1"/>
  <c r="K22" i="6"/>
  <c r="L22" i="6"/>
  <c r="M22" i="6"/>
  <c r="N22" i="6"/>
  <c r="O22" i="6"/>
  <c r="S22" i="6"/>
  <c r="T22" i="6"/>
  <c r="V22" i="6" s="1"/>
  <c r="K23" i="6"/>
  <c r="L23" i="6"/>
  <c r="M23" i="6"/>
  <c r="N23" i="6"/>
  <c r="P23" i="6" s="1"/>
  <c r="O23" i="6"/>
  <c r="S23" i="6"/>
  <c r="T23" i="6"/>
  <c r="V23" i="6"/>
  <c r="K24" i="6"/>
  <c r="N24" i="6" s="1"/>
  <c r="L24" i="6"/>
  <c r="M24" i="6"/>
  <c r="O24" i="6"/>
  <c r="P24" i="6" s="1"/>
  <c r="S24" i="6"/>
  <c r="T24" i="6"/>
  <c r="V24" i="6" s="1"/>
  <c r="K25" i="6"/>
  <c r="N25" i="6"/>
  <c r="L25" i="6"/>
  <c r="M25" i="6"/>
  <c r="O25" i="6"/>
  <c r="S25" i="6"/>
  <c r="T25" i="6"/>
  <c r="V25" i="6" s="1"/>
  <c r="K26" i="6"/>
  <c r="N26" i="6"/>
  <c r="P26" i="6" s="1"/>
  <c r="L26" i="6"/>
  <c r="M26" i="6"/>
  <c r="O26" i="6"/>
  <c r="S26" i="6"/>
  <c r="T26" i="6"/>
  <c r="V26" i="6" s="1"/>
  <c r="K27" i="6"/>
  <c r="N27" i="6" s="1"/>
  <c r="L27" i="6"/>
  <c r="M27" i="6"/>
  <c r="O27" i="6"/>
  <c r="S27" i="6"/>
  <c r="S7" i="6" s="1"/>
  <c r="T27" i="6"/>
  <c r="V27" i="6"/>
  <c r="K28" i="6"/>
  <c r="L28" i="6"/>
  <c r="M28" i="6"/>
  <c r="N28" i="6"/>
  <c r="O28" i="6"/>
  <c r="P28" i="6"/>
  <c r="S28" i="6"/>
  <c r="T28" i="6"/>
  <c r="V28" i="6" s="1"/>
  <c r="K29" i="6"/>
  <c r="N29" i="6"/>
  <c r="P29" i="6"/>
  <c r="L29" i="6"/>
  <c r="M29" i="6"/>
  <c r="O29" i="6"/>
  <c r="S29" i="6"/>
  <c r="T29" i="6"/>
  <c r="V29" i="6" s="1"/>
  <c r="K30" i="6"/>
  <c r="L30" i="6"/>
  <c r="M30" i="6" s="1"/>
  <c r="N30" i="6"/>
  <c r="O30" i="6"/>
  <c r="P30" i="6"/>
  <c r="S30" i="6"/>
  <c r="T30" i="6"/>
  <c r="V30" i="6"/>
  <c r="K31" i="6"/>
  <c r="N31" i="6" s="1"/>
  <c r="L31" i="6"/>
  <c r="M31" i="6"/>
  <c r="O31" i="6"/>
  <c r="P31" i="6"/>
  <c r="S31" i="6"/>
  <c r="T31" i="6"/>
  <c r="V31" i="6" s="1"/>
  <c r="K32" i="6"/>
  <c r="L32" i="6"/>
  <c r="M32" i="6"/>
  <c r="N32" i="6"/>
  <c r="O32" i="6"/>
  <c r="S32" i="6"/>
  <c r="T32" i="6"/>
  <c r="V32" i="6" s="1"/>
  <c r="K33" i="6"/>
  <c r="L33" i="6"/>
  <c r="M33" i="6" s="1"/>
  <c r="N33" i="6"/>
  <c r="O33" i="6"/>
  <c r="S33" i="6"/>
  <c r="T33" i="6"/>
  <c r="V33" i="6" s="1"/>
  <c r="K34" i="6"/>
  <c r="N34" i="6" s="1"/>
  <c r="P34" i="6"/>
  <c r="L34" i="6"/>
  <c r="M34" i="6" s="1"/>
  <c r="O34" i="6"/>
  <c r="S34" i="6"/>
  <c r="T34" i="6"/>
  <c r="V34" i="6"/>
  <c r="K35" i="6"/>
  <c r="N35" i="6" s="1"/>
  <c r="L35" i="6"/>
  <c r="M35" i="6" s="1"/>
  <c r="O35" i="6"/>
  <c r="P35" i="6" s="1"/>
  <c r="S35" i="6"/>
  <c r="T35" i="6"/>
  <c r="V35" i="6"/>
  <c r="K36" i="6"/>
  <c r="N36" i="6" s="1"/>
  <c r="L36" i="6"/>
  <c r="O36" i="6"/>
  <c r="P36" i="6"/>
  <c r="S36" i="6"/>
  <c r="T36" i="6"/>
  <c r="V36" i="6" s="1"/>
  <c r="K37" i="6"/>
  <c r="L37" i="6"/>
  <c r="N37" i="6"/>
  <c r="O37" i="6"/>
  <c r="P37" i="6" s="1"/>
  <c r="S37" i="6"/>
  <c r="V37" i="6"/>
  <c r="K38" i="6"/>
  <c r="L38" i="6"/>
  <c r="N38" i="6"/>
  <c r="O38" i="6"/>
  <c r="S38" i="6"/>
  <c r="V38" i="6"/>
  <c r="K39" i="6"/>
  <c r="L39" i="6"/>
  <c r="M39" i="6" s="1"/>
  <c r="N39" i="6"/>
  <c r="O39" i="6"/>
  <c r="S39" i="6"/>
  <c r="V39" i="6"/>
  <c r="K40" i="6"/>
  <c r="L40" i="6"/>
  <c r="M40" i="6" s="1"/>
  <c r="N40" i="6"/>
  <c r="O40" i="6"/>
  <c r="P40" i="6" s="1"/>
  <c r="S40" i="6"/>
  <c r="V40" i="6"/>
  <c r="K41" i="6"/>
  <c r="N41" i="6" s="1"/>
  <c r="P41" i="6" s="1"/>
  <c r="L41" i="6"/>
  <c r="O41" i="6"/>
  <c r="S41" i="6"/>
  <c r="T41" i="6"/>
  <c r="V41" i="6" s="1"/>
  <c r="T42" i="6"/>
  <c r="V42" i="6" s="1"/>
  <c r="K44" i="6"/>
  <c r="O44" i="6"/>
  <c r="R44" i="6"/>
  <c r="S44" i="6" s="1"/>
  <c r="L44" i="6"/>
  <c r="M44" i="6" s="1"/>
  <c r="T44" i="6"/>
  <c r="K45" i="6"/>
  <c r="N45" i="6"/>
  <c r="O45" i="6"/>
  <c r="P45" i="6"/>
  <c r="R45" i="6"/>
  <c r="V45" i="6"/>
  <c r="K46" i="6"/>
  <c r="N46" i="6"/>
  <c r="O46" i="6"/>
  <c r="P46" i="6" s="1"/>
  <c r="R46" i="6"/>
  <c r="S46" i="6" s="1"/>
  <c r="V46" i="6"/>
  <c r="K47" i="6"/>
  <c r="N47" i="6"/>
  <c r="O47" i="6"/>
  <c r="P47" i="6" s="1"/>
  <c r="R47" i="6"/>
  <c r="V47" i="6"/>
  <c r="K48" i="6"/>
  <c r="N48" i="6"/>
  <c r="O48" i="6"/>
  <c r="P48" i="6"/>
  <c r="R48" i="6"/>
  <c r="V48" i="6"/>
  <c r="K49" i="6"/>
  <c r="L49" i="6"/>
  <c r="M49" i="6" s="1"/>
  <c r="N49" i="6"/>
  <c r="O49" i="6"/>
  <c r="P49" i="6"/>
  <c r="R49" i="6"/>
  <c r="S49" i="6" s="1"/>
  <c r="V49" i="6"/>
  <c r="P50" i="6"/>
  <c r="L51" i="6"/>
  <c r="M51" i="6" s="1"/>
  <c r="M50" i="6" s="1"/>
  <c r="P51" i="6"/>
  <c r="S51" i="6"/>
  <c r="S50" i="6" s="1"/>
  <c r="V51" i="6"/>
  <c r="V50" i="6"/>
  <c r="K54" i="6"/>
  <c r="N54" i="6" s="1"/>
  <c r="O54" i="6"/>
  <c r="P54" i="6"/>
  <c r="R54" i="6"/>
  <c r="S54" i="6" s="1"/>
  <c r="L54" i="6"/>
  <c r="T54" i="6"/>
  <c r="V54" i="6" s="1"/>
  <c r="K55" i="6"/>
  <c r="N55" i="6"/>
  <c r="O55" i="6"/>
  <c r="R55" i="6"/>
  <c r="S55" i="6" s="1"/>
  <c r="T55" i="6"/>
  <c r="V55" i="6"/>
  <c r="K56" i="6"/>
  <c r="N56" i="6" s="1"/>
  <c r="L56" i="6"/>
  <c r="M56" i="6"/>
  <c r="O56" i="6"/>
  <c r="P56" i="6"/>
  <c r="R56" i="6"/>
  <c r="S56" i="6"/>
  <c r="T56" i="6"/>
  <c r="V56" i="6" s="1"/>
  <c r="K57" i="6"/>
  <c r="N57" i="6" s="1"/>
  <c r="P57" i="6" s="1"/>
  <c r="L57" i="6"/>
  <c r="M57" i="6" s="1"/>
  <c r="O57" i="6"/>
  <c r="R57" i="6"/>
  <c r="S57" i="6"/>
  <c r="T57" i="6"/>
  <c r="V57" i="6" s="1"/>
  <c r="K58" i="6"/>
  <c r="N58" i="6" s="1"/>
  <c r="P58" i="6" s="1"/>
  <c r="O58" i="6"/>
  <c r="R58" i="6"/>
  <c r="S58" i="6" s="1"/>
  <c r="T58" i="6"/>
  <c r="V58" i="6" s="1"/>
  <c r="K59" i="6"/>
  <c r="N59" i="6"/>
  <c r="O59" i="6"/>
  <c r="P59" i="6" s="1"/>
  <c r="R59" i="6"/>
  <c r="T59" i="6"/>
  <c r="V59" i="6"/>
  <c r="K60" i="6"/>
  <c r="N60" i="6" s="1"/>
  <c r="O60" i="6"/>
  <c r="R60" i="6"/>
  <c r="L60" i="6" s="1"/>
  <c r="S60" i="6"/>
  <c r="T60" i="6"/>
  <c r="V60" i="6" s="1"/>
  <c r="K61" i="6"/>
  <c r="N61" i="6"/>
  <c r="P61" i="6" s="1"/>
  <c r="O61" i="6"/>
  <c r="R61" i="6"/>
  <c r="T61" i="6"/>
  <c r="V61" i="6"/>
  <c r="K62" i="6"/>
  <c r="N62" i="6" s="1"/>
  <c r="P62" i="6" s="1"/>
  <c r="O62" i="6"/>
  <c r="R62" i="6"/>
  <c r="S62" i="6" s="1"/>
  <c r="T62" i="6"/>
  <c r="V62" i="6" s="1"/>
  <c r="K63" i="6"/>
  <c r="N63" i="6" s="1"/>
  <c r="P63" i="6" s="1"/>
  <c r="O63" i="6"/>
  <c r="R63" i="6"/>
  <c r="S63" i="6" s="1"/>
  <c r="T63" i="6"/>
  <c r="V63" i="6"/>
  <c r="K64" i="6"/>
  <c r="N64" i="6" s="1"/>
  <c r="P64" i="6" s="1"/>
  <c r="L64" i="6"/>
  <c r="M64" i="6" s="1"/>
  <c r="O64" i="6"/>
  <c r="R64" i="6"/>
  <c r="S64" i="6"/>
  <c r="T64" i="6"/>
  <c r="V64" i="6"/>
  <c r="K65" i="6"/>
  <c r="N65" i="6" s="1"/>
  <c r="P65" i="6"/>
  <c r="O65" i="6"/>
  <c r="R65" i="6"/>
  <c r="S65" i="6" s="1"/>
  <c r="T65" i="6"/>
  <c r="V65" i="6" s="1"/>
  <c r="K66" i="6"/>
  <c r="O66" i="6"/>
  <c r="R66" i="6"/>
  <c r="L66" i="6" s="1"/>
  <c r="T66" i="6"/>
  <c r="V66" i="6" s="1"/>
  <c r="K67" i="6"/>
  <c r="L67" i="6"/>
  <c r="M67" i="6" s="1"/>
  <c r="N67" i="6"/>
  <c r="O67" i="6"/>
  <c r="R67" i="6"/>
  <c r="S67" i="6" s="1"/>
  <c r="T67" i="6"/>
  <c r="V67" i="6" s="1"/>
  <c r="K68" i="6"/>
  <c r="L68" i="6"/>
  <c r="M68" i="6"/>
  <c r="N68" i="6"/>
  <c r="O68" i="6"/>
  <c r="R68" i="6"/>
  <c r="S68" i="6"/>
  <c r="T68" i="6"/>
  <c r="V68" i="6"/>
  <c r="K69" i="6"/>
  <c r="M69" i="6" s="1"/>
  <c r="N69" i="6"/>
  <c r="P69" i="6"/>
  <c r="L69" i="6"/>
  <c r="O69" i="6"/>
  <c r="R69" i="6"/>
  <c r="S69" i="6"/>
  <c r="T69" i="6"/>
  <c r="V69" i="6"/>
  <c r="K70" i="6"/>
  <c r="N70" i="6" s="1"/>
  <c r="O70" i="6"/>
  <c r="P70" i="6" s="1"/>
  <c r="R70" i="6"/>
  <c r="L70" i="6"/>
  <c r="S70" i="6"/>
  <c r="T70" i="6"/>
  <c r="V70" i="6" s="1"/>
  <c r="K71" i="6"/>
  <c r="N71" i="6" s="1"/>
  <c r="L71" i="6"/>
  <c r="M71" i="6" s="1"/>
  <c r="O71" i="6"/>
  <c r="P71" i="6" s="1"/>
  <c r="R71" i="6"/>
  <c r="S71" i="6"/>
  <c r="T71" i="6"/>
  <c r="V71" i="6"/>
  <c r="K72" i="6"/>
  <c r="N72" i="6"/>
  <c r="O72" i="6"/>
  <c r="P72" i="6" s="1"/>
  <c r="R72" i="6"/>
  <c r="L72" i="6" s="1"/>
  <c r="M72" i="6" s="1"/>
  <c r="S72" i="6"/>
  <c r="T72" i="6"/>
  <c r="V72" i="6" s="1"/>
  <c r="K73" i="6"/>
  <c r="N73" i="6" s="1"/>
  <c r="O73" i="6"/>
  <c r="P73" i="6"/>
  <c r="R73" i="6"/>
  <c r="S73" i="6" s="1"/>
  <c r="T73" i="6"/>
  <c r="V73" i="6" s="1"/>
  <c r="K74" i="6"/>
  <c r="N74" i="6"/>
  <c r="P74" i="6" s="1"/>
  <c r="O74" i="6"/>
  <c r="R74" i="6"/>
  <c r="L74" i="6" s="1"/>
  <c r="M74" i="6"/>
  <c r="S74" i="6"/>
  <c r="T74" i="6"/>
  <c r="V74" i="6" s="1"/>
  <c r="K75" i="6"/>
  <c r="N75" i="6"/>
  <c r="O75" i="6"/>
  <c r="R75" i="6"/>
  <c r="T75" i="6"/>
  <c r="V75" i="6"/>
  <c r="G76" i="6"/>
  <c r="J76" i="6"/>
  <c r="N76" i="6"/>
  <c r="O76" i="6"/>
  <c r="O77" i="6"/>
  <c r="P77" i="6" s="1"/>
  <c r="Q77" i="6"/>
  <c r="K77" i="6" s="1"/>
  <c r="N77" i="6" s="1"/>
  <c r="R77" i="6"/>
  <c r="T77" i="6"/>
  <c r="V77" i="6"/>
  <c r="V76" i="6" s="1"/>
  <c r="O78" i="6"/>
  <c r="Q78" i="6"/>
  <c r="K78" i="6" s="1"/>
  <c r="N78" i="6" s="1"/>
  <c r="R78" i="6"/>
  <c r="L78" i="6" s="1"/>
  <c r="M78" i="6" s="1"/>
  <c r="V78" i="6"/>
  <c r="K79" i="6"/>
  <c r="N79" i="6" s="1"/>
  <c r="P79" i="6" s="1"/>
  <c r="M79" i="6"/>
  <c r="O79" i="6"/>
  <c r="R79" i="6"/>
  <c r="L79" i="6"/>
  <c r="V79" i="6"/>
  <c r="K80" i="6"/>
  <c r="N80" i="6"/>
  <c r="O80" i="6"/>
  <c r="P80" i="6"/>
  <c r="R80" i="6"/>
  <c r="V80" i="6"/>
  <c r="K81" i="6"/>
  <c r="N81" i="6" s="1"/>
  <c r="O81" i="6"/>
  <c r="R81" i="6"/>
  <c r="S81" i="6"/>
  <c r="V81" i="6"/>
  <c r="K82" i="6"/>
  <c r="N82" i="6" s="1"/>
  <c r="P82" i="6" s="1"/>
  <c r="O82" i="6"/>
  <c r="R82" i="6"/>
  <c r="V82" i="6"/>
  <c r="K83" i="6"/>
  <c r="N83" i="6" s="1"/>
  <c r="O83" i="6"/>
  <c r="P83" i="6" s="1"/>
  <c r="R83" i="6"/>
  <c r="V83" i="6"/>
  <c r="K84" i="6"/>
  <c r="N84" i="6"/>
  <c r="O84" i="6"/>
  <c r="R84" i="6"/>
  <c r="S84" i="6" s="1"/>
  <c r="V84" i="6"/>
  <c r="K87" i="6"/>
  <c r="N87" i="6"/>
  <c r="L87" i="6"/>
  <c r="O87" i="6"/>
  <c r="P87" i="6"/>
  <c r="R87" i="6"/>
  <c r="S87" i="6"/>
  <c r="T87" i="6"/>
  <c r="V87" i="6" s="1"/>
  <c r="K88" i="6"/>
  <c r="N88" i="6" s="1"/>
  <c r="O88" i="6"/>
  <c r="R88" i="6"/>
  <c r="T88" i="6"/>
  <c r="V88" i="6" s="1"/>
  <c r="K89" i="6"/>
  <c r="N89" i="6" s="1"/>
  <c r="P89" i="6" s="1"/>
  <c r="O89" i="6"/>
  <c r="R89" i="6"/>
  <c r="T89" i="6"/>
  <c r="V89" i="6" s="1"/>
  <c r="K90" i="6"/>
  <c r="N90" i="6"/>
  <c r="O90" i="6"/>
  <c r="P90" i="6" s="1"/>
  <c r="R90" i="6"/>
  <c r="L90" i="6" s="1"/>
  <c r="M90" i="6" s="1"/>
  <c r="T90" i="6"/>
  <c r="V90" i="6"/>
  <c r="O91" i="6"/>
  <c r="Q91" i="6"/>
  <c r="R91" i="6"/>
  <c r="L91" i="6"/>
  <c r="T91" i="6"/>
  <c r="V91" i="6" s="1"/>
  <c r="K92" i="6"/>
  <c r="N92" i="6" s="1"/>
  <c r="P92" i="6" s="1"/>
  <c r="O92" i="6"/>
  <c r="R92" i="6"/>
  <c r="T92" i="6"/>
  <c r="V92" i="6" s="1"/>
  <c r="K93" i="6"/>
  <c r="N93" i="6" s="1"/>
  <c r="O93" i="6"/>
  <c r="P93" i="6" s="1"/>
  <c r="R93" i="6"/>
  <c r="T93" i="6"/>
  <c r="V93" i="6" s="1"/>
  <c r="K94" i="6"/>
  <c r="N94" i="6"/>
  <c r="O94" i="6"/>
  <c r="P94" i="6" s="1"/>
  <c r="R94" i="6"/>
  <c r="S94" i="6" s="1"/>
  <c r="T94" i="6"/>
  <c r="V94" i="6" s="1"/>
  <c r="K95" i="6"/>
  <c r="L95" i="6"/>
  <c r="M95" i="6" s="1"/>
  <c r="N95" i="6"/>
  <c r="O95" i="6"/>
  <c r="R95" i="6"/>
  <c r="S95" i="6"/>
  <c r="T95" i="6"/>
  <c r="V95" i="6" s="1"/>
  <c r="K96" i="6"/>
  <c r="N96" i="6" s="1"/>
  <c r="P96" i="6" s="1"/>
  <c r="L96" i="6"/>
  <c r="M96" i="6" s="1"/>
  <c r="O96" i="6"/>
  <c r="R96" i="6"/>
  <c r="S96" i="6" s="1"/>
  <c r="T96" i="6"/>
  <c r="V96" i="6" s="1"/>
  <c r="K97" i="6"/>
  <c r="N97" i="6" s="1"/>
  <c r="P97" i="6" s="1"/>
  <c r="O97" i="6"/>
  <c r="R97" i="6"/>
  <c r="L97" i="6" s="1"/>
  <c r="M97" i="6" s="1"/>
  <c r="T97" i="6"/>
  <c r="V97" i="6"/>
  <c r="K98" i="6"/>
  <c r="N98" i="6"/>
  <c r="O98" i="6"/>
  <c r="R98" i="6"/>
  <c r="T98" i="6"/>
  <c r="V98" i="6" s="1"/>
  <c r="K99" i="6"/>
  <c r="N99" i="6"/>
  <c r="L99" i="6"/>
  <c r="O99" i="6"/>
  <c r="R99" i="6"/>
  <c r="S99" i="6" s="1"/>
  <c r="T99" i="6"/>
  <c r="V99" i="6"/>
  <c r="K100" i="6"/>
  <c r="N100" i="6" s="1"/>
  <c r="O100" i="6"/>
  <c r="R100" i="6"/>
  <c r="T100" i="6"/>
  <c r="V100" i="6" s="1"/>
  <c r="K101" i="6"/>
  <c r="L101" i="6"/>
  <c r="M101" i="6"/>
  <c r="N101" i="6"/>
  <c r="O101" i="6"/>
  <c r="R101" i="6"/>
  <c r="S101" i="6"/>
  <c r="T101" i="6"/>
  <c r="V101" i="6"/>
  <c r="K102" i="6"/>
  <c r="N102" i="6"/>
  <c r="P102" i="6" s="1"/>
  <c r="O102" i="6"/>
  <c r="R102" i="6"/>
  <c r="S102" i="6"/>
  <c r="T102" i="6"/>
  <c r="V102" i="6"/>
  <c r="K103" i="6"/>
  <c r="N103" i="6" s="1"/>
  <c r="P103" i="6" s="1"/>
  <c r="L103" i="6"/>
  <c r="M103" i="6" s="1"/>
  <c r="O103" i="6"/>
  <c r="R103" i="6"/>
  <c r="S103" i="6" s="1"/>
  <c r="T103" i="6"/>
  <c r="V103" i="6" s="1"/>
  <c r="K104" i="6"/>
  <c r="L104" i="6"/>
  <c r="M104" i="6" s="1"/>
  <c r="N104" i="6"/>
  <c r="O104" i="6"/>
  <c r="P104" i="6" s="1"/>
  <c r="R104" i="6"/>
  <c r="S104" i="6" s="1"/>
  <c r="T104" i="6"/>
  <c r="V104" i="6" s="1"/>
  <c r="K105" i="6"/>
  <c r="N105" i="6" s="1"/>
  <c r="M105" i="6"/>
  <c r="L105" i="6"/>
  <c r="O105" i="6"/>
  <c r="P105" i="6" s="1"/>
  <c r="R105" i="6"/>
  <c r="S105" i="6"/>
  <c r="T105" i="6"/>
  <c r="V105" i="6"/>
  <c r="K106" i="6"/>
  <c r="N106" i="6" s="1"/>
  <c r="O106" i="6"/>
  <c r="P106" i="6"/>
  <c r="R106" i="6"/>
  <c r="S106" i="6" s="1"/>
  <c r="V106" i="6"/>
  <c r="K107" i="6"/>
  <c r="N107" i="6"/>
  <c r="O107" i="6"/>
  <c r="P107" i="6" s="1"/>
  <c r="R107" i="6"/>
  <c r="L107" i="6" s="1"/>
  <c r="M107" i="6" s="1"/>
  <c r="S107" i="6"/>
  <c r="V107" i="6"/>
  <c r="K108" i="6"/>
  <c r="N108" i="6" s="1"/>
  <c r="P108" i="6" s="1"/>
  <c r="O108" i="6"/>
  <c r="R108" i="6"/>
  <c r="L108" i="6" s="1"/>
  <c r="S108" i="6"/>
  <c r="V108" i="6"/>
  <c r="K109" i="6"/>
  <c r="N109" i="6"/>
  <c r="O109" i="6"/>
  <c r="R109" i="6"/>
  <c r="S109" i="6" s="1"/>
  <c r="L109" i="6"/>
  <c r="M109" i="6" s="1"/>
  <c r="V109" i="6"/>
  <c r="K110" i="6"/>
  <c r="N110" i="6" s="1"/>
  <c r="O110" i="6"/>
  <c r="P110" i="6"/>
  <c r="R110" i="6"/>
  <c r="L110" i="6" s="1"/>
  <c r="M110" i="6" s="1"/>
  <c r="S110" i="6"/>
  <c r="V110" i="6"/>
  <c r="K111" i="6"/>
  <c r="N111" i="6"/>
  <c r="O111" i="6"/>
  <c r="R111" i="6"/>
  <c r="S111" i="6" s="1"/>
  <c r="V111" i="6"/>
  <c r="P112" i="6"/>
  <c r="E113" i="6"/>
  <c r="L113" i="6"/>
  <c r="O113" i="6"/>
  <c r="T113" i="6"/>
  <c r="E114" i="6"/>
  <c r="Q114" i="6" s="1"/>
  <c r="S114" i="6" s="1"/>
  <c r="L114" i="6"/>
  <c r="U114" i="6"/>
  <c r="V114" i="6" s="1"/>
  <c r="E115" i="6"/>
  <c r="Q115" i="6"/>
  <c r="L115" i="6"/>
  <c r="O115" i="6"/>
  <c r="V115" i="6"/>
  <c r="E116" i="6"/>
  <c r="K116" i="6"/>
  <c r="L116" i="6"/>
  <c r="O116" i="6"/>
  <c r="S116" i="6"/>
  <c r="V116" i="6"/>
  <c r="E117" i="6"/>
  <c r="K117" i="6"/>
  <c r="L117" i="6"/>
  <c r="N117" i="6"/>
  <c r="O117" i="6"/>
  <c r="S117" i="6"/>
  <c r="V117" i="6"/>
  <c r="K120" i="6"/>
  <c r="N120" i="6" s="1"/>
  <c r="L120" i="6"/>
  <c r="O120" i="6"/>
  <c r="P120" i="6" s="1"/>
  <c r="R120" i="6"/>
  <c r="S120" i="6" s="1"/>
  <c r="T120" i="6"/>
  <c r="V120" i="6" s="1"/>
  <c r="V119" i="6" s="1"/>
  <c r="K121" i="6"/>
  <c r="L121" i="6"/>
  <c r="M121" i="6" s="1"/>
  <c r="N121" i="6"/>
  <c r="O121" i="6"/>
  <c r="R121" i="6"/>
  <c r="S121" i="6"/>
  <c r="T121" i="6"/>
  <c r="V121" i="6"/>
  <c r="K122" i="6"/>
  <c r="N122" i="6" s="1"/>
  <c r="O122" i="6"/>
  <c r="P122" i="6" s="1"/>
  <c r="R122" i="6"/>
  <c r="S122" i="6" s="1"/>
  <c r="T122" i="6"/>
  <c r="V122" i="6"/>
  <c r="K123" i="6"/>
  <c r="M123" i="6" s="1"/>
  <c r="O123" i="6"/>
  <c r="R123" i="6"/>
  <c r="L123" i="6"/>
  <c r="T123" i="6"/>
  <c r="V123" i="6" s="1"/>
  <c r="K124" i="6"/>
  <c r="L124" i="6"/>
  <c r="M124" i="6"/>
  <c r="N124" i="6"/>
  <c r="P124" i="6" s="1"/>
  <c r="O124" i="6"/>
  <c r="R124" i="6"/>
  <c r="S124" i="6" s="1"/>
  <c r="T124" i="6"/>
  <c r="V124" i="6"/>
  <c r="K125" i="6"/>
  <c r="L125" i="6"/>
  <c r="M125" i="6" s="1"/>
  <c r="N125" i="6"/>
  <c r="P125" i="6" s="1"/>
  <c r="O125" i="6"/>
  <c r="R125" i="6"/>
  <c r="S125" i="6" s="1"/>
  <c r="T125" i="6"/>
  <c r="V125" i="6" s="1"/>
  <c r="K126" i="6"/>
  <c r="N126" i="6"/>
  <c r="M126" i="6"/>
  <c r="O126" i="6"/>
  <c r="P126" i="6" s="1"/>
  <c r="R126" i="6"/>
  <c r="L126" i="6" s="1"/>
  <c r="S126" i="6"/>
  <c r="T126" i="6"/>
  <c r="V126" i="6"/>
  <c r="K127" i="6"/>
  <c r="N127" i="6" s="1"/>
  <c r="O127" i="6"/>
  <c r="R127" i="6"/>
  <c r="T127" i="6"/>
  <c r="V127" i="6" s="1"/>
  <c r="K128" i="6"/>
  <c r="N128" i="6" s="1"/>
  <c r="L128" i="6"/>
  <c r="O128" i="6"/>
  <c r="R128" i="6"/>
  <c r="S128" i="6" s="1"/>
  <c r="T128" i="6"/>
  <c r="V128" i="6" s="1"/>
  <c r="K129" i="6"/>
  <c r="L129" i="6"/>
  <c r="M129" i="6" s="1"/>
  <c r="N129" i="6"/>
  <c r="O129" i="6"/>
  <c r="R129" i="6"/>
  <c r="S129" i="6" s="1"/>
  <c r="T129" i="6"/>
  <c r="V129" i="6"/>
  <c r="K130" i="6"/>
  <c r="N130" i="6" s="1"/>
  <c r="P130" i="6" s="1"/>
  <c r="L130" i="6"/>
  <c r="M130" i="6" s="1"/>
  <c r="O130" i="6"/>
  <c r="R130" i="6"/>
  <c r="S130" i="6"/>
  <c r="T130" i="6"/>
  <c r="V130" i="6"/>
  <c r="K131" i="6"/>
  <c r="O131" i="6"/>
  <c r="R131" i="6"/>
  <c r="L131" i="6" s="1"/>
  <c r="S131" i="6"/>
  <c r="T131" i="6"/>
  <c r="V131" i="6" s="1"/>
  <c r="K132" i="6"/>
  <c r="N132" i="6"/>
  <c r="P132" i="6" s="1"/>
  <c r="O132" i="6"/>
  <c r="R132" i="6"/>
  <c r="T132" i="6"/>
  <c r="V132" i="6" s="1"/>
  <c r="K133" i="6"/>
  <c r="N133" i="6" s="1"/>
  <c r="P133" i="6" s="1"/>
  <c r="O133" i="6"/>
  <c r="R133" i="6"/>
  <c r="T133" i="6"/>
  <c r="V133" i="6" s="1"/>
  <c r="K134" i="6"/>
  <c r="N134" i="6"/>
  <c r="P134" i="6" s="1"/>
  <c r="L134" i="6"/>
  <c r="O134" i="6"/>
  <c r="R134" i="6"/>
  <c r="S134" i="6"/>
  <c r="T134" i="6"/>
  <c r="V134" i="6" s="1"/>
  <c r="K135" i="6"/>
  <c r="N135" i="6"/>
  <c r="P135" i="6" s="1"/>
  <c r="O135" i="6"/>
  <c r="R135" i="6"/>
  <c r="S135" i="6" s="1"/>
  <c r="L135" i="6"/>
  <c r="M135" i="6" s="1"/>
  <c r="T135" i="6"/>
  <c r="V135" i="6"/>
  <c r="K136" i="6"/>
  <c r="N136" i="6"/>
  <c r="O136" i="6"/>
  <c r="R136" i="6"/>
  <c r="S136" i="6" s="1"/>
  <c r="T136" i="6"/>
  <c r="V136" i="6"/>
  <c r="K137" i="6"/>
  <c r="N137" i="6" s="1"/>
  <c r="L137" i="6"/>
  <c r="M137" i="6"/>
  <c r="O137" i="6"/>
  <c r="R137" i="6"/>
  <c r="S137" i="6" s="1"/>
  <c r="T137" i="6"/>
  <c r="V137" i="6" s="1"/>
  <c r="K138" i="6"/>
  <c r="N138" i="6" s="1"/>
  <c r="L138" i="6"/>
  <c r="O138" i="6"/>
  <c r="R138" i="6"/>
  <c r="S138" i="6" s="1"/>
  <c r="T138" i="6"/>
  <c r="V138" i="6" s="1"/>
  <c r="K139" i="6"/>
  <c r="N139" i="6"/>
  <c r="O139" i="6"/>
  <c r="P139" i="6" s="1"/>
  <c r="R139" i="6"/>
  <c r="L139" i="6" s="1"/>
  <c r="S139" i="6"/>
  <c r="T139" i="6"/>
  <c r="V139" i="6" s="1"/>
  <c r="K140" i="6"/>
  <c r="M140" i="6"/>
  <c r="N140" i="6"/>
  <c r="O140" i="6"/>
  <c r="P140" i="6" s="1"/>
  <c r="R140" i="6"/>
  <c r="L140" i="6" s="1"/>
  <c r="T140" i="6"/>
  <c r="V140" i="6"/>
  <c r="K141" i="6"/>
  <c r="L141" i="6"/>
  <c r="M141" i="6" s="1"/>
  <c r="O141" i="6"/>
  <c r="P141" i="6" s="1"/>
  <c r="R141" i="6"/>
  <c r="S141" i="6"/>
  <c r="T141" i="6"/>
  <c r="V141" i="6" s="1"/>
  <c r="L142" i="6"/>
  <c r="O142" i="6"/>
  <c r="Q142" i="6"/>
  <c r="R142" i="6"/>
  <c r="K143" i="6"/>
  <c r="N143" i="6"/>
  <c r="O143" i="6"/>
  <c r="P143" i="6" s="1"/>
  <c r="R143" i="6"/>
  <c r="L143" i="6"/>
  <c r="M143" i="6" s="1"/>
  <c r="S143" i="6"/>
  <c r="T143" i="6"/>
  <c r="V143" i="6" s="1"/>
  <c r="K144" i="6"/>
  <c r="N144" i="6"/>
  <c r="O144" i="6"/>
  <c r="P144" i="6" s="1"/>
  <c r="R144" i="6"/>
  <c r="S144" i="6"/>
  <c r="T144" i="6"/>
  <c r="V144" i="6" s="1"/>
  <c r="O146" i="6"/>
  <c r="R146" i="6"/>
  <c r="T146" i="6"/>
  <c r="O147" i="6"/>
  <c r="Q147" i="6"/>
  <c r="R147" i="6"/>
  <c r="U147" i="6"/>
  <c r="L148" i="6"/>
  <c r="O148" i="6"/>
  <c r="Q148" i="6"/>
  <c r="R148" i="6"/>
  <c r="K149" i="6"/>
  <c r="N149" i="6"/>
  <c r="O149" i="6"/>
  <c r="P149" i="6"/>
  <c r="R149" i="6"/>
  <c r="S149" i="6" s="1"/>
  <c r="T149" i="6"/>
  <c r="V149" i="6" s="1"/>
  <c r="K150" i="6"/>
  <c r="L150" i="6"/>
  <c r="M150" i="6" s="1"/>
  <c r="N150" i="6"/>
  <c r="O150" i="6"/>
  <c r="R150" i="6"/>
  <c r="S150" i="6"/>
  <c r="T150" i="6"/>
  <c r="V150" i="6" s="1"/>
  <c r="M151" i="6"/>
  <c r="P151" i="6"/>
  <c r="S151" i="6"/>
  <c r="M152" i="6"/>
  <c r="P152" i="6"/>
  <c r="S152" i="6"/>
  <c r="G153" i="6"/>
  <c r="D9" i="9" s="1"/>
  <c r="J153" i="6"/>
  <c r="E9" i="9" s="1"/>
  <c r="L7" i="10"/>
  <c r="L8" i="10"/>
  <c r="L9" i="10"/>
  <c r="L10" i="10"/>
  <c r="L11" i="10"/>
  <c r="L12" i="10"/>
  <c r="O13" i="10"/>
  <c r="L14" i="10"/>
  <c r="L15" i="10"/>
  <c r="L16" i="10"/>
  <c r="L17" i="10"/>
  <c r="L18" i="10"/>
  <c r="L19" i="10"/>
  <c r="L20" i="10"/>
  <c r="L21" i="10"/>
  <c r="Q22" i="10"/>
  <c r="L23" i="10"/>
  <c r="L24" i="10"/>
  <c r="L25" i="10"/>
  <c r="Q26" i="10"/>
  <c r="L27" i="10"/>
  <c r="L26" i="10" s="1"/>
  <c r="Q28" i="10"/>
  <c r="AD28" i="10"/>
  <c r="L29" i="10"/>
  <c r="L30" i="10"/>
  <c r="AD30" i="10"/>
  <c r="L31" i="10"/>
  <c r="AD31" i="10"/>
  <c r="L32" i="10"/>
  <c r="L33" i="10"/>
  <c r="L34" i="10"/>
  <c r="L35" i="10"/>
  <c r="E36" i="10"/>
  <c r="D10" i="9"/>
  <c r="G36" i="10"/>
  <c r="E10" i="9" s="1"/>
  <c r="O6" i="1"/>
  <c r="O22" i="1" s="1"/>
  <c r="L11" i="9" s="1"/>
  <c r="M11" i="9" s="1"/>
  <c r="O7" i="1"/>
  <c r="O8" i="1"/>
  <c r="O9" i="1"/>
  <c r="J10" i="1"/>
  <c r="J11" i="1"/>
  <c r="J12" i="1"/>
  <c r="J13" i="1"/>
  <c r="J14" i="1"/>
  <c r="J15" i="1"/>
  <c r="O16" i="1"/>
  <c r="O17" i="1"/>
  <c r="O18" i="1"/>
  <c r="O19" i="1"/>
  <c r="J20" i="1"/>
  <c r="E22" i="1"/>
  <c r="E11" i="9"/>
  <c r="F11" i="9" s="1"/>
  <c r="G22" i="1"/>
  <c r="G11" i="9" s="1"/>
  <c r="L22" i="1"/>
  <c r="K11" i="9"/>
  <c r="E5" i="28"/>
  <c r="F5" i="28"/>
  <c r="E6" i="28"/>
  <c r="E7" i="28"/>
  <c r="E8" i="28"/>
  <c r="E9" i="28"/>
  <c r="E41" i="28" s="1"/>
  <c r="G5" i="12" s="1"/>
  <c r="E10" i="28"/>
  <c r="E11" i="28"/>
  <c r="E12" i="28"/>
  <c r="F12" i="28"/>
  <c r="E13" i="28"/>
  <c r="E14" i="28"/>
  <c r="F14" i="28"/>
  <c r="E15" i="28"/>
  <c r="E16" i="28"/>
  <c r="E17" i="28"/>
  <c r="E18" i="28"/>
  <c r="E19" i="28"/>
  <c r="E20" i="28"/>
  <c r="E21" i="28"/>
  <c r="F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D41" i="28"/>
  <c r="F41" i="28"/>
  <c r="I5" i="12"/>
  <c r="L12" i="9" s="1"/>
  <c r="D13" i="12"/>
  <c r="E13" i="12"/>
  <c r="I13" i="12"/>
  <c r="L6" i="27"/>
  <c r="L17" i="27" s="1"/>
  <c r="L18" i="9"/>
  <c r="M18" i="9" s="1"/>
  <c r="N18" i="9" s="1"/>
  <c r="E13" i="20"/>
  <c r="F22" i="19"/>
  <c r="D19" i="9" s="1"/>
  <c r="F19" i="9" s="1"/>
  <c r="I22" i="19"/>
  <c r="E19" i="9" s="1"/>
  <c r="L22" i="19"/>
  <c r="G19" i="9"/>
  <c r="I19" i="9" s="1"/>
  <c r="J19" i="9"/>
  <c r="O22" i="19"/>
  <c r="H19" i="9" s="1"/>
  <c r="R22" i="19"/>
  <c r="K19" i="9"/>
  <c r="M19" i="9" s="1"/>
  <c r="N19" i="9" s="1"/>
  <c r="U22" i="19"/>
  <c r="L19" i="9"/>
  <c r="M8" i="18"/>
  <c r="F8" i="18" s="1"/>
  <c r="O8" i="18"/>
  <c r="P8" i="18" s="1"/>
  <c r="G8" i="18" s="1"/>
  <c r="P80" i="18"/>
  <c r="T8" i="18"/>
  <c r="V8" i="18"/>
  <c r="W8" i="18" s="1"/>
  <c r="W7" i="18"/>
  <c r="L9" i="18"/>
  <c r="M9" i="18"/>
  <c r="O9" i="18"/>
  <c r="P9" i="18" s="1"/>
  <c r="G9" i="18" s="1"/>
  <c r="S9" i="18"/>
  <c r="T9" i="18"/>
  <c r="X9" i="18" s="1"/>
  <c r="H9" i="18" s="1"/>
  <c r="V9" i="18"/>
  <c r="W9" i="18"/>
  <c r="G10" i="18"/>
  <c r="M10" i="18"/>
  <c r="O10" i="18"/>
  <c r="P10" i="18" s="1"/>
  <c r="T10" i="18"/>
  <c r="V10" i="18"/>
  <c r="W10" i="18" s="1"/>
  <c r="X10" i="18"/>
  <c r="H10" i="18"/>
  <c r="M11" i="18"/>
  <c r="Q11" i="18" s="1"/>
  <c r="I11" i="18" s="1"/>
  <c r="F11" i="18"/>
  <c r="O11" i="18"/>
  <c r="P11" i="18"/>
  <c r="T11" i="18"/>
  <c r="V11" i="18"/>
  <c r="W11" i="18"/>
  <c r="M12" i="18"/>
  <c r="O12" i="18"/>
  <c r="P12" i="18"/>
  <c r="T12" i="18"/>
  <c r="V12" i="18"/>
  <c r="W12" i="18" s="1"/>
  <c r="X12" i="18" s="1"/>
  <c r="H12" i="18" s="1"/>
  <c r="M13" i="18"/>
  <c r="O13" i="18"/>
  <c r="P13" i="18" s="1"/>
  <c r="T13" i="18"/>
  <c r="V13" i="18"/>
  <c r="W13" i="18" s="1"/>
  <c r="M14" i="18"/>
  <c r="O14" i="18"/>
  <c r="P14" i="18" s="1"/>
  <c r="T14" i="18"/>
  <c r="X14" i="18" s="1"/>
  <c r="H14" i="18" s="1"/>
  <c r="V14" i="18"/>
  <c r="W14" i="18"/>
  <c r="G14" i="18" s="1"/>
  <c r="L15" i="18"/>
  <c r="M15" i="18" s="1"/>
  <c r="O15" i="18"/>
  <c r="P15" i="18" s="1"/>
  <c r="S15" i="18"/>
  <c r="T15" i="18"/>
  <c r="F15" i="18" s="1"/>
  <c r="V15" i="18"/>
  <c r="W15" i="18"/>
  <c r="L16" i="18"/>
  <c r="M16" i="18" s="1"/>
  <c r="O16" i="18"/>
  <c r="P16" i="18"/>
  <c r="G16" i="18"/>
  <c r="S16" i="18"/>
  <c r="T16" i="18" s="1"/>
  <c r="X16" i="18" s="1"/>
  <c r="H16" i="18" s="1"/>
  <c r="V16" i="18"/>
  <c r="W16" i="18"/>
  <c r="M17" i="18"/>
  <c r="O17" i="18"/>
  <c r="P17" i="18" s="1"/>
  <c r="S17" i="18"/>
  <c r="T17" i="18" s="1"/>
  <c r="V17" i="18"/>
  <c r="W17" i="18" s="1"/>
  <c r="G17" i="18" s="1"/>
  <c r="M18" i="18"/>
  <c r="O18" i="18"/>
  <c r="P18" i="18"/>
  <c r="Q18" i="18" s="1"/>
  <c r="S18" i="18"/>
  <c r="T18" i="18" s="1"/>
  <c r="V18" i="18"/>
  <c r="W18" i="18" s="1"/>
  <c r="F19" i="18"/>
  <c r="M19" i="18"/>
  <c r="Q19" i="18" s="1"/>
  <c r="I19" i="18" s="1"/>
  <c r="E19" i="18" s="1"/>
  <c r="P19" i="18"/>
  <c r="T19" i="18"/>
  <c r="X19" i="18"/>
  <c r="H19" i="18" s="1"/>
  <c r="W19" i="18"/>
  <c r="G19" i="18" s="1"/>
  <c r="M20" i="18"/>
  <c r="O20" i="18"/>
  <c r="P20" i="18"/>
  <c r="G20" i="18" s="1"/>
  <c r="T20" i="18"/>
  <c r="X20" i="18" s="1"/>
  <c r="H20" i="18" s="1"/>
  <c r="W20" i="18"/>
  <c r="F21" i="18"/>
  <c r="M21" i="18"/>
  <c r="Q21" i="18"/>
  <c r="I21" i="18" s="1"/>
  <c r="P21" i="18"/>
  <c r="T21" i="18"/>
  <c r="V21" i="18"/>
  <c r="W21" i="18" s="1"/>
  <c r="X21" i="18" s="1"/>
  <c r="H21" i="18" s="1"/>
  <c r="F22" i="18"/>
  <c r="M22" i="18"/>
  <c r="O22" i="18"/>
  <c r="P22" i="18"/>
  <c r="T22" i="18"/>
  <c r="V22" i="18"/>
  <c r="W22" i="18"/>
  <c r="L23" i="18"/>
  <c r="M23" i="18" s="1"/>
  <c r="F23" i="18" s="1"/>
  <c r="O23" i="18"/>
  <c r="P23" i="18" s="1"/>
  <c r="S23" i="18"/>
  <c r="T23" i="18" s="1"/>
  <c r="V23" i="18"/>
  <c r="W23" i="18"/>
  <c r="M24" i="18"/>
  <c r="F24" i="18"/>
  <c r="O24" i="18"/>
  <c r="P24" i="18" s="1"/>
  <c r="T24" i="18"/>
  <c r="V24" i="18"/>
  <c r="W24" i="18" s="1"/>
  <c r="L25" i="18"/>
  <c r="M25" i="18"/>
  <c r="O25" i="18"/>
  <c r="P25" i="18" s="1"/>
  <c r="G25" i="18"/>
  <c r="T25" i="18"/>
  <c r="U25" i="18" s="1"/>
  <c r="V25" i="18"/>
  <c r="W25" i="18" s="1"/>
  <c r="L26" i="18"/>
  <c r="M26" i="18" s="1"/>
  <c r="Q26" i="18"/>
  <c r="J26" i="18" s="1"/>
  <c r="T26" i="18"/>
  <c r="F27" i="18"/>
  <c r="O27" i="18"/>
  <c r="P27" i="18"/>
  <c r="G27" i="18" s="1"/>
  <c r="V27" i="18"/>
  <c r="W27" i="18" s="1"/>
  <c r="X27" i="18"/>
  <c r="H27" i="18"/>
  <c r="M29" i="18"/>
  <c r="O29" i="18"/>
  <c r="P29" i="18" s="1"/>
  <c r="T29" i="18"/>
  <c r="V29" i="18"/>
  <c r="W29" i="18"/>
  <c r="M30" i="18"/>
  <c r="O30" i="18"/>
  <c r="P30" i="18"/>
  <c r="T30" i="18"/>
  <c r="X30" i="18" s="1"/>
  <c r="H30" i="18" s="1"/>
  <c r="V30" i="18"/>
  <c r="W30" i="18"/>
  <c r="M31" i="18"/>
  <c r="F31" i="18" s="1"/>
  <c r="O31" i="18"/>
  <c r="P31" i="18" s="1"/>
  <c r="G31" i="18"/>
  <c r="T31" i="18"/>
  <c r="V31" i="18"/>
  <c r="W31" i="18"/>
  <c r="X31" i="18" s="1"/>
  <c r="H31" i="18" s="1"/>
  <c r="M32" i="18"/>
  <c r="F32" i="18"/>
  <c r="O32" i="18"/>
  <c r="P32" i="18" s="1"/>
  <c r="G32" i="18" s="1"/>
  <c r="T32" i="18"/>
  <c r="X32" i="18" s="1"/>
  <c r="V32" i="18"/>
  <c r="W32" i="18" s="1"/>
  <c r="H32" i="18"/>
  <c r="G33" i="18"/>
  <c r="M33" i="18"/>
  <c r="F33" i="18" s="1"/>
  <c r="P33" i="18"/>
  <c r="T33" i="18"/>
  <c r="W33" i="18"/>
  <c r="X33" i="18"/>
  <c r="H33" i="18" s="1"/>
  <c r="M34" i="18"/>
  <c r="F34" i="18" s="1"/>
  <c r="O34" i="18"/>
  <c r="P34" i="18" s="1"/>
  <c r="G34" i="18" s="1"/>
  <c r="T34" i="18"/>
  <c r="X34" i="18" s="1"/>
  <c r="H34" i="18" s="1"/>
  <c r="V34" i="18"/>
  <c r="W34" i="18" s="1"/>
  <c r="M35" i="18"/>
  <c r="O35" i="18"/>
  <c r="P35" i="18"/>
  <c r="G35" i="18"/>
  <c r="T35" i="18"/>
  <c r="V35" i="18"/>
  <c r="W35" i="18"/>
  <c r="X35" i="18" s="1"/>
  <c r="H35" i="18" s="1"/>
  <c r="L36" i="18"/>
  <c r="M36" i="18"/>
  <c r="F36" i="18" s="1"/>
  <c r="P36" i="18"/>
  <c r="G36" i="18" s="1"/>
  <c r="T36" i="18"/>
  <c r="W36" i="18"/>
  <c r="F37" i="18"/>
  <c r="M37" i="18"/>
  <c r="P37" i="18"/>
  <c r="T37" i="18"/>
  <c r="V37" i="18"/>
  <c r="W37" i="18" s="1"/>
  <c r="X37" i="18" s="1"/>
  <c r="H37" i="18" s="1"/>
  <c r="M38" i="18"/>
  <c r="F38" i="18" s="1"/>
  <c r="P38" i="18"/>
  <c r="Q38" i="18" s="1"/>
  <c r="J38" i="18" s="1"/>
  <c r="T38" i="18"/>
  <c r="V38" i="18"/>
  <c r="W38" i="18" s="1"/>
  <c r="G38" i="18" s="1"/>
  <c r="M39" i="18"/>
  <c r="Q39" i="18" s="1"/>
  <c r="J39" i="18" s="1"/>
  <c r="O39" i="18"/>
  <c r="P39" i="18"/>
  <c r="T39" i="18"/>
  <c r="V39" i="18"/>
  <c r="W39" i="18" s="1"/>
  <c r="M40" i="18"/>
  <c r="O40" i="18"/>
  <c r="P40" i="18" s="1"/>
  <c r="T40" i="18"/>
  <c r="V40" i="18"/>
  <c r="W40" i="18"/>
  <c r="G40" i="18" s="1"/>
  <c r="G41" i="18"/>
  <c r="M41" i="18"/>
  <c r="F41" i="18"/>
  <c r="O41" i="18"/>
  <c r="P41" i="18" s="1"/>
  <c r="T41" i="18"/>
  <c r="V41" i="18"/>
  <c r="W41" i="18" s="1"/>
  <c r="G42" i="18"/>
  <c r="M42" i="18"/>
  <c r="O42" i="18"/>
  <c r="P42" i="18"/>
  <c r="T42" i="18"/>
  <c r="V42" i="18"/>
  <c r="W42" i="18"/>
  <c r="X42" i="18" s="1"/>
  <c r="H42" i="18" s="1"/>
  <c r="L43" i="18"/>
  <c r="M43" i="18" s="1"/>
  <c r="O43" i="18"/>
  <c r="P43" i="18"/>
  <c r="S43" i="18"/>
  <c r="T43" i="18" s="1"/>
  <c r="X43" i="18" s="1"/>
  <c r="H43" i="18" s="1"/>
  <c r="V43" i="18"/>
  <c r="W43" i="18" s="1"/>
  <c r="M44" i="18"/>
  <c r="F44" i="18" s="1"/>
  <c r="P44" i="18"/>
  <c r="T44" i="18"/>
  <c r="V44" i="18"/>
  <c r="W44" i="18"/>
  <c r="X44" i="18" s="1"/>
  <c r="H44" i="18" s="1"/>
  <c r="M45" i="18"/>
  <c r="P45" i="18"/>
  <c r="T45" i="18"/>
  <c r="X45" i="18" s="1"/>
  <c r="H45" i="18" s="1"/>
  <c r="W45" i="18"/>
  <c r="M46" i="18"/>
  <c r="O46" i="18"/>
  <c r="P46" i="18"/>
  <c r="Q46" i="18"/>
  <c r="J46" i="18" s="1"/>
  <c r="T46" i="18"/>
  <c r="X46" i="18" s="1"/>
  <c r="H46" i="18" s="1"/>
  <c r="V46" i="18"/>
  <c r="W46" i="18" s="1"/>
  <c r="M47" i="18"/>
  <c r="P47" i="18"/>
  <c r="T47" i="18"/>
  <c r="F47" i="18"/>
  <c r="W47" i="18"/>
  <c r="M48" i="18"/>
  <c r="F48" i="18" s="1"/>
  <c r="P48" i="18"/>
  <c r="T48" i="18"/>
  <c r="W48" i="18"/>
  <c r="G48" i="18" s="1"/>
  <c r="X48" i="18"/>
  <c r="H48" i="18" s="1"/>
  <c r="H49" i="18"/>
  <c r="M49" i="18"/>
  <c r="Q49" i="18" s="1"/>
  <c r="P49" i="18"/>
  <c r="T49" i="18"/>
  <c r="X49" i="18" s="1"/>
  <c r="F49" i="18"/>
  <c r="W49" i="18"/>
  <c r="M50" i="18"/>
  <c r="F50" i="18" s="1"/>
  <c r="P50" i="18"/>
  <c r="Q50" i="18" s="1"/>
  <c r="J50" i="18" s="1"/>
  <c r="T50" i="18"/>
  <c r="X50" i="18"/>
  <c r="H50" i="18" s="1"/>
  <c r="W50" i="18"/>
  <c r="M52" i="18"/>
  <c r="P52" i="18"/>
  <c r="G52" i="18" s="1"/>
  <c r="T52" i="18"/>
  <c r="W52" i="18"/>
  <c r="X52" i="18"/>
  <c r="M53" i="18"/>
  <c r="F53" i="18" s="1"/>
  <c r="P53" i="18"/>
  <c r="P51" i="18" s="1"/>
  <c r="T53" i="18"/>
  <c r="W53" i="18"/>
  <c r="F54" i="18"/>
  <c r="M54" i="18"/>
  <c r="Q54" i="18" s="1"/>
  <c r="P54" i="18"/>
  <c r="T54" i="18"/>
  <c r="W54" i="18"/>
  <c r="M55" i="18"/>
  <c r="F55" i="18" s="1"/>
  <c r="P55" i="18"/>
  <c r="T55" i="18"/>
  <c r="V55" i="18"/>
  <c r="W55" i="18" s="1"/>
  <c r="X55" i="18"/>
  <c r="H55" i="18" s="1"/>
  <c r="M56" i="18"/>
  <c r="N56" i="18"/>
  <c r="P56" i="18" s="1"/>
  <c r="Q56" i="18" s="1"/>
  <c r="T56" i="18"/>
  <c r="F56" i="18" s="1"/>
  <c r="U56" i="18"/>
  <c r="W56" i="18" s="1"/>
  <c r="G57" i="18"/>
  <c r="M57" i="18"/>
  <c r="P57" i="18"/>
  <c r="T57" i="18"/>
  <c r="F57" i="18" s="1"/>
  <c r="W57" i="18"/>
  <c r="M59" i="18"/>
  <c r="Q59" i="18" s="1"/>
  <c r="O59" i="18"/>
  <c r="P59" i="18" s="1"/>
  <c r="T59" i="18"/>
  <c r="W59" i="18"/>
  <c r="L60" i="18"/>
  <c r="M60" i="18"/>
  <c r="P60" i="18"/>
  <c r="G60" i="18"/>
  <c r="S60" i="18"/>
  <c r="T60" i="18" s="1"/>
  <c r="X60" i="18" s="1"/>
  <c r="H60" i="18"/>
  <c r="W60" i="18"/>
  <c r="M61" i="18"/>
  <c r="P61" i="18"/>
  <c r="G61" i="18"/>
  <c r="T61" i="18"/>
  <c r="X61" i="18" s="1"/>
  <c r="H61" i="18" s="1"/>
  <c r="W61" i="18"/>
  <c r="M62" i="18"/>
  <c r="P62" i="18"/>
  <c r="T62" i="18"/>
  <c r="X62" i="18" s="1"/>
  <c r="H62" i="18" s="1"/>
  <c r="W62" i="18"/>
  <c r="G62" i="18"/>
  <c r="M63" i="18"/>
  <c r="Q63" i="18"/>
  <c r="P63" i="18"/>
  <c r="G63" i="18" s="1"/>
  <c r="T63" i="18"/>
  <c r="F63" i="18" s="1"/>
  <c r="X63" i="18"/>
  <c r="H63" i="18" s="1"/>
  <c r="W63" i="18"/>
  <c r="F64" i="18"/>
  <c r="M64" i="18"/>
  <c r="Q64" i="18"/>
  <c r="P64" i="18"/>
  <c r="T64" i="18"/>
  <c r="X64" i="18" s="1"/>
  <c r="H64" i="18" s="1"/>
  <c r="W64" i="18"/>
  <c r="G64" i="18"/>
  <c r="M65" i="18"/>
  <c r="P65" i="18"/>
  <c r="G65" i="18" s="1"/>
  <c r="T65" i="18"/>
  <c r="X65" i="18"/>
  <c r="H65" i="18" s="1"/>
  <c r="U65" i="18"/>
  <c r="W65" i="18"/>
  <c r="K66" i="18"/>
  <c r="M66" i="18" s="1"/>
  <c r="Q66" i="18" s="1"/>
  <c r="J66" i="18" s="1"/>
  <c r="P66" i="18"/>
  <c r="T66" i="18"/>
  <c r="X66" i="18" s="1"/>
  <c r="H66" i="18" s="1"/>
  <c r="W66" i="18"/>
  <c r="L67" i="18"/>
  <c r="M67" i="18" s="1"/>
  <c r="O67" i="18"/>
  <c r="P67" i="18"/>
  <c r="T67" i="18"/>
  <c r="X67" i="18" s="1"/>
  <c r="H67" i="18" s="1"/>
  <c r="W67" i="18"/>
  <c r="W58" i="18" s="1"/>
  <c r="F68" i="18"/>
  <c r="M68" i="18"/>
  <c r="P68" i="18"/>
  <c r="Q68" i="18" s="1"/>
  <c r="T68" i="18"/>
  <c r="X68" i="18"/>
  <c r="H68" i="18"/>
  <c r="W68" i="18"/>
  <c r="M69" i="18"/>
  <c r="Q69" i="18" s="1"/>
  <c r="I69" i="18" s="1"/>
  <c r="E69" i="18" s="1"/>
  <c r="P69" i="18"/>
  <c r="G69" i="18" s="1"/>
  <c r="T69" i="18"/>
  <c r="X69" i="18" s="1"/>
  <c r="H69" i="18" s="1"/>
  <c r="W69" i="18"/>
  <c r="G70" i="18"/>
  <c r="L70" i="18"/>
  <c r="M70" i="18"/>
  <c r="Q70" i="18" s="1"/>
  <c r="P70" i="18"/>
  <c r="S70" i="18"/>
  <c r="T70" i="18" s="1"/>
  <c r="X70" i="18" s="1"/>
  <c r="H70" i="18" s="1"/>
  <c r="W70" i="18"/>
  <c r="L71" i="18"/>
  <c r="M71" i="18" s="1"/>
  <c r="P71" i="18"/>
  <c r="G71" i="18" s="1"/>
  <c r="T71" i="18"/>
  <c r="W71" i="18"/>
  <c r="X71" i="18"/>
  <c r="H71" i="18" s="1"/>
  <c r="M72" i="18"/>
  <c r="Q72" i="18" s="1"/>
  <c r="P72" i="18"/>
  <c r="T72" i="18"/>
  <c r="X72" i="18" s="1"/>
  <c r="H72" i="18" s="1"/>
  <c r="W72" i="18"/>
  <c r="G72" i="18" s="1"/>
  <c r="L73" i="18"/>
  <c r="M73" i="18" s="1"/>
  <c r="P73" i="18"/>
  <c r="G73" i="18" s="1"/>
  <c r="T73" i="18"/>
  <c r="X73" i="18" s="1"/>
  <c r="H73" i="18" s="1"/>
  <c r="W73" i="18"/>
  <c r="K74" i="18"/>
  <c r="M74" i="18"/>
  <c r="P74" i="18"/>
  <c r="G74" i="18" s="1"/>
  <c r="T74" i="18"/>
  <c r="W74" i="18"/>
  <c r="M76" i="18"/>
  <c r="P76" i="18"/>
  <c r="T76" i="18"/>
  <c r="T75" i="18" s="1"/>
  <c r="V76" i="18"/>
  <c r="W76" i="18"/>
  <c r="M77" i="18"/>
  <c r="P77" i="18"/>
  <c r="T77" i="18"/>
  <c r="F77" i="18"/>
  <c r="V77" i="18"/>
  <c r="W77" i="18" s="1"/>
  <c r="X77" i="18"/>
  <c r="H77" i="18" s="1"/>
  <c r="M78" i="18"/>
  <c r="F78" i="18"/>
  <c r="P78" i="18"/>
  <c r="T78" i="18"/>
  <c r="W78" i="18"/>
  <c r="X78" i="18" s="1"/>
  <c r="H78" i="18" s="1"/>
  <c r="G79" i="18"/>
  <c r="L79" i="18"/>
  <c r="M79" i="18"/>
  <c r="P79" i="18"/>
  <c r="T79" i="18"/>
  <c r="X79" i="18"/>
  <c r="H79" i="18" s="1"/>
  <c r="W79" i="18"/>
  <c r="W80" i="18"/>
  <c r="F59" i="18"/>
  <c r="F79" i="18"/>
  <c r="Q79" i="18"/>
  <c r="F71" i="18"/>
  <c r="J69" i="18"/>
  <c r="Q61" i="18"/>
  <c r="J61" i="18" s="1"/>
  <c r="Q47" i="18"/>
  <c r="G46" i="18"/>
  <c r="Q45" i="18"/>
  <c r="G22" i="18"/>
  <c r="Q22" i="18"/>
  <c r="P7" i="18"/>
  <c r="X36" i="18"/>
  <c r="H36" i="18"/>
  <c r="Q27" i="18"/>
  <c r="J27" i="18" s="1"/>
  <c r="F70" i="18"/>
  <c r="G54" i="18"/>
  <c r="G49" i="18"/>
  <c r="Q40" i="18"/>
  <c r="Q23" i="18"/>
  <c r="F16" i="18"/>
  <c r="S83" i="6"/>
  <c r="L83" i="6"/>
  <c r="M83" i="6" s="1"/>
  <c r="I64" i="18"/>
  <c r="E64" i="18" s="1"/>
  <c r="G59" i="18"/>
  <c r="G55" i="18"/>
  <c r="G50" i="18"/>
  <c r="Q36" i="18"/>
  <c r="I36" i="18" s="1"/>
  <c r="Q35" i="18"/>
  <c r="J35" i="18" s="1"/>
  <c r="F35" i="18"/>
  <c r="X74" i="18"/>
  <c r="H74" i="18" s="1"/>
  <c r="M75" i="18"/>
  <c r="F61" i="18"/>
  <c r="S100" i="6"/>
  <c r="L100" i="6"/>
  <c r="M100" i="6" s="1"/>
  <c r="P75" i="18"/>
  <c r="J64" i="18"/>
  <c r="F76" i="18"/>
  <c r="F75" i="18" s="1"/>
  <c r="P101" i="6"/>
  <c r="S90" i="6"/>
  <c r="S75" i="6"/>
  <c r="L75" i="6"/>
  <c r="M75" i="6" s="1"/>
  <c r="N141" i="6"/>
  <c r="X25" i="18"/>
  <c r="H25" i="18"/>
  <c r="X24" i="18"/>
  <c r="H24" i="18" s="1"/>
  <c r="X18" i="18"/>
  <c r="H18" i="18" s="1"/>
  <c r="T148" i="6"/>
  <c r="V148" i="6" s="1"/>
  <c r="S92" i="6"/>
  <c r="L92" i="6"/>
  <c r="M92" i="6" s="1"/>
  <c r="Q31" i="18"/>
  <c r="J31" i="18" s="1"/>
  <c r="G24" i="18"/>
  <c r="X11" i="18"/>
  <c r="H11" i="18" s="1"/>
  <c r="L146" i="6"/>
  <c r="S98" i="6"/>
  <c r="L98" i="6"/>
  <c r="M98" i="6" s="1"/>
  <c r="S59" i="6"/>
  <c r="L59" i="6"/>
  <c r="M59" i="6"/>
  <c r="F29" i="18"/>
  <c r="Q15" i="18"/>
  <c r="G18" i="18"/>
  <c r="G11" i="18"/>
  <c r="L28" i="10"/>
  <c r="S123" i="6"/>
  <c r="S89" i="6"/>
  <c r="L89" i="6"/>
  <c r="M89" i="6"/>
  <c r="S45" i="6"/>
  <c r="L45" i="6"/>
  <c r="M45" i="6" s="1"/>
  <c r="Q41" i="18"/>
  <c r="X29" i="18"/>
  <c r="H29" i="18" s="1"/>
  <c r="J19" i="18"/>
  <c r="Q13" i="10"/>
  <c r="J13" i="10"/>
  <c r="L13" i="10" s="1"/>
  <c r="K142" i="6"/>
  <c r="S142" i="6"/>
  <c r="T142" i="6"/>
  <c r="V142" i="6"/>
  <c r="M139" i="6"/>
  <c r="P137" i="6"/>
  <c r="M134" i="6"/>
  <c r="L122" i="6"/>
  <c r="M122" i="6" s="1"/>
  <c r="K253" i="4"/>
  <c r="M253" i="4"/>
  <c r="M252" i="4" s="1"/>
  <c r="S253" i="4"/>
  <c r="T253" i="4"/>
  <c r="M161" i="25"/>
  <c r="K156" i="25"/>
  <c r="N11" i="9"/>
  <c r="F10" i="9"/>
  <c r="L102" i="6"/>
  <c r="M102" i="6" s="1"/>
  <c r="Q24" i="18"/>
  <c r="Q17" i="18"/>
  <c r="J17" i="18" s="1"/>
  <c r="X8" i="18"/>
  <c r="P99" i="6"/>
  <c r="S77" i="6"/>
  <c r="L77" i="6"/>
  <c r="M77" i="6" s="1"/>
  <c r="M36" i="6"/>
  <c r="F18" i="18"/>
  <c r="F9" i="9"/>
  <c r="S79" i="6"/>
  <c r="P32" i="6"/>
  <c r="M21" i="6"/>
  <c r="N21" i="6"/>
  <c r="P21" i="6" s="1"/>
  <c r="N9" i="6"/>
  <c r="P9" i="6" s="1"/>
  <c r="S48" i="6"/>
  <c r="L48" i="6"/>
  <c r="M48" i="6"/>
  <c r="M17" i="6"/>
  <c r="N17" i="6"/>
  <c r="P17" i="6" s="1"/>
  <c r="P127" i="6"/>
  <c r="L111" i="6"/>
  <c r="M111" i="6"/>
  <c r="P78" i="6"/>
  <c r="P334" i="4"/>
  <c r="Q13" i="18"/>
  <c r="J13" i="18" s="1"/>
  <c r="Q8" i="18"/>
  <c r="P150" i="6"/>
  <c r="L144" i="6"/>
  <c r="M144" i="6" s="1"/>
  <c r="P95" i="6"/>
  <c r="L63" i="6"/>
  <c r="M63" i="6"/>
  <c r="M54" i="6"/>
  <c r="P27" i="6"/>
  <c r="N296" i="4"/>
  <c r="X296" i="4"/>
  <c r="Q296" i="4"/>
  <c r="J257" i="25"/>
  <c r="S270" i="4"/>
  <c r="S265" i="4"/>
  <c r="T270" i="4"/>
  <c r="N270" i="4" s="1"/>
  <c r="P270" i="4" s="1"/>
  <c r="K270" i="4"/>
  <c r="M270" i="4" s="1"/>
  <c r="M265" i="4" s="1"/>
  <c r="M39" i="4"/>
  <c r="V6" i="4"/>
  <c r="W21" i="5"/>
  <c r="M21" i="5"/>
  <c r="P246" i="25"/>
  <c r="S224" i="25"/>
  <c r="S222" i="25" s="1"/>
  <c r="Q222" i="25"/>
  <c r="N272" i="4"/>
  <c r="P272" i="4"/>
  <c r="P18" i="5"/>
  <c r="M280" i="25"/>
  <c r="S268" i="25"/>
  <c r="M247" i="25"/>
  <c r="M245" i="25"/>
  <c r="M177" i="25"/>
  <c r="L81" i="6"/>
  <c r="M81" i="6"/>
  <c r="L46" i="6"/>
  <c r="M46" i="6" s="1"/>
  <c r="M20" i="6"/>
  <c r="M16" i="6"/>
  <c r="M330" i="4"/>
  <c r="O326" i="4"/>
  <c r="N275" i="4"/>
  <c r="P275" i="4" s="1"/>
  <c r="V275" i="4"/>
  <c r="N257" i="4"/>
  <c r="P257" i="4" s="1"/>
  <c r="V257" i="4"/>
  <c r="S33" i="4"/>
  <c r="S32" i="4"/>
  <c r="M12" i="4"/>
  <c r="M6" i="4"/>
  <c r="P6" i="4"/>
  <c r="P21" i="5"/>
  <c r="J275" i="25"/>
  <c r="P222" i="25"/>
  <c r="P172" i="25" s="1"/>
  <c r="Q201" i="25"/>
  <c r="S202" i="25"/>
  <c r="S201" i="25"/>
  <c r="J107" i="25"/>
  <c r="J246" i="25"/>
  <c r="J173" i="25"/>
  <c r="J172" i="25" s="1"/>
  <c r="P25" i="6"/>
  <c r="V543" i="4"/>
  <c r="V541" i="4" s="1"/>
  <c r="N330" i="4"/>
  <c r="P330" i="4" s="1"/>
  <c r="S317" i="4"/>
  <c r="K254" i="4"/>
  <c r="M254" i="4"/>
  <c r="S254" i="4"/>
  <c r="T254" i="4"/>
  <c r="W6" i="5"/>
  <c r="P257" i="25"/>
  <c r="S239" i="25"/>
  <c r="M8" i="6"/>
  <c r="S466" i="4"/>
  <c r="S446" i="4"/>
  <c r="S427" i="4" s="1"/>
  <c r="N325" i="4"/>
  <c r="P325" i="4"/>
  <c r="V325" i="4"/>
  <c r="M317" i="4"/>
  <c r="P317" i="4"/>
  <c r="O295" i="4"/>
  <c r="N256" i="4"/>
  <c r="P256" i="4" s="1"/>
  <c r="V256" i="4"/>
  <c r="V39" i="4"/>
  <c r="V33" i="4"/>
  <c r="V32" i="4" s="1"/>
  <c r="K7" i="5"/>
  <c r="P275" i="25"/>
  <c r="M255" i="25"/>
  <c r="O328" i="4"/>
  <c r="P328" i="4" s="1"/>
  <c r="N313" i="4"/>
  <c r="P313" i="4" s="1"/>
  <c r="X295" i="4"/>
  <c r="N295" i="4"/>
  <c r="Q294" i="4"/>
  <c r="V274" i="4"/>
  <c r="K257" i="4"/>
  <c r="M257" i="4"/>
  <c r="V255" i="4"/>
  <c r="F7" i="9"/>
  <c r="N16" i="5"/>
  <c r="P16" i="5" s="1"/>
  <c r="Q7" i="5"/>
  <c r="S7" i="5" s="1"/>
  <c r="S6" i="5" s="1"/>
  <c r="J7" i="5"/>
  <c r="L7" i="5" s="1"/>
  <c r="L6" i="5" s="1"/>
  <c r="M228" i="25"/>
  <c r="M206" i="25"/>
  <c r="G156" i="25"/>
  <c r="V135" i="25"/>
  <c r="G107" i="25"/>
  <c r="G106" i="25" s="1"/>
  <c r="V63" i="25"/>
  <c r="V62" i="25"/>
  <c r="O327" i="4"/>
  <c r="N271" i="4"/>
  <c r="P271" i="4"/>
  <c r="N261" i="4"/>
  <c r="P261" i="4" s="1"/>
  <c r="W16" i="5"/>
  <c r="G173" i="25"/>
  <c r="S136" i="25"/>
  <c r="S135" i="25" s="1"/>
  <c r="Q135" i="25"/>
  <c r="G91" i="25"/>
  <c r="S63" i="25"/>
  <c r="V156" i="25"/>
  <c r="V106" i="25" s="1"/>
  <c r="P135" i="25"/>
  <c r="V107" i="25"/>
  <c r="P63" i="25"/>
  <c r="N312" i="4"/>
  <c r="P312" i="4"/>
  <c r="K302" i="4"/>
  <c r="M302" i="4" s="1"/>
  <c r="O296" i="4"/>
  <c r="N294" i="4"/>
  <c r="P294" i="4" s="1"/>
  <c r="L25" i="5"/>
  <c r="N7" i="5"/>
  <c r="P7" i="5"/>
  <c r="P6" i="5"/>
  <c r="S173" i="25"/>
  <c r="Q156" i="25"/>
  <c r="S157" i="25"/>
  <c r="S156" i="25"/>
  <c r="M136" i="25"/>
  <c r="S107" i="25"/>
  <c r="V91" i="25"/>
  <c r="P256" i="8"/>
  <c r="X312" i="4"/>
  <c r="X294" i="4"/>
  <c r="X5" i="4" s="1"/>
  <c r="K289" i="8" s="1"/>
  <c r="M194" i="25"/>
  <c r="S91" i="25"/>
  <c r="S7" i="25"/>
  <c r="J222" i="25"/>
  <c r="P173" i="25"/>
  <c r="P156" i="25"/>
  <c r="J135" i="25"/>
  <c r="J106" i="25" s="1"/>
  <c r="M111" i="25"/>
  <c r="P91" i="25"/>
  <c r="V275" i="8"/>
  <c r="M211" i="25"/>
  <c r="V201" i="25"/>
  <c r="M186" i="25"/>
  <c r="G135" i="25"/>
  <c r="M95" i="25"/>
  <c r="J63" i="25"/>
  <c r="J62" i="25"/>
  <c r="M253" i="8"/>
  <c r="M249" i="8"/>
  <c r="N249" i="8"/>
  <c r="P249" i="8"/>
  <c r="M243" i="8"/>
  <c r="N243" i="8"/>
  <c r="P243" i="8" s="1"/>
  <c r="S241" i="8"/>
  <c r="S239" i="8" s="1"/>
  <c r="S238" i="8" s="1"/>
  <c r="T241" i="8"/>
  <c r="V241" i="8"/>
  <c r="M181" i="8"/>
  <c r="N181" i="8"/>
  <c r="P181" i="8" s="1"/>
  <c r="M37" i="25"/>
  <c r="T33" i="25"/>
  <c r="T260" i="8"/>
  <c r="V260" i="8"/>
  <c r="K260" i="8"/>
  <c r="M260" i="8" s="1"/>
  <c r="V222" i="8"/>
  <c r="M254" i="8"/>
  <c r="N254" i="8"/>
  <c r="P254" i="8"/>
  <c r="M250" i="8"/>
  <c r="N250" i="8"/>
  <c r="P250" i="8" s="1"/>
  <c r="M244" i="8"/>
  <c r="N244" i="8"/>
  <c r="P244" i="8" s="1"/>
  <c r="M241" i="8"/>
  <c r="V201" i="8"/>
  <c r="P190" i="8"/>
  <c r="S184" i="8"/>
  <c r="T184" i="8"/>
  <c r="V184" i="8" s="1"/>
  <c r="K184" i="8"/>
  <c r="Q33" i="25"/>
  <c r="Q7" i="25"/>
  <c r="M262" i="8"/>
  <c r="N262" i="8"/>
  <c r="P262" i="8"/>
  <c r="S201" i="8"/>
  <c r="S265" i="8"/>
  <c r="T265" i="8"/>
  <c r="V265" i="8" s="1"/>
  <c r="S261" i="8"/>
  <c r="T261" i="8"/>
  <c r="V261" i="8"/>
  <c r="K261" i="8"/>
  <c r="M261" i="8" s="1"/>
  <c r="M255" i="8"/>
  <c r="N255" i="8"/>
  <c r="P255" i="8" s="1"/>
  <c r="M251" i="8"/>
  <c r="N251" i="8"/>
  <c r="P251" i="8"/>
  <c r="M247" i="8"/>
  <c r="M246" i="8"/>
  <c r="N247" i="8"/>
  <c r="P247" i="8" s="1"/>
  <c r="M245" i="8"/>
  <c r="N245" i="8"/>
  <c r="P245" i="8" s="1"/>
  <c r="M10" i="25"/>
  <c r="P168" i="8"/>
  <c r="M259" i="8"/>
  <c r="N259" i="8"/>
  <c r="P259" i="8" s="1"/>
  <c r="M256" i="8"/>
  <c r="N256" i="8"/>
  <c r="M252" i="8"/>
  <c r="N252" i="8"/>
  <c r="P252" i="8"/>
  <c r="M248" i="8"/>
  <c r="N248" i="8"/>
  <c r="P248" i="8" s="1"/>
  <c r="M242" i="8"/>
  <c r="N242" i="8"/>
  <c r="P242" i="8" s="1"/>
  <c r="M183" i="8"/>
  <c r="N183" i="8"/>
  <c r="P183" i="8" s="1"/>
  <c r="P176" i="8"/>
  <c r="N160" i="8"/>
  <c r="P160" i="8"/>
  <c r="M160" i="8"/>
  <c r="K118" i="8"/>
  <c r="N118" i="8" s="1"/>
  <c r="P118" i="8" s="1"/>
  <c r="S118" i="8"/>
  <c r="T118" i="8"/>
  <c r="V118" i="8"/>
  <c r="S116" i="8"/>
  <c r="T116" i="8"/>
  <c r="V116" i="8"/>
  <c r="M108" i="8"/>
  <c r="N108" i="8"/>
  <c r="P108" i="8"/>
  <c r="N186" i="8"/>
  <c r="P186" i="8" s="1"/>
  <c r="T181" i="8"/>
  <c r="V181" i="8"/>
  <c r="N177" i="8"/>
  <c r="P177" i="8"/>
  <c r="N176" i="8"/>
  <c r="N175" i="8"/>
  <c r="P175" i="8"/>
  <c r="N174" i="8"/>
  <c r="P174" i="8" s="1"/>
  <c r="N171" i="8"/>
  <c r="P171" i="8" s="1"/>
  <c r="N170" i="8"/>
  <c r="P170" i="8" s="1"/>
  <c r="N169" i="8"/>
  <c r="P169" i="8" s="1"/>
  <c r="N168" i="8"/>
  <c r="N167" i="8"/>
  <c r="P167" i="8"/>
  <c r="N166" i="8"/>
  <c r="P166" i="8" s="1"/>
  <c r="N165" i="8"/>
  <c r="P165" i="8" s="1"/>
  <c r="N164" i="8"/>
  <c r="P164" i="8" s="1"/>
  <c r="N163" i="8"/>
  <c r="P163" i="8" s="1"/>
  <c r="M156" i="8"/>
  <c r="P147" i="8"/>
  <c r="S135" i="8"/>
  <c r="K112" i="8"/>
  <c r="N112" i="8" s="1"/>
  <c r="P112" i="8" s="1"/>
  <c r="S112" i="8"/>
  <c r="T112" i="8"/>
  <c r="V112" i="8"/>
  <c r="N147" i="8"/>
  <c r="P142" i="8"/>
  <c r="N130" i="8"/>
  <c r="P130" i="8" s="1"/>
  <c r="M127" i="8"/>
  <c r="N127" i="8"/>
  <c r="P127" i="8"/>
  <c r="M121" i="8"/>
  <c r="N121" i="8"/>
  <c r="P121" i="8"/>
  <c r="K116" i="8"/>
  <c r="T115" i="8"/>
  <c r="V115" i="8"/>
  <c r="S115" i="8"/>
  <c r="K185" i="8"/>
  <c r="K185" i="25" s="1"/>
  <c r="M185" i="25" s="1"/>
  <c r="N136" i="8"/>
  <c r="P136" i="8" s="1"/>
  <c r="M136" i="8"/>
  <c r="M105" i="8"/>
  <c r="N105" i="8"/>
  <c r="P105" i="8" s="1"/>
  <c r="S91" i="8"/>
  <c r="T185" i="8"/>
  <c r="V185" i="8" s="1"/>
  <c r="N182" i="8"/>
  <c r="P182" i="8" s="1"/>
  <c r="K115" i="8"/>
  <c r="K115" i="25" s="1"/>
  <c r="M115" i="25" s="1"/>
  <c r="V63" i="8"/>
  <c r="F5" i="9"/>
  <c r="M137" i="8"/>
  <c r="K114" i="8"/>
  <c r="N114" i="8" s="1"/>
  <c r="P114" i="8" s="1"/>
  <c r="S114" i="8"/>
  <c r="T114" i="8"/>
  <c r="V114" i="8" s="1"/>
  <c r="M97" i="8"/>
  <c r="N97" i="8"/>
  <c r="P97" i="8"/>
  <c r="N153" i="8"/>
  <c r="P153" i="8"/>
  <c r="N149" i="8"/>
  <c r="P149" i="8" s="1"/>
  <c r="N146" i="8"/>
  <c r="P146" i="8" s="1"/>
  <c r="P133" i="8"/>
  <c r="N120" i="8"/>
  <c r="P120" i="8"/>
  <c r="M120" i="8"/>
  <c r="M100" i="8"/>
  <c r="N100" i="8"/>
  <c r="P100" i="8" s="1"/>
  <c r="V33" i="8"/>
  <c r="N92" i="8"/>
  <c r="P92" i="8"/>
  <c r="N55" i="8"/>
  <c r="P55" i="8"/>
  <c r="N35" i="8"/>
  <c r="P35" i="8" s="1"/>
  <c r="M35" i="8"/>
  <c r="M61" i="8"/>
  <c r="N39" i="8"/>
  <c r="P39" i="8"/>
  <c r="N125" i="8"/>
  <c r="P125" i="8" s="1"/>
  <c r="N111" i="8"/>
  <c r="P111" i="8" s="1"/>
  <c r="V91" i="8"/>
  <c r="K40" i="8"/>
  <c r="N37" i="8"/>
  <c r="P37" i="8"/>
  <c r="N254" i="4"/>
  <c r="P254" i="4"/>
  <c r="V254" i="4"/>
  <c r="I18" i="18"/>
  <c r="E18" i="18"/>
  <c r="J18" i="18"/>
  <c r="S296" i="4"/>
  <c r="K296" i="4"/>
  <c r="M296" i="4"/>
  <c r="J15" i="18"/>
  <c r="J40" i="18"/>
  <c r="I27" i="18"/>
  <c r="E27" i="18"/>
  <c r="J56" i="18"/>
  <c r="M116" i="8"/>
  <c r="N116" i="8"/>
  <c r="P116" i="8"/>
  <c r="K116" i="25"/>
  <c r="M116" i="25"/>
  <c r="M185" i="8"/>
  <c r="K294" i="4"/>
  <c r="M294" i="4" s="1"/>
  <c r="S294" i="4"/>
  <c r="P295" i="4"/>
  <c r="I35" i="18"/>
  <c r="E35" i="18" s="1"/>
  <c r="J79" i="18"/>
  <c r="I79" i="18"/>
  <c r="E79" i="18" s="1"/>
  <c r="X7" i="18"/>
  <c r="H8" i="18"/>
  <c r="X80" i="18"/>
  <c r="M142" i="6"/>
  <c r="N142" i="6"/>
  <c r="P142" i="6"/>
  <c r="J36" i="18"/>
  <c r="E36" i="18"/>
  <c r="I49" i="18"/>
  <c r="E49" i="18" s="1"/>
  <c r="J49" i="18"/>
  <c r="I66" i="18"/>
  <c r="E66" i="18" s="1"/>
  <c r="J45" i="18"/>
  <c r="I61" i="18"/>
  <c r="E61" i="18"/>
  <c r="M184" i="8"/>
  <c r="N184" i="8"/>
  <c r="P184" i="8" s="1"/>
  <c r="K184" i="25"/>
  <c r="M184" i="25"/>
  <c r="J11" i="18"/>
  <c r="E11" i="18"/>
  <c r="I68" i="18"/>
  <c r="E68" i="18" s="1"/>
  <c r="J68" i="18"/>
  <c r="J54" i="18"/>
  <c r="V270" i="4"/>
  <c r="V265" i="4" s="1"/>
  <c r="N253" i="4"/>
  <c r="P253" i="4" s="1"/>
  <c r="V253" i="4"/>
  <c r="J41" i="18"/>
  <c r="I31" i="18"/>
  <c r="E31" i="18"/>
  <c r="J23" i="18"/>
  <c r="G7" i="18"/>
  <c r="G80" i="18"/>
  <c r="J59" i="18"/>
  <c r="M118" i="8"/>
  <c r="K118" i="25"/>
  <c r="M118" i="25" s="1"/>
  <c r="M112" i="8"/>
  <c r="K261" i="25"/>
  <c r="M261" i="25"/>
  <c r="M114" i="8"/>
  <c r="K114" i="25"/>
  <c r="M114" i="25" s="1"/>
  <c r="N40" i="8"/>
  <c r="P40" i="8" s="1"/>
  <c r="M40" i="8"/>
  <c r="K40" i="25"/>
  <c r="M40" i="25" s="1"/>
  <c r="M115" i="8"/>
  <c r="N115" i="8"/>
  <c r="P115" i="8" s="1"/>
  <c r="P296" i="4"/>
  <c r="Q7" i="18"/>
  <c r="I8" i="18"/>
  <c r="E8" i="18" s="1"/>
  <c r="E7" i="18" s="1"/>
  <c r="J8" i="18"/>
  <c r="Q80" i="18"/>
  <c r="S252" i="4"/>
  <c r="D290" i="8"/>
  <c r="Q6" i="10"/>
  <c r="Q36" i="10" s="1"/>
  <c r="L10" i="9" s="1"/>
  <c r="J47" i="18"/>
  <c r="J22" i="18"/>
  <c r="J72" i="18"/>
  <c r="H80" i="18"/>
  <c r="H7" i="18"/>
  <c r="I80" i="18"/>
  <c r="M7" i="25" l="1"/>
  <c r="Q43" i="18"/>
  <c r="F43" i="18"/>
  <c r="M28" i="18"/>
  <c r="V252" i="4"/>
  <c r="X39" i="18"/>
  <c r="H39" i="18" s="1"/>
  <c r="G39" i="18"/>
  <c r="M76" i="6"/>
  <c r="S106" i="25"/>
  <c r="S6" i="25"/>
  <c r="S172" i="25"/>
  <c r="S43" i="6"/>
  <c r="S6" i="6" s="1"/>
  <c r="Q60" i="18"/>
  <c r="F60" i="18"/>
  <c r="M58" i="18"/>
  <c r="H52" i="18"/>
  <c r="N131" i="6"/>
  <c r="P131" i="6" s="1"/>
  <c r="M131" i="6"/>
  <c r="P62" i="25"/>
  <c r="X17" i="18"/>
  <c r="H17" i="18" s="1"/>
  <c r="F17" i="18"/>
  <c r="L6" i="10"/>
  <c r="N260" i="8"/>
  <c r="P260" i="8" s="1"/>
  <c r="Q73" i="18"/>
  <c r="F73" i="18"/>
  <c r="F67" i="18"/>
  <c r="Q67" i="18"/>
  <c r="H12" i="9"/>
  <c r="G13" i="12"/>
  <c r="M116" i="6"/>
  <c r="N116" i="6"/>
  <c r="P116" i="6" s="1"/>
  <c r="O114" i="6"/>
  <c r="M66" i="6"/>
  <c r="N66" i="6"/>
  <c r="P66" i="6" s="1"/>
  <c r="T326" i="4"/>
  <c r="S326" i="4"/>
  <c r="S324" i="4" s="1"/>
  <c r="K253" i="25"/>
  <c r="M253" i="25" s="1"/>
  <c r="N253" i="8"/>
  <c r="P253" i="8" s="1"/>
  <c r="V246" i="8"/>
  <c r="M43" i="8"/>
  <c r="M33" i="8" s="1"/>
  <c r="N43" i="8"/>
  <c r="P43" i="8" s="1"/>
  <c r="I72" i="18"/>
  <c r="E72" i="18" s="1"/>
  <c r="N261" i="8"/>
  <c r="P261" i="8" s="1"/>
  <c r="I17" i="18"/>
  <c r="E17" i="18" s="1"/>
  <c r="J24" i="18"/>
  <c r="I24" i="18"/>
  <c r="E24" i="18" s="1"/>
  <c r="I46" i="18"/>
  <c r="E46" i="18" s="1"/>
  <c r="G77" i="18"/>
  <c r="Q77" i="18"/>
  <c r="Q71" i="18"/>
  <c r="N123" i="6"/>
  <c r="P123" i="6" s="1"/>
  <c r="P67" i="6"/>
  <c r="V7" i="6"/>
  <c r="M275" i="25"/>
  <c r="V53" i="6"/>
  <c r="V52" i="6" s="1"/>
  <c r="M43" i="6"/>
  <c r="V62" i="8"/>
  <c r="I45" i="18"/>
  <c r="E45" i="18" s="1"/>
  <c r="G78" i="18"/>
  <c r="F65" i="18"/>
  <c r="Q65" i="18"/>
  <c r="I7" i="18"/>
  <c r="K112" i="25"/>
  <c r="M112" i="25" s="1"/>
  <c r="N185" i="8"/>
  <c r="P185" i="8" s="1"/>
  <c r="P246" i="8"/>
  <c r="T80" i="18"/>
  <c r="F74" i="18"/>
  <c r="Q74" i="18"/>
  <c r="G66" i="18"/>
  <c r="G58" i="18" s="1"/>
  <c r="P58" i="18"/>
  <c r="Q42" i="18"/>
  <c r="F42" i="18"/>
  <c r="Q25" i="18"/>
  <c r="F25" i="18"/>
  <c r="X15" i="18"/>
  <c r="F9" i="18"/>
  <c r="Q9" i="18"/>
  <c r="M7" i="18"/>
  <c r="V146" i="6"/>
  <c r="Q146" i="6"/>
  <c r="S133" i="6"/>
  <c r="L133" i="6"/>
  <c r="M133" i="6" s="1"/>
  <c r="L93" i="6"/>
  <c r="M93" i="6" s="1"/>
  <c r="S93" i="6"/>
  <c r="V521" i="4"/>
  <c r="J7" i="18"/>
  <c r="J80" i="18"/>
  <c r="I50" i="18"/>
  <c r="E50" i="18" s="1"/>
  <c r="K326" i="4"/>
  <c r="M326" i="4" s="1"/>
  <c r="M324" i="4" s="1"/>
  <c r="T28" i="18"/>
  <c r="X56" i="18"/>
  <c r="P28" i="18"/>
  <c r="Q29" i="18"/>
  <c r="G29" i="18"/>
  <c r="U26" i="18"/>
  <c r="V26" i="18" s="1"/>
  <c r="Q10" i="18"/>
  <c r="F10" i="18"/>
  <c r="F7" i="18" s="1"/>
  <c r="S127" i="6"/>
  <c r="S119" i="6" s="1"/>
  <c r="L127" i="6"/>
  <c r="M127" i="6" s="1"/>
  <c r="P44" i="6"/>
  <c r="P43" i="6" s="1"/>
  <c r="F28" i="18"/>
  <c r="F72" i="18"/>
  <c r="G23" i="18"/>
  <c r="M138" i="6"/>
  <c r="V86" i="6"/>
  <c r="K260" i="25"/>
  <c r="M260" i="25" s="1"/>
  <c r="Q286" i="25"/>
  <c r="Q23" i="5" s="1"/>
  <c r="S23" i="5" s="1"/>
  <c r="S62" i="25"/>
  <c r="W75" i="18"/>
  <c r="X38" i="18"/>
  <c r="H38" i="18" s="1"/>
  <c r="G76" i="18"/>
  <c r="Q76" i="18"/>
  <c r="I70" i="18"/>
  <c r="E70" i="18" s="1"/>
  <c r="J70" i="18"/>
  <c r="I63" i="18"/>
  <c r="E63" i="18" s="1"/>
  <c r="X57" i="18"/>
  <c r="H57" i="18" s="1"/>
  <c r="Q44" i="18"/>
  <c r="G44" i="18"/>
  <c r="G30" i="18"/>
  <c r="Q30" i="18"/>
  <c r="Q20" i="18"/>
  <c r="Q12" i="18"/>
  <c r="F12" i="18"/>
  <c r="G37" i="18"/>
  <c r="G13" i="18"/>
  <c r="L132" i="6"/>
  <c r="M132" i="6" s="1"/>
  <c r="S132" i="6"/>
  <c r="P117" i="6"/>
  <c r="S80" i="6"/>
  <c r="L80" i="6"/>
  <c r="M80" i="6" s="1"/>
  <c r="P68" i="6"/>
  <c r="S47" i="6"/>
  <c r="L47" i="6"/>
  <c r="M47" i="6" s="1"/>
  <c r="N44" i="6"/>
  <c r="V44" i="6"/>
  <c r="V43" i="6" s="1"/>
  <c r="F26" i="18"/>
  <c r="F14" i="18"/>
  <c r="Q14" i="18"/>
  <c r="L88" i="6"/>
  <c r="M88" i="6" s="1"/>
  <c r="S88" i="6"/>
  <c r="F66" i="18"/>
  <c r="Q55" i="18"/>
  <c r="T51" i="18"/>
  <c r="F52" i="18"/>
  <c r="F51" i="18" s="1"/>
  <c r="F45" i="18"/>
  <c r="M70" i="6"/>
  <c r="S140" i="6"/>
  <c r="Q33" i="18"/>
  <c r="Q78" i="18"/>
  <c r="I39" i="18"/>
  <c r="E39" i="18" s="1"/>
  <c r="J63" i="18"/>
  <c r="Q48" i="18"/>
  <c r="X76" i="18"/>
  <c r="G47" i="18"/>
  <c r="F30" i="18"/>
  <c r="F20" i="18"/>
  <c r="G15" i="18"/>
  <c r="M120" i="6"/>
  <c r="K114" i="6"/>
  <c r="S78" i="6"/>
  <c r="L55" i="6"/>
  <c r="M55" i="6" s="1"/>
  <c r="M41" i="6"/>
  <c r="P12" i="6"/>
  <c r="P16" i="4"/>
  <c r="G67" i="18"/>
  <c r="W51" i="18"/>
  <c r="X53" i="18"/>
  <c r="H53" i="18" s="1"/>
  <c r="Q34" i="18"/>
  <c r="M51" i="18"/>
  <c r="L106" i="6"/>
  <c r="M106" i="6" s="1"/>
  <c r="G68" i="18"/>
  <c r="Q62" i="18"/>
  <c r="F62" i="18"/>
  <c r="T58" i="18"/>
  <c r="X59" i="18"/>
  <c r="G56" i="18"/>
  <c r="F46" i="18"/>
  <c r="X40" i="18"/>
  <c r="W28" i="18"/>
  <c r="J21" i="18"/>
  <c r="T7" i="18"/>
  <c r="S147" i="6"/>
  <c r="L147" i="6"/>
  <c r="M147" i="6" s="1"/>
  <c r="P128" i="6"/>
  <c r="P111" i="6"/>
  <c r="M99" i="6"/>
  <c r="L94" i="6"/>
  <c r="M94" i="6" s="1"/>
  <c r="S91" i="6"/>
  <c r="K91" i="6"/>
  <c r="M87" i="6"/>
  <c r="L84" i="6"/>
  <c r="M84" i="6" s="1"/>
  <c r="S82" i="6"/>
  <c r="L82" i="6"/>
  <c r="M82" i="6" s="1"/>
  <c r="L73" i="6"/>
  <c r="M73" i="6" s="1"/>
  <c r="S66" i="6"/>
  <c r="L65" i="6"/>
  <c r="M65" i="6" s="1"/>
  <c r="P33" i="6"/>
  <c r="M12" i="6"/>
  <c r="M7" i="6" s="1"/>
  <c r="M6" i="6" s="1"/>
  <c r="G53" i="18"/>
  <c r="G51" i="18" s="1"/>
  <c r="J22" i="1"/>
  <c r="H11" i="9" s="1"/>
  <c r="I11" i="9" s="1"/>
  <c r="J11" i="9" s="1"/>
  <c r="T147" i="6"/>
  <c r="V147" i="6" s="1"/>
  <c r="K147" i="6"/>
  <c r="N147" i="6" s="1"/>
  <c r="P147" i="6" s="1"/>
  <c r="L136" i="6"/>
  <c r="M136" i="6" s="1"/>
  <c r="V113" i="6"/>
  <c r="V112" i="6" s="1"/>
  <c r="Q113" i="6"/>
  <c r="S61" i="6"/>
  <c r="S53" i="6" s="1"/>
  <c r="L61" i="6"/>
  <c r="M61" i="6" s="1"/>
  <c r="M53" i="6" s="1"/>
  <c r="M52" i="6" s="1"/>
  <c r="P60" i="6"/>
  <c r="M13" i="6"/>
  <c r="F69" i="18"/>
  <c r="Q53" i="18"/>
  <c r="G43" i="18"/>
  <c r="F40" i="18"/>
  <c r="F39" i="18"/>
  <c r="Q32" i="18"/>
  <c r="X13" i="18"/>
  <c r="G12" i="18"/>
  <c r="I6" i="27"/>
  <c r="I17" i="27" s="1"/>
  <c r="H18" i="9" s="1"/>
  <c r="I18" i="9" s="1"/>
  <c r="J18" i="9" s="1"/>
  <c r="L22" i="10"/>
  <c r="L36" i="10" s="1"/>
  <c r="H10" i="9" s="1"/>
  <c r="S148" i="6"/>
  <c r="K148" i="6"/>
  <c r="M128" i="6"/>
  <c r="S115" i="6"/>
  <c r="K115" i="6"/>
  <c r="M108" i="6"/>
  <c r="S97" i="6"/>
  <c r="M60" i="6"/>
  <c r="P22" i="6"/>
  <c r="P15" i="6"/>
  <c r="Q57" i="18"/>
  <c r="X41" i="18"/>
  <c r="L149" i="6"/>
  <c r="M149" i="6" s="1"/>
  <c r="P81" i="6"/>
  <c r="P76" i="6" s="1"/>
  <c r="P75" i="6"/>
  <c r="P53" i="6" s="1"/>
  <c r="L62" i="6"/>
  <c r="M62" i="6" s="1"/>
  <c r="L58" i="6"/>
  <c r="M58" i="6" s="1"/>
  <c r="M15" i="6"/>
  <c r="P10" i="6"/>
  <c r="P7" i="6" s="1"/>
  <c r="P6" i="6" s="1"/>
  <c r="M16" i="4"/>
  <c r="V257" i="25"/>
  <c r="Q37" i="18"/>
  <c r="X23" i="18"/>
  <c r="X22" i="18"/>
  <c r="Q16" i="18"/>
  <c r="P121" i="6"/>
  <c r="P119" i="6" s="1"/>
  <c r="P109" i="6"/>
  <c r="P98" i="6"/>
  <c r="P38" i="6"/>
  <c r="M37" i="6"/>
  <c r="P18" i="6"/>
  <c r="V447" i="4"/>
  <c r="V446" i="4" s="1"/>
  <c r="V427" i="4" s="1"/>
  <c r="Q295" i="4"/>
  <c r="V295" i="4"/>
  <c r="V293" i="4" s="1"/>
  <c r="V292" i="4" s="1"/>
  <c r="P34" i="4"/>
  <c r="P33" i="4" s="1"/>
  <c r="P32" i="4" s="1"/>
  <c r="M466" i="4"/>
  <c r="M446" i="4" s="1"/>
  <c r="M427" i="4" s="1"/>
  <c r="P50" i="4"/>
  <c r="M272" i="25"/>
  <c r="M268" i="25" s="1"/>
  <c r="X54" i="18"/>
  <c r="Q52" i="18"/>
  <c r="X47" i="18"/>
  <c r="X28" i="18" s="1"/>
  <c r="G45" i="18"/>
  <c r="G21" i="18"/>
  <c r="F13" i="18"/>
  <c r="P138" i="6"/>
  <c r="P136" i="6"/>
  <c r="P129" i="6"/>
  <c r="M117" i="6"/>
  <c r="P100" i="6"/>
  <c r="P88" i="6"/>
  <c r="P84" i="6"/>
  <c r="P55" i="6"/>
  <c r="P39" i="6"/>
  <c r="M38" i="6"/>
  <c r="M19" i="6"/>
  <c r="P343" i="4"/>
  <c r="V334" i="4"/>
  <c r="O329" i="4"/>
  <c r="P329" i="4" s="1"/>
  <c r="V329" i="4"/>
  <c r="V317" i="4"/>
  <c r="M50" i="4"/>
  <c r="M34" i="4"/>
  <c r="S6" i="4"/>
  <c r="M233" i="25"/>
  <c r="M225" i="25"/>
  <c r="M159" i="25"/>
  <c r="M43" i="25"/>
  <c r="M33" i="25" s="1"/>
  <c r="N7" i="25"/>
  <c r="P12" i="25"/>
  <c r="P273" i="8"/>
  <c r="M191" i="8"/>
  <c r="N191" i="8"/>
  <c r="P191" i="8" s="1"/>
  <c r="S312" i="4"/>
  <c r="S311" i="4" s="1"/>
  <c r="V259" i="4"/>
  <c r="N259" i="4"/>
  <c r="P259" i="4" s="1"/>
  <c r="P252" i="4" s="1"/>
  <c r="G246" i="25"/>
  <c r="G238" i="25" s="1"/>
  <c r="V173" i="25"/>
  <c r="V172" i="25" s="1"/>
  <c r="P36" i="25"/>
  <c r="N33" i="25"/>
  <c r="J33" i="25"/>
  <c r="N281" i="8"/>
  <c r="P281" i="8" s="1"/>
  <c r="M281" i="8"/>
  <c r="K281" i="25"/>
  <c r="U17" i="5"/>
  <c r="G275" i="25"/>
  <c r="J239" i="25"/>
  <c r="J238" i="25" s="1"/>
  <c r="P107" i="25"/>
  <c r="P106" i="25" s="1"/>
  <c r="M202" i="8"/>
  <c r="M201" i="8" s="1"/>
  <c r="N202" i="8"/>
  <c r="P202" i="8" s="1"/>
  <c r="P201" i="8" s="1"/>
  <c r="K202" i="25"/>
  <c r="K201" i="25" s="1"/>
  <c r="P298" i="4"/>
  <c r="P22" i="5"/>
  <c r="S246" i="25"/>
  <c r="S238" i="25" s="1"/>
  <c r="V239" i="25"/>
  <c r="V238" i="25" s="1"/>
  <c r="M202" i="25"/>
  <c r="M201" i="25" s="1"/>
  <c r="G63" i="25"/>
  <c r="G62" i="25" s="1"/>
  <c r="J7" i="25"/>
  <c r="M140" i="8"/>
  <c r="N140" i="8"/>
  <c r="P140" i="8" s="1"/>
  <c r="K140" i="25"/>
  <c r="K135" i="25" s="1"/>
  <c r="M110" i="25"/>
  <c r="M48" i="25"/>
  <c r="V156" i="8"/>
  <c r="V343" i="4"/>
  <c r="M281" i="25"/>
  <c r="K265" i="8"/>
  <c r="Q265" i="25"/>
  <c r="S265" i="25" s="1"/>
  <c r="S257" i="25" s="1"/>
  <c r="P467" i="4"/>
  <c r="P466" i="4" s="1"/>
  <c r="P446" i="4" s="1"/>
  <c r="P427" i="4" s="1"/>
  <c r="P301" i="4"/>
  <c r="P293" i="4" s="1"/>
  <c r="P292" i="4" s="1"/>
  <c r="M278" i="25"/>
  <c r="M252" i="25"/>
  <c r="M246" i="25" s="1"/>
  <c r="P239" i="25"/>
  <c r="P238" i="25" s="1"/>
  <c r="M224" i="25"/>
  <c r="M218" i="25"/>
  <c r="M209" i="25"/>
  <c r="M158" i="25"/>
  <c r="M156" i="25" s="1"/>
  <c r="G7" i="25"/>
  <c r="G6" i="25" s="1"/>
  <c r="G283" i="25" s="1"/>
  <c r="D6" i="9" s="1"/>
  <c r="M272" i="8"/>
  <c r="M268" i="8" s="1"/>
  <c r="N272" i="8"/>
  <c r="P272" i="8" s="1"/>
  <c r="K272" i="25"/>
  <c r="M84" i="25"/>
  <c r="P41" i="25"/>
  <c r="G33" i="25"/>
  <c r="P10" i="25"/>
  <c r="P7" i="25" s="1"/>
  <c r="P231" i="8"/>
  <c r="N143" i="8"/>
  <c r="P143" i="8" s="1"/>
  <c r="K143" i="25"/>
  <c r="N87" i="8"/>
  <c r="P87" i="8" s="1"/>
  <c r="M87" i="8"/>
  <c r="Q91" i="25"/>
  <c r="P271" i="8"/>
  <c r="V268" i="8"/>
  <c r="M231" i="8"/>
  <c r="N231" i="8"/>
  <c r="M206" i="8"/>
  <c r="N206" i="8"/>
  <c r="P206" i="8" s="1"/>
  <c r="N192" i="8"/>
  <c r="P192" i="8" s="1"/>
  <c r="M192" i="8"/>
  <c r="K179" i="8"/>
  <c r="S179" i="8"/>
  <c r="S173" i="8" s="1"/>
  <c r="M150" i="8"/>
  <c r="N150" i="8"/>
  <c r="M104" i="8"/>
  <c r="N104" i="8"/>
  <c r="P104" i="8" s="1"/>
  <c r="P91" i="8" s="1"/>
  <c r="K104" i="25"/>
  <c r="M96" i="8"/>
  <c r="M91" i="8" s="1"/>
  <c r="N96" i="8"/>
  <c r="K96" i="25"/>
  <c r="K91" i="25" s="1"/>
  <c r="M76" i="25"/>
  <c r="V47" i="25"/>
  <c r="V33" i="25" s="1"/>
  <c r="N47" i="25"/>
  <c r="P47" i="25" s="1"/>
  <c r="N274" i="8"/>
  <c r="P274" i="8" s="1"/>
  <c r="N271" i="8"/>
  <c r="M263" i="8"/>
  <c r="N263" i="8"/>
  <c r="S258" i="8"/>
  <c r="S257" i="8" s="1"/>
  <c r="K258" i="8"/>
  <c r="T258" i="8"/>
  <c r="V258" i="8" s="1"/>
  <c r="N72" i="8"/>
  <c r="P72" i="8" s="1"/>
  <c r="M72" i="8"/>
  <c r="K72" i="25"/>
  <c r="M72" i="25" s="1"/>
  <c r="M63" i="25" s="1"/>
  <c r="S33" i="8"/>
  <c r="S6" i="8" s="1"/>
  <c r="P276" i="8"/>
  <c r="K240" i="8"/>
  <c r="T240" i="8"/>
  <c r="V240" i="8" s="1"/>
  <c r="V239" i="8" s="1"/>
  <c r="M223" i="8"/>
  <c r="M222" i="8" s="1"/>
  <c r="N223" i="8"/>
  <c r="P223" i="8" s="1"/>
  <c r="M149" i="25"/>
  <c r="M141" i="25"/>
  <c r="M131" i="25"/>
  <c r="M130" i="25"/>
  <c r="M127" i="25"/>
  <c r="M123" i="25"/>
  <c r="M122" i="25"/>
  <c r="M104" i="25"/>
  <c r="P38" i="25"/>
  <c r="K7" i="25"/>
  <c r="P277" i="8"/>
  <c r="N276" i="8"/>
  <c r="N269" i="8"/>
  <c r="P269" i="8" s="1"/>
  <c r="P268" i="8" s="1"/>
  <c r="N232" i="8"/>
  <c r="P232" i="8" s="1"/>
  <c r="N200" i="8"/>
  <c r="P200" i="8" s="1"/>
  <c r="M200" i="8"/>
  <c r="M193" i="8"/>
  <c r="M144" i="25"/>
  <c r="M143" i="25"/>
  <c r="M26" i="25"/>
  <c r="V7" i="25"/>
  <c r="V6" i="25" s="1"/>
  <c r="P278" i="8"/>
  <c r="M275" i="8"/>
  <c r="S266" i="8"/>
  <c r="T266" i="8"/>
  <c r="V266" i="8" s="1"/>
  <c r="K266" i="8"/>
  <c r="K264" i="8"/>
  <c r="V135" i="8"/>
  <c r="N234" i="8"/>
  <c r="P234" i="8" s="1"/>
  <c r="N226" i="8"/>
  <c r="P226" i="8" s="1"/>
  <c r="M195" i="8"/>
  <c r="P189" i="8"/>
  <c r="P155" i="8"/>
  <c r="P129" i="8"/>
  <c r="M73" i="8"/>
  <c r="P157" i="8"/>
  <c r="P156" i="8" s="1"/>
  <c r="M151" i="8"/>
  <c r="N151" i="8"/>
  <c r="P151" i="8" s="1"/>
  <c r="N138" i="8"/>
  <c r="P138" i="8" s="1"/>
  <c r="M138" i="8"/>
  <c r="T117" i="8"/>
  <c r="V117" i="8" s="1"/>
  <c r="V107" i="8" s="1"/>
  <c r="S117" i="8"/>
  <c r="S107" i="8" s="1"/>
  <c r="S106" i="8" s="1"/>
  <c r="T259" i="8"/>
  <c r="V259" i="8" s="1"/>
  <c r="N236" i="8"/>
  <c r="P236" i="8" s="1"/>
  <c r="N228" i="8"/>
  <c r="P228" i="8" s="1"/>
  <c r="S222" i="8"/>
  <c r="P209" i="8"/>
  <c r="M197" i="8"/>
  <c r="N157" i="8"/>
  <c r="M141" i="8"/>
  <c r="N141" i="8"/>
  <c r="P141" i="8" s="1"/>
  <c r="M81" i="8"/>
  <c r="S63" i="8"/>
  <c r="S62" i="8" s="1"/>
  <c r="P263" i="8"/>
  <c r="K117" i="8"/>
  <c r="N230" i="8"/>
  <c r="P230" i="8" s="1"/>
  <c r="M199" i="8"/>
  <c r="N180" i="8"/>
  <c r="P180" i="8" s="1"/>
  <c r="M152" i="8"/>
  <c r="N152" i="8"/>
  <c r="P152" i="8" s="1"/>
  <c r="M142" i="8"/>
  <c r="M139" i="8"/>
  <c r="N139" i="8"/>
  <c r="P139" i="8" s="1"/>
  <c r="K119" i="8"/>
  <c r="M89" i="8"/>
  <c r="K178" i="8"/>
  <c r="T178" i="8"/>
  <c r="V178" i="8" s="1"/>
  <c r="V173" i="8" s="1"/>
  <c r="V172" i="8" s="1"/>
  <c r="P150" i="8"/>
  <c r="P101" i="8"/>
  <c r="N79" i="8"/>
  <c r="P79" i="8" s="1"/>
  <c r="M79" i="8"/>
  <c r="M50" i="8"/>
  <c r="N50" i="8"/>
  <c r="P50" i="8" s="1"/>
  <c r="P96" i="8"/>
  <c r="K187" i="8"/>
  <c r="P10" i="8"/>
  <c r="M16" i="9"/>
  <c r="N16" i="9" s="1"/>
  <c r="M47" i="8"/>
  <c r="N47" i="8"/>
  <c r="P47" i="8" s="1"/>
  <c r="P22" i="8"/>
  <c r="P20" i="8"/>
  <c r="P16" i="8"/>
  <c r="P30" i="8"/>
  <c r="M20" i="8"/>
  <c r="M16" i="8"/>
  <c r="M8" i="8"/>
  <c r="M7" i="8" s="1"/>
  <c r="M56" i="8"/>
  <c r="N148" i="8"/>
  <c r="P148" i="8" s="1"/>
  <c r="M134" i="8"/>
  <c r="N123" i="8"/>
  <c r="P123" i="8" s="1"/>
  <c r="S120" i="8"/>
  <c r="M110" i="8"/>
  <c r="N101" i="8"/>
  <c r="P93" i="8"/>
  <c r="M83" i="8"/>
  <c r="M75" i="8"/>
  <c r="N41" i="8"/>
  <c r="P41" i="8" s="1"/>
  <c r="P33" i="8" s="1"/>
  <c r="P113" i="8"/>
  <c r="M98" i="8"/>
  <c r="P95" i="8"/>
  <c r="M84" i="8"/>
  <c r="M76" i="8"/>
  <c r="M70" i="8"/>
  <c r="M66" i="8"/>
  <c r="M63" i="8" s="1"/>
  <c r="M62" i="8" s="1"/>
  <c r="P135" i="8" l="1"/>
  <c r="P107" i="8"/>
  <c r="P106" i="8" s="1"/>
  <c r="V106" i="8"/>
  <c r="D287" i="8"/>
  <c r="P222" i="8"/>
  <c r="P52" i="6"/>
  <c r="V282" i="8"/>
  <c r="L5" i="9" s="1"/>
  <c r="P86" i="6"/>
  <c r="P85" i="6" s="1"/>
  <c r="J76" i="18"/>
  <c r="I76" i="18"/>
  <c r="Q75" i="18"/>
  <c r="M80" i="18"/>
  <c r="D21" i="9"/>
  <c r="D25" i="9"/>
  <c r="S76" i="6"/>
  <c r="S52" i="6" s="1"/>
  <c r="J48" i="18"/>
  <c r="I48" i="18"/>
  <c r="E48" i="18" s="1"/>
  <c r="I12" i="18"/>
  <c r="E12" i="18" s="1"/>
  <c r="J12" i="18"/>
  <c r="M6" i="25"/>
  <c r="M178" i="8"/>
  <c r="M173" i="8" s="1"/>
  <c r="M172" i="8" s="1"/>
  <c r="K178" i="25"/>
  <c r="M178" i="25" s="1"/>
  <c r="N178" i="8"/>
  <c r="P178" i="8" s="1"/>
  <c r="P173" i="8" s="1"/>
  <c r="P172" i="8" s="1"/>
  <c r="S295" i="4"/>
  <c r="S293" i="4" s="1"/>
  <c r="S292" i="4" s="1"/>
  <c r="S278" i="4" s="1"/>
  <c r="S582" i="4" s="1"/>
  <c r="K8" i="9" s="1"/>
  <c r="M8" i="9" s="1"/>
  <c r="N8" i="9" s="1"/>
  <c r="K295" i="4"/>
  <c r="M295" i="4" s="1"/>
  <c r="M293" i="4" s="1"/>
  <c r="M292" i="4" s="1"/>
  <c r="M278" i="4" s="1"/>
  <c r="H59" i="18"/>
  <c r="H58" i="18" s="1"/>
  <c r="X58" i="18"/>
  <c r="I59" i="18"/>
  <c r="Q51" i="18"/>
  <c r="I52" i="18"/>
  <c r="J52" i="18"/>
  <c r="J51" i="18" s="1"/>
  <c r="H22" i="18"/>
  <c r="I22" i="18"/>
  <c r="E22" i="18" s="1"/>
  <c r="N148" i="6"/>
  <c r="P148" i="6" s="1"/>
  <c r="M148" i="6"/>
  <c r="K113" i="6"/>
  <c r="S113" i="6"/>
  <c r="S112" i="6" s="1"/>
  <c r="M86" i="6"/>
  <c r="M119" i="6"/>
  <c r="I55" i="18"/>
  <c r="E55" i="18" s="1"/>
  <c r="J55" i="18"/>
  <c r="I30" i="18"/>
  <c r="E30" i="18" s="1"/>
  <c r="J30" i="18"/>
  <c r="K146" i="6"/>
  <c r="S146" i="6"/>
  <c r="S145" i="6" s="1"/>
  <c r="S118" i="6" s="1"/>
  <c r="D288" i="8"/>
  <c r="V6" i="6"/>
  <c r="K119" i="25"/>
  <c r="M119" i="25" s="1"/>
  <c r="M119" i="8"/>
  <c r="N119" i="8"/>
  <c r="P119" i="8" s="1"/>
  <c r="V238" i="8"/>
  <c r="K287" i="8"/>
  <c r="K291" i="8" s="1"/>
  <c r="P63" i="8"/>
  <c r="P62" i="8" s="1"/>
  <c r="P33" i="25"/>
  <c r="P6" i="25" s="1"/>
  <c r="P283" i="25" s="1"/>
  <c r="H6" i="9" s="1"/>
  <c r="M33" i="4"/>
  <c r="M32" i="4" s="1"/>
  <c r="M582" i="4" s="1"/>
  <c r="G8" i="9" s="1"/>
  <c r="I54" i="18"/>
  <c r="E54" i="18" s="1"/>
  <c r="H54" i="18"/>
  <c r="H23" i="18"/>
  <c r="I23" i="18"/>
  <c r="N91" i="6"/>
  <c r="P91" i="6" s="1"/>
  <c r="M91" i="6"/>
  <c r="I78" i="18"/>
  <c r="E78" i="18" s="1"/>
  <c r="J78" i="18"/>
  <c r="G75" i="18"/>
  <c r="V85" i="6"/>
  <c r="H56" i="18"/>
  <c r="I56" i="18"/>
  <c r="E56" i="18" s="1"/>
  <c r="V145" i="6"/>
  <c r="V118" i="6" s="1"/>
  <c r="J42" i="18"/>
  <c r="I42" i="18"/>
  <c r="E42" i="18" s="1"/>
  <c r="X51" i="18"/>
  <c r="S172" i="8"/>
  <c r="S282" i="8" s="1"/>
  <c r="K5" i="9" s="1"/>
  <c r="I34" i="18"/>
  <c r="E34" i="18" s="1"/>
  <c r="J34" i="18"/>
  <c r="I20" i="18"/>
  <c r="E20" i="18" s="1"/>
  <c r="J20" i="18"/>
  <c r="H51" i="18"/>
  <c r="S283" i="25"/>
  <c r="K6" i="9" s="1"/>
  <c r="M6" i="9" s="1"/>
  <c r="N6" i="9" s="1"/>
  <c r="J43" i="18"/>
  <c r="I43" i="18"/>
  <c r="E43" i="18" s="1"/>
  <c r="K187" i="25"/>
  <c r="M187" i="25" s="1"/>
  <c r="N187" i="8"/>
  <c r="P187" i="8" s="1"/>
  <c r="M187" i="8"/>
  <c r="I57" i="18"/>
  <c r="E57" i="18" s="1"/>
  <c r="J57" i="18"/>
  <c r="L23" i="5"/>
  <c r="L26" i="5" s="1"/>
  <c r="G7" i="9" s="1"/>
  <c r="I7" i="9" s="1"/>
  <c r="J7" i="9" s="1"/>
  <c r="S26" i="5"/>
  <c r="K7" i="9" s="1"/>
  <c r="H47" i="18"/>
  <c r="I47" i="18"/>
  <c r="E47" i="18" s="1"/>
  <c r="J25" i="18"/>
  <c r="I25" i="18"/>
  <c r="E25" i="18" s="1"/>
  <c r="K117" i="25"/>
  <c r="M117" i="25" s="1"/>
  <c r="M107" i="25" s="1"/>
  <c r="M106" i="25" s="1"/>
  <c r="N117" i="8"/>
  <c r="P117" i="8" s="1"/>
  <c r="M117" i="8"/>
  <c r="M107" i="8" s="1"/>
  <c r="M106" i="8" s="1"/>
  <c r="M240" i="8"/>
  <c r="M239" i="8" s="1"/>
  <c r="M238" i="8" s="1"/>
  <c r="N240" i="8"/>
  <c r="P240" i="8" s="1"/>
  <c r="P239" i="8" s="1"/>
  <c r="P238" i="8" s="1"/>
  <c r="K240" i="25"/>
  <c r="M240" i="25" s="1"/>
  <c r="M239" i="25" s="1"/>
  <c r="M238" i="25" s="1"/>
  <c r="J53" i="18"/>
  <c r="I53" i="18"/>
  <c r="E53" i="18" s="1"/>
  <c r="J62" i="18"/>
  <c r="I62" i="18"/>
  <c r="E62" i="18" s="1"/>
  <c r="J33" i="18"/>
  <c r="I33" i="18"/>
  <c r="E33" i="18" s="1"/>
  <c r="S86" i="6"/>
  <c r="K266" i="25"/>
  <c r="M266" i="25" s="1"/>
  <c r="N266" i="8"/>
  <c r="P266" i="8" s="1"/>
  <c r="M266" i="8"/>
  <c r="K286" i="25"/>
  <c r="J23" i="5" s="1"/>
  <c r="N17" i="5"/>
  <c r="P17" i="5" s="1"/>
  <c r="P15" i="5" s="1"/>
  <c r="P26" i="5" s="1"/>
  <c r="H7" i="9" s="1"/>
  <c r="W17" i="5"/>
  <c r="W15" i="5" s="1"/>
  <c r="W26" i="5" s="1"/>
  <c r="L7" i="9" s="1"/>
  <c r="M140" i="25"/>
  <c r="M135" i="25" s="1"/>
  <c r="I44" i="18"/>
  <c r="E44" i="18" s="1"/>
  <c r="J44" i="18"/>
  <c r="J10" i="18"/>
  <c r="I10" i="18"/>
  <c r="E10" i="18" s="1"/>
  <c r="J9" i="18"/>
  <c r="I9" i="18"/>
  <c r="E9" i="18" s="1"/>
  <c r="I71" i="18"/>
  <c r="E71" i="18" s="1"/>
  <c r="J71" i="18"/>
  <c r="N326" i="4"/>
  <c r="P326" i="4" s="1"/>
  <c r="P324" i="4" s="1"/>
  <c r="P278" i="4" s="1"/>
  <c r="P582" i="4" s="1"/>
  <c r="H8" i="9" s="1"/>
  <c r="V326" i="4"/>
  <c r="V324" i="4" s="1"/>
  <c r="V278" i="4" s="1"/>
  <c r="V582" i="4" s="1"/>
  <c r="L8" i="9" s="1"/>
  <c r="I67" i="18"/>
  <c r="E67" i="18" s="1"/>
  <c r="J67" i="18"/>
  <c r="I32" i="18"/>
  <c r="E32" i="18" s="1"/>
  <c r="J32" i="18"/>
  <c r="I73" i="18"/>
  <c r="E73" i="18" s="1"/>
  <c r="J73" i="18"/>
  <c r="Q28" i="18"/>
  <c r="J29" i="18"/>
  <c r="J28" i="18" s="1"/>
  <c r="I29" i="18"/>
  <c r="M6" i="8"/>
  <c r="M222" i="25"/>
  <c r="N265" i="8"/>
  <c r="P265" i="8" s="1"/>
  <c r="K265" i="25"/>
  <c r="M265" i="25" s="1"/>
  <c r="M265" i="8"/>
  <c r="J37" i="18"/>
  <c r="I37" i="18"/>
  <c r="E37" i="18" s="1"/>
  <c r="M135" i="8"/>
  <c r="P275" i="8"/>
  <c r="V257" i="8"/>
  <c r="J6" i="25"/>
  <c r="J283" i="25" s="1"/>
  <c r="E6" i="9" s="1"/>
  <c r="E21" i="9" s="1"/>
  <c r="C10" i="16" s="1"/>
  <c r="C11" i="16" s="1"/>
  <c r="H40" i="18"/>
  <c r="H28" i="18" s="1"/>
  <c r="I40" i="18"/>
  <c r="E40" i="18" s="1"/>
  <c r="J14" i="18"/>
  <c r="I14" i="18"/>
  <c r="E14" i="18" s="1"/>
  <c r="I38" i="18"/>
  <c r="E38" i="18" s="1"/>
  <c r="J74" i="18"/>
  <c r="I74" i="18"/>
  <c r="E74" i="18" s="1"/>
  <c r="I65" i="18"/>
  <c r="E65" i="18" s="1"/>
  <c r="J65" i="18"/>
  <c r="I77" i="18"/>
  <c r="E77" i="18" s="1"/>
  <c r="J77" i="18"/>
  <c r="F58" i="18"/>
  <c r="F80" i="18" s="1"/>
  <c r="G28" i="18"/>
  <c r="M179" i="8"/>
  <c r="N179" i="8"/>
  <c r="P179" i="8" s="1"/>
  <c r="K179" i="25"/>
  <c r="M179" i="25" s="1"/>
  <c r="J16" i="18"/>
  <c r="I16" i="18"/>
  <c r="E16" i="18" s="1"/>
  <c r="M114" i="6"/>
  <c r="N114" i="6"/>
  <c r="P114" i="6" s="1"/>
  <c r="V283" i="25"/>
  <c r="L6" i="9" s="1"/>
  <c r="M264" i="8"/>
  <c r="N264" i="8"/>
  <c r="P264" i="8" s="1"/>
  <c r="K264" i="25"/>
  <c r="M264" i="25" s="1"/>
  <c r="P7" i="8"/>
  <c r="P6" i="8" s="1"/>
  <c r="M96" i="25"/>
  <c r="M91" i="25" s="1"/>
  <c r="M62" i="25" s="1"/>
  <c r="K258" i="25"/>
  <c r="M258" i="25" s="1"/>
  <c r="M258" i="8"/>
  <c r="N258" i="8"/>
  <c r="P258" i="8" s="1"/>
  <c r="H41" i="18"/>
  <c r="I41" i="18"/>
  <c r="E41" i="18" s="1"/>
  <c r="N115" i="6"/>
  <c r="P115" i="6" s="1"/>
  <c r="M115" i="6"/>
  <c r="H13" i="18"/>
  <c r="I13" i="18"/>
  <c r="E13" i="18" s="1"/>
  <c r="X75" i="18"/>
  <c r="H76" i="18"/>
  <c r="H75" i="18" s="1"/>
  <c r="W26" i="18"/>
  <c r="H15" i="18"/>
  <c r="I15" i="18"/>
  <c r="E15" i="18" s="1"/>
  <c r="I60" i="18"/>
  <c r="E60" i="18" s="1"/>
  <c r="J60" i="18"/>
  <c r="Q58" i="18"/>
  <c r="M5" i="9" l="1"/>
  <c r="N5" i="9" s="1"/>
  <c r="I8" i="9"/>
  <c r="J8" i="9" s="1"/>
  <c r="S153" i="6"/>
  <c r="K9" i="9" s="1"/>
  <c r="M9" i="9" s="1"/>
  <c r="N9" i="9" s="1"/>
  <c r="M118" i="6"/>
  <c r="J75" i="18"/>
  <c r="I51" i="18"/>
  <c r="E52" i="18"/>
  <c r="E51" i="18" s="1"/>
  <c r="X26" i="18"/>
  <c r="G26" i="18"/>
  <c r="I58" i="18"/>
  <c r="E59" i="18"/>
  <c r="E58" i="18" s="1"/>
  <c r="F6" i="9"/>
  <c r="V153" i="6"/>
  <c r="L9" i="9" s="1"/>
  <c r="L21" i="9" s="1"/>
  <c r="P257" i="8"/>
  <c r="C9" i="16"/>
  <c r="F21" i="9"/>
  <c r="D291" i="8"/>
  <c r="P282" i="8"/>
  <c r="H5" i="9" s="1"/>
  <c r="H21" i="9" s="1"/>
  <c r="J30" i="9" s="1"/>
  <c r="M85" i="6"/>
  <c r="M173" i="25"/>
  <c r="M172" i="25" s="1"/>
  <c r="M283" i="25" s="1"/>
  <c r="G6" i="9" s="1"/>
  <c r="I6" i="9" s="1"/>
  <c r="J6" i="9" s="1"/>
  <c r="S85" i="6"/>
  <c r="N146" i="6"/>
  <c r="P146" i="6" s="1"/>
  <c r="P145" i="6" s="1"/>
  <c r="P118" i="6" s="1"/>
  <c r="P153" i="6" s="1"/>
  <c r="H9" i="9" s="1"/>
  <c r="M146" i="6"/>
  <c r="M145" i="6" s="1"/>
  <c r="M113" i="6"/>
  <c r="M112" i="6" s="1"/>
  <c r="N113" i="6"/>
  <c r="P113" i="6" s="1"/>
  <c r="M257" i="8"/>
  <c r="M282" i="8"/>
  <c r="G5" i="9" s="1"/>
  <c r="J58" i="18"/>
  <c r="M257" i="25"/>
  <c r="I28" i="18"/>
  <c r="E29" i="18"/>
  <c r="E28" i="18" s="1"/>
  <c r="M7" i="9"/>
  <c r="N7" i="9" s="1"/>
  <c r="E76" i="18"/>
  <c r="E75" i="18" s="1"/>
  <c r="I75" i="18"/>
  <c r="C12" i="16" l="1"/>
  <c r="K30" i="9"/>
  <c r="C13" i="14"/>
  <c r="E80" i="18"/>
  <c r="H26" i="18"/>
  <c r="I26" i="18"/>
  <c r="E26" i="18" s="1"/>
  <c r="G25" i="9"/>
  <c r="I5" i="9"/>
  <c r="J5" i="9" s="1"/>
  <c r="M153" i="6"/>
  <c r="G9" i="9" s="1"/>
  <c r="I9" i="9" s="1"/>
  <c r="J9" i="9" s="1"/>
  <c r="K25" i="9"/>
  <c r="M6" i="10" l="1"/>
  <c r="N6" i="10" s="1"/>
  <c r="N36" i="10" s="1"/>
  <c r="K10" i="9" s="1"/>
  <c r="H5" i="12"/>
  <c r="H6" i="12"/>
  <c r="K13" i="9" s="1"/>
  <c r="M13" i="9" s="1"/>
  <c r="N13" i="9" s="1"/>
  <c r="H7" i="12"/>
  <c r="K14" i="9" s="1"/>
  <c r="M14" i="9" s="1"/>
  <c r="N14" i="9" s="1"/>
  <c r="F7" i="12"/>
  <c r="G14" i="9" s="1"/>
  <c r="I14" i="9" s="1"/>
  <c r="J14" i="9" s="1"/>
  <c r="F5" i="12"/>
  <c r="F6" i="12"/>
  <c r="G13" i="9" s="1"/>
  <c r="I13" i="9" s="1"/>
  <c r="J13" i="9" s="1"/>
  <c r="H6" i="10"/>
  <c r="I6" i="10" s="1"/>
  <c r="I36" i="10" s="1"/>
  <c r="G10" i="9" s="1"/>
  <c r="I10" i="9" s="1"/>
  <c r="J10" i="9" s="1"/>
  <c r="F13" i="12" l="1"/>
  <c r="G12" i="9"/>
  <c r="I12" i="9" s="1"/>
  <c r="J12" i="9" s="1"/>
  <c r="K12" i="9"/>
  <c r="M12" i="9" s="1"/>
  <c r="N12" i="9" s="1"/>
  <c r="H13" i="12"/>
  <c r="G21" i="9"/>
  <c r="M10" i="9"/>
  <c r="N10" i="9" s="1"/>
  <c r="K21" i="9"/>
  <c r="C12" i="14" l="1"/>
  <c r="K29" i="9"/>
  <c r="M21" i="9"/>
  <c r="N21" i="9" s="1"/>
  <c r="I21" i="9"/>
  <c r="J21" i="9" s="1"/>
  <c r="J2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PINKAPPLE</author>
  </authors>
  <commentList>
    <comment ref="U8" authorId="0" shapeId="0" xr:uid="{FA003ADD-72B7-494F-A559-68753514443E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含模板搭设 
单价=15/0.1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PINKAPPLE</author>
    <author>PINEAPPLE</author>
  </authors>
  <commentList>
    <comment ref="N7" authorId="0" shapeId="0" xr:uid="{964DD921-DB55-4D85-9A12-838789AAE921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泵送混凝土</t>
        </r>
      </text>
    </comment>
    <comment ref="T8" authorId="1" shapeId="0" xr:uid="{994164DF-C6A0-4E8C-9A9A-209C657B4FD8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防水保护层229m3-对应收入在专业分包-防水
反坎5m3
</t>
        </r>
      </text>
    </comment>
    <comment ref="V59" authorId="0" shapeId="0" xr:uid="{DF6D7DA5-2980-42E9-85F1-20E4C496C1C7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套筒
深圳市固力士建材有限公司</t>
        </r>
      </text>
    </comment>
    <comment ref="AB59" authorId="0" shapeId="0" xr:uid="{32B4661D-9337-4E32-9DE2-95C2E3D66A42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套筒
深圳市固力士建材有限公司</t>
        </r>
      </text>
    </comment>
    <comment ref="V240" authorId="0" shapeId="0" xr:uid="{EDB5907E-0EEE-4B0B-9E49-68157F4158AD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深圳市高茂环保建材有限公司</t>
        </r>
      </text>
    </comment>
    <comment ref="V241" authorId="0" shapeId="0" xr:uid="{4B4AF2BD-BE91-49E8-8245-0AC6DA0B6E34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惠州市鼎立轻质砖有限公司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PINKAPPLE</author>
  </authors>
  <commentList>
    <comment ref="W23" authorId="0" shapeId="0" xr:uid="{3FAC975E-DC45-4703-87B2-9BF0ED17861A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泵车月报量</t>
        </r>
      </text>
    </comment>
    <comment ref="W24" authorId="0" shapeId="0" xr:uid="{4F955DBD-D65C-44C9-91A2-37999B63F7DF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吊车43500
叉车1250+3450
挖机42300+20000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PINEAPPLE</author>
    <author>Administrator</author>
    <author>PINKAPPLE</author>
  </authors>
  <commentList>
    <comment ref="R294" authorId="0" shapeId="0" xr:uid="{728E2759-14F8-4189-971E-B6CA93546B57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1.20厚M20水泥砂浆分层抹平-28.78元</t>
        </r>
      </text>
    </comment>
    <comment ref="U294" authorId="0" shapeId="0" xr:uid="{04DB54D7-10F4-4F6F-AA0D-0698E17E6F10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1.内墙面抹灰-24元
</t>
        </r>
      </text>
    </comment>
    <comment ref="R295" authorId="0" shapeId="0" xr:uid="{898A6DF9-818A-4FEE-A585-CDD1A242D71A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1.20厚M20水泥砂浆分层抹平-28.78元</t>
        </r>
      </text>
    </comment>
    <comment ref="U295" authorId="0" shapeId="0" xr:uid="{890CA1B3-793E-48C0-B769-792B19AB040F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1.内墙面抹灰-24元
2.内墙面腻子-26元</t>
        </r>
      </text>
    </comment>
    <comment ref="R296" authorId="0" shapeId="0" xr:uid="{6CC8F5C3-8104-46D0-8CD5-EE7224193918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1.20厚M20水泥砂浆分层抹平-28.78元</t>
        </r>
      </text>
    </comment>
    <comment ref="U296" authorId="0" shapeId="0" xr:uid="{772DAA8A-1B05-4983-85C3-52571470069B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1.内墙面抹灰-24元
2.内墙面腻子-26元</t>
        </r>
      </text>
    </comment>
    <comment ref="U302" authorId="0" shapeId="0" xr:uid="{1E973FB1-E8BA-4AE4-A15D-80B861B20001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1.随砌随抹-19元</t>
        </r>
      </text>
    </comment>
    <comment ref="R312" authorId="0" shapeId="0" xr:uid="{ACCDDD82-4D53-47A6-AC65-833247FA7961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1.满刮腻子两遍-21.76元</t>
        </r>
      </text>
    </comment>
    <comment ref="U312" authorId="0" shapeId="0" xr:uid="{05927CD0-D968-4A8F-BD0D-2B04967C94EB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1.天棚腻子涂料-28元</t>
        </r>
      </text>
    </comment>
    <comment ref="R313" authorId="0" shapeId="0" xr:uid="{5594B79D-B1F6-4C2A-89B5-A1597B0F2344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1.满刮腻子两遍-21.76元</t>
        </r>
      </text>
    </comment>
    <comment ref="U313" authorId="0" shapeId="0" xr:uid="{A0B8FBA9-939C-4BC8-9007-F0CD5A592AA8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1.天棚腻子涂料-28元</t>
        </r>
      </text>
    </comment>
    <comment ref="U318" authorId="0" shapeId="0" xr:uid="{7EBD66F5-9548-4B32-B6A4-AA8CF6DB6227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1.混凝土保护层-18元
2.聚酯无纺布隔离层-3元
3.3厚自粘聚合物改性沥青防水卷材(PY类)-34元
4.2.0厚非固化橡胶沥青防水涂料-27元</t>
        </r>
      </text>
    </comment>
    <comment ref="U319" authorId="0" shapeId="0" xr:uid="{F8E01296-E805-44EC-BA63-FDB9D6D4F0E6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1.防水保护层-18元
2.混凝土垫层-15元</t>
        </r>
      </text>
    </comment>
    <comment ref="U326" authorId="0" shapeId="0" xr:uid="{C52784F5-B9A2-4ABC-A634-98ABB592E917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1.1.5厚自粘聚合物改性沥青防水卷材(N类高分子膜)-28元
2.2.0厚聚氨酯防水涂料-35元</t>
        </r>
      </text>
    </comment>
    <comment ref="U327" authorId="0" shapeId="0" xr:uid="{2BD662E4-671D-4836-9A7D-33BDB28D3502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1.细石混凝土保护层-18元
2.聚酯无纺布隔离层-3元
3.4厚耐根穿刺改性沥青防水卷材-44元
4.2.0厚非固化橡胶沥青防水涂料-27元
5.聚酯无纺布滤水层-3.5元</t>
        </r>
      </text>
    </comment>
    <comment ref="U328" authorId="0" shapeId="0" xr:uid="{3D51C166-A106-43DD-9A40-CEE7E5C22ACD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1.混凝土垫层-15元
2.聚酯无纺布滤水层-3.5元
3.混凝土保护层-18元
4.聚酯无纺布隔离层-3元
5.3厚自粘聚合物改性沥青防水卷材(PY类)-34元
6.2.0厚非固化橡胶沥青防水涂料-27元
7.水泥石粉渣-31元</t>
        </r>
      </text>
    </comment>
    <comment ref="U329" authorId="0" shapeId="0" xr:uid="{E4C359D5-6955-4641-843A-4B73C3BAF561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1.混凝土垫层-15元
2.聚酯无纺布滤水层-3.5元
3.混凝土保护层-18元
4.聚酯无纺布隔离层-3元
5.3厚自粘聚合物改性沥青防水卷材(PY类)-34元
6.2.0厚非固化橡胶沥青防水涂料-27元
7.水泥石粉渣-31元</t>
        </r>
      </text>
    </comment>
    <comment ref="U330" authorId="0" shapeId="0" xr:uid="{9E4D3845-6A8A-4606-A2A4-9DBF7CA31D36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1.3.0厚自粘聚合物改性沥青防水卷材(PY类)-34元
2.混凝土垫层-15元
3.混凝土保护层-18元
41.5厚湿铺防水卷材(高分子膜)-28元</t>
        </r>
      </text>
    </comment>
    <comment ref="C458" authorId="1" shapeId="0" xr:uid="{9A28A793-DF55-49F2-B30B-D5172647BB69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材料较为特殊</t>
        </r>
      </text>
    </comment>
    <comment ref="R467" authorId="0" shapeId="0" xr:uid="{68FAF268-AA44-403E-B4B6-D7C4F984082C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1.真石漆墙柱面-76.30元</t>
        </r>
      </text>
    </comment>
    <comment ref="U467" authorId="2" shapeId="0" xr:uid="{0E430C3D-AB80-4E4F-8EA9-FBCCA24C4840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外墙柔性耐水腻子20元
2.外墙面抹灰-40元
</t>
        </r>
      </text>
    </comment>
    <comment ref="R468" authorId="0" shapeId="0" xr:uid="{8AA05A28-E0B0-41A7-BB8E-A2801788506B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1.真石漆墙柱面-76.30元
2.1.5厚聚合物水泥防水涂料(Ⅱ型）-44.94元</t>
        </r>
      </text>
    </comment>
    <comment ref="U468" authorId="2" shapeId="0" xr:uid="{047CDA95-5200-4E05-8634-7499F1C82FC0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外墙柔性耐水腻子20元
2.真石漆外墙-26元
3.1.5厚聚合物水泥防水涂料(Ⅱ型)-21元</t>
        </r>
      </text>
    </comment>
    <comment ref="U543" authorId="2" shapeId="0" xr:uid="{5EE13B45-9367-42F2-B52A-84BF55B21B25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外墙柔性耐水腻子20元</t>
        </r>
      </text>
    </comment>
    <comment ref="V579" authorId="2" shapeId="0" xr:uid="{A06CAF6D-A457-4697-9027-86842025E509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佛山市顺德区欣亦欣保温隔热材料有限公司</t>
        </r>
      </text>
    </comment>
    <comment ref="V580" authorId="2" shapeId="0" xr:uid="{605F3528-F3C0-4B04-A50C-D71A76E00C6F}">
      <text>
        <r>
          <rPr>
            <b/>
            <sz val="9"/>
            <rFont val="宋体"/>
            <family val="3"/>
            <charset val="134"/>
          </rPr>
          <t>PINKAPPLE:</t>
        </r>
        <r>
          <rPr>
            <sz val="9"/>
            <rFont val="宋体"/>
            <family val="3"/>
            <charset val="134"/>
          </rPr>
          <t xml:space="preserve">
深圳市特区建工科工集团盛腾科技有限公司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PINEAPPLE</author>
  </authors>
  <commentList>
    <comment ref="U77" authorId="0" shapeId="0" xr:uid="{8E0DD12F-2AA2-410A-8745-E3C7E3B35CF5}">
      <text>
        <r>
          <rPr>
            <b/>
            <sz val="9"/>
            <rFont val="宋体"/>
            <family val="3"/>
            <charset val="134"/>
          </rPr>
          <t>PINEAPPLE:</t>
        </r>
        <r>
          <rPr>
            <sz val="9"/>
            <rFont val="宋体"/>
            <family val="3"/>
            <charset val="134"/>
          </rPr>
          <t xml:space="preserve">
地上外架不计材料费 改盘扣-双优化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邓秀丽</author>
  </authors>
  <commentList>
    <comment ref="B18" authorId="0" shapeId="0" xr:uid="{FC4EE9BD-050C-46A1-806B-8078ADAAC710}">
      <text>
        <r>
          <rPr>
            <b/>
            <sz val="9"/>
            <rFont val="宋体"/>
            <family val="3"/>
            <charset val="134"/>
          </rPr>
          <t>含探亲费、市内交通费、外埠差旅费、车辆使用费</t>
        </r>
      </text>
    </comment>
    <comment ref="B22" authorId="0" shapeId="0" xr:uid="{1DF56324-F640-43D1-9B8A-A741EB358109}">
      <text>
        <r>
          <rPr>
            <b/>
            <sz val="9"/>
            <rFont val="宋体"/>
            <family val="3"/>
            <charset val="134"/>
          </rPr>
          <t>含图纸复印、竣工资料整理、书本笔等</t>
        </r>
      </text>
    </comment>
    <comment ref="B24" authorId="0" shapeId="0" xr:uid="{BD62A2CB-98EC-4293-B84F-DA6222EF34D2}">
      <text>
        <r>
          <rPr>
            <sz val="9"/>
            <rFont val="宋体"/>
            <family val="3"/>
            <charset val="134"/>
          </rPr>
          <t>汽车、检测仪器、监控、门禁、经纬仪等固定资产</t>
        </r>
      </text>
    </comment>
    <comment ref="B25" authorId="0" shapeId="0" xr:uid="{D2317E60-719A-42DB-8F08-6706D3CEC63A}">
      <text>
        <r>
          <rPr>
            <b/>
            <sz val="9"/>
            <rFont val="宋体"/>
            <family val="3"/>
            <charset val="134"/>
          </rPr>
          <t>含审计费、咨询认证费、律师费、评估费</t>
        </r>
      </text>
    </comment>
    <comment ref="B26" authorId="0" shapeId="0" xr:uid="{E370637D-4414-483A-B311-693F22CA9DC6}">
      <text>
        <r>
          <rPr>
            <b/>
            <sz val="9"/>
            <rFont val="宋体"/>
            <family val="3"/>
            <charset val="134"/>
          </rPr>
          <t>含防暑降温费、取暖费、劳保用品等</t>
        </r>
      </text>
    </comment>
    <comment ref="B27" authorId="0" shapeId="0" xr:uid="{7283BD43-77DF-4F01-91B8-99F76A8AE1F3}">
      <text>
        <r>
          <rPr>
            <sz val="9"/>
            <rFont val="宋体"/>
            <family val="3"/>
            <charset val="134"/>
          </rPr>
          <t xml:space="preserve">含房屋租赁费、房屋维修费、物业管理费、物业水电费、排污费、绿化费等
</t>
        </r>
      </text>
    </comment>
    <comment ref="B34" authorId="0" shapeId="0" xr:uid="{3823C5F1-0699-4810-B589-26074FA66143}">
      <text>
        <r>
          <rPr>
            <b/>
            <sz val="9"/>
            <rFont val="宋体"/>
            <family val="3"/>
            <charset val="134"/>
          </rPr>
          <t>含劳动保险费、财产保险费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付成花</author>
  </authors>
  <commentList>
    <comment ref="B12" authorId="0" shapeId="0" xr:uid="{349BBEC9-FA0A-4B98-A147-FC0D1050EC9A}">
      <text>
        <r>
          <rPr>
            <b/>
            <sz val="9"/>
            <rFont val="宋体"/>
            <family val="3"/>
            <charset val="134"/>
          </rPr>
          <t>付成花</t>
        </r>
        <r>
          <rPr>
            <b/>
            <sz val="9"/>
            <rFont val="Tahoma"/>
            <family val="2"/>
            <charset val="134"/>
          </rPr>
          <t>:</t>
        </r>
        <r>
          <rPr>
            <sz val="9"/>
            <rFont val="Tahoma"/>
            <family val="2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根据项目实际入成本情况可以放入材料费、或专业分包费中等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<sst xmlns="http://schemas.openxmlformats.org/spreadsheetml/2006/main" count="4612" uniqueCount="1483">
  <si>
    <t>中国建筑  项目管理表格</t>
  </si>
  <si>
    <t xml:space="preserve"> 项目成本分析报告</t>
  </si>
  <si>
    <t>模板编号</t>
  </si>
  <si>
    <t>CSCECXJ-BM-M005</t>
  </si>
  <si>
    <t>工程名称：</t>
  </si>
  <si>
    <t>XXX项目</t>
  </si>
  <si>
    <t xml:space="preserve">工程地点：                                              </t>
  </si>
  <si>
    <t>龙岗区宝龙街道宝龙二路与高科大道交汇处西南侧</t>
  </si>
  <si>
    <t xml:space="preserve">结构形式：                       </t>
  </si>
  <si>
    <t>框架剪力墙结构</t>
  </si>
  <si>
    <t xml:space="preserve">建筑面积：                           </t>
  </si>
  <si>
    <t>45127.93m3</t>
  </si>
  <si>
    <t>累计预算收入：</t>
  </si>
  <si>
    <t>累计责任成本：</t>
  </si>
  <si>
    <t>累计计划成本：</t>
  </si>
  <si>
    <t>累计实际成本：</t>
  </si>
  <si>
    <t>编 制 人：</t>
  </si>
  <si>
    <t>朱雪晴</t>
  </si>
  <si>
    <t>审 核 人：</t>
  </si>
  <si>
    <t>胡凯</t>
  </si>
  <si>
    <r>
      <t>编制单位</t>
    </r>
    <r>
      <rPr>
        <b/>
        <sz val="14"/>
        <rFont val="仿宋_GB2312"/>
        <family val="3"/>
        <charset val="134"/>
      </rPr>
      <t>：</t>
    </r>
  </si>
  <si>
    <t>编制日期：</t>
  </si>
  <si>
    <t>填报说明：</t>
  </si>
  <si>
    <t>1、汇总表中数据是由14个分表组成（人工费、材料费、机械费、专业分包费、周转料具、安全文明施工费、施工措施费、现场经费、管理费利润规费税金、让利、总包服务费、指定分包（含税）、其它、开源效益）。信息化中的汇总表连接各相关分表，信息系统自动提取，不需填制。</t>
  </si>
  <si>
    <t>2、13个分表三大列（预计工程竣工数据统计、本期数据统计、累计数据统计）中的收入、成本，简化列项，可仅列一行合计。其中人工费、专业分包费、机械费、周转料具、指定分包成本：可按分包队伍列项，涉及到安全文明施工费、施工措施费摘出来单列。</t>
  </si>
  <si>
    <t>3、材料费中的主材分析，要与手册成本篇中成本控制主要目标的材料种类、物资篇主材耗量数据分析统计表相匹配，物资篇主材耗量数据分析统计表中采购数量、成本半成本数量、库存原材数量、废旧（待）处理数量、调入数量、调出数量由物资工程师提供，商务把对应的预算量提供给物资，这样主材分析完全一致；物资篇主材耗量数据分析统计表做为附件上传。</t>
  </si>
  <si>
    <t>4、开源效益表必须按表格中的内容详细填写，并做为内审检查依据。</t>
  </si>
  <si>
    <t>5、把两算相关的支撑资料、详细计算表格作为附件上传。</t>
  </si>
  <si>
    <t>6、营改增后，对于新项目，收入成本均不含税，但业主应收款要录含税的，分包报量的应付款也是录含税的。</t>
  </si>
  <si>
    <t>7、现场经费明细已完全与财务科目对应</t>
  </si>
  <si>
    <t>工程项目“两算”对比分析汇总表</t>
  </si>
  <si>
    <t>工程名称：XXX项目</t>
  </si>
  <si>
    <t>序号</t>
  </si>
  <si>
    <t>费用名称</t>
  </si>
  <si>
    <t>单位</t>
  </si>
  <si>
    <t>预计工程竣工数据统计</t>
  </si>
  <si>
    <t>本期数据统计</t>
  </si>
  <si>
    <t>累计数据统计</t>
  </si>
  <si>
    <t>备注</t>
  </si>
  <si>
    <t>预计总收入</t>
  </si>
  <si>
    <t>预计总成本</t>
  </si>
  <si>
    <t>差额（预计总收入-预计总成本）</t>
  </si>
  <si>
    <t>预算收入</t>
  </si>
  <si>
    <t>实际成本</t>
  </si>
  <si>
    <t>差额（预算收入-实际成本）</t>
  </si>
  <si>
    <t>节(+)超(-)(%)</t>
  </si>
  <si>
    <t>人工费</t>
  </si>
  <si>
    <t>元</t>
  </si>
  <si>
    <t>材料费</t>
  </si>
  <si>
    <t>机械费</t>
  </si>
  <si>
    <t>专业分包费</t>
  </si>
  <si>
    <t>周转料具</t>
  </si>
  <si>
    <t>安全文明施工费</t>
  </si>
  <si>
    <t>施工措施费</t>
  </si>
  <si>
    <t>现场管理费</t>
  </si>
  <si>
    <t>利  润</t>
  </si>
  <si>
    <t>规  费</t>
  </si>
  <si>
    <t>税  金</t>
  </si>
  <si>
    <t>让  利</t>
  </si>
  <si>
    <t>指定分包</t>
  </si>
  <si>
    <t>总包服务费</t>
  </si>
  <si>
    <t>其  它</t>
  </si>
  <si>
    <t>开源效益</t>
  </si>
  <si>
    <t>合计</t>
  </si>
  <si>
    <t xml:space="preserve"> </t>
  </si>
  <si>
    <t>备注：1.“预测工程竣工数据统计”数据原则上每季度调整一次。2.“预测工程竣工数据统计”中“开源效益”数据填净利润，在前期不确定增加收入时，可根据开源效益目标将该数值填入计划成本中，为负值冲减成本。3.“安全文明施工费”根据《建设工程工程量清单计价规范》GB 50500—2013规定进行数据归口。4.“开源效益”数据来源“开源效益计算表”中的“未实施部分”。</t>
  </si>
  <si>
    <t>（营改增后一般计税项目，价税分离，税金不列，下同）</t>
  </si>
  <si>
    <t>土建数据</t>
  </si>
  <si>
    <t>本期</t>
  </si>
  <si>
    <t>累计</t>
  </si>
  <si>
    <t>安装数据</t>
  </si>
  <si>
    <t>本期分析及总结</t>
  </si>
  <si>
    <t>一、</t>
  </si>
  <si>
    <t>本期完成工程描述及累计形象部位</t>
  </si>
  <si>
    <t>地下室：</t>
  </si>
  <si>
    <t>地下室主体结构封顶</t>
  </si>
  <si>
    <t>地下室砌筑完成</t>
  </si>
  <si>
    <t>地下室外墙防水施工完成</t>
  </si>
  <si>
    <t>地上外墙防水：1号楼完成3-12层，2号楼完成3-12层</t>
  </si>
  <si>
    <t>地上1号楼、2号楼完成17层结构</t>
  </si>
  <si>
    <t>二、</t>
  </si>
  <si>
    <t>本期项目成本情况</t>
  </si>
  <si>
    <t>项目成本收入数据是截止2024年4月15日</t>
  </si>
  <si>
    <t>实际累计产值</t>
  </si>
  <si>
    <t>万元</t>
  </si>
  <si>
    <t>实际累计成本</t>
  </si>
  <si>
    <t>三、</t>
  </si>
  <si>
    <t>总结及纠偏措施</t>
  </si>
  <si>
    <t>临设费用较高，由于场地限制，目前项目只能租房，后续准备主体结构封顶在首层规划临建，降低成本；</t>
  </si>
  <si>
    <t>工程名称：   XXX项目</t>
  </si>
  <si>
    <t>分部分项名称</t>
  </si>
  <si>
    <t>项目特征</t>
  </si>
  <si>
    <t>预测工程竣工数据统计</t>
  </si>
  <si>
    <t>上次累计数据统计</t>
  </si>
  <si>
    <t>计划成本</t>
  </si>
  <si>
    <t>工程量</t>
  </si>
  <si>
    <t>单价</t>
  </si>
  <si>
    <t>合价</t>
  </si>
  <si>
    <t>一</t>
  </si>
  <si>
    <t>地下室结构</t>
  </si>
  <si>
    <t>钢筋混凝土工程（地下）</t>
  </si>
  <si>
    <t>垫层 C20</t>
  </si>
  <si>
    <t>(1)混凝土强度等级:C20泵送商品混凝土_x000D_
(2)满足设计图纸、相关规范、招标文件及技术要求</t>
  </si>
  <si>
    <t>m3</t>
  </si>
  <si>
    <t>基础（筏板、柱墩、桩承台、基础梁、集水坑） C35P10</t>
  </si>
  <si>
    <t>(1)混凝土强度等级:C35泵送商品混凝土，抗渗P10_x000D_
(2)补偿收缩混凝土，补偿收缩时≥0.02%_x000D_
(3)满足设计图纸、相关规范、招标文件及技术要求</t>
  </si>
  <si>
    <t>砼墙、柱 C60</t>
  </si>
  <si>
    <t>(1)混凝土强度等级:C60泵送商品混凝土_x000D_
(2)满足设计图纸、相关规范、招标文件及技术要求</t>
  </si>
  <si>
    <t>砼墙、柱 C40</t>
  </si>
  <si>
    <t>(1)混凝土强度等级:C40泵送商品混凝土_x000D_
(2)满足设计图纸、相关规范、招标文件及技术要求</t>
  </si>
  <si>
    <t>砼墙、柱 C35P10_x000D_</t>
  </si>
  <si>
    <t>砼墙、柱 C35P8_x000D_</t>
  </si>
  <si>
    <t>(1)混凝土强度等级:C35泵送商品混凝土，抗渗P8_x000D_
(2)补偿收缩混凝土，补偿收缩时≥0.02%_x000D_
(3)满足设计图纸、相关规范、招标文件及技术要求</t>
  </si>
  <si>
    <t>砼墙、柱 C35P6_x000D_</t>
  </si>
  <si>
    <t>(1)混凝土强度等级:C35泵送商品混凝土，抗渗P6_x000D_
(2)补偿收缩混凝土，补偿收缩时≥0.02%_x000D_
(3)满足设计图纸、相关规范、招标文件及技术要求</t>
  </si>
  <si>
    <t>砼墙、柱 C35_x000D_</t>
  </si>
  <si>
    <t>(1)混凝土强度等级:C35泵送商品混凝土_x000D_
(2)满足设计图纸、相关规范、招标文件及技术要求</t>
  </si>
  <si>
    <t>矩形柱 C35</t>
  </si>
  <si>
    <t>有梁板 (梁、板)  C35P6</t>
  </si>
  <si>
    <t>(1)混凝土强度等级:C35泵送商品混凝土,P6_x000D_
(2)补偿收缩混凝土，补偿收缩时≥0.02%_x000D_
(3)满足设计图纸、相关规范、招标文件及技术要求</t>
  </si>
  <si>
    <t>有梁板 (梁、板)  C35</t>
  </si>
  <si>
    <t>有梁板 (梁、板)坡道  C35</t>
  </si>
  <si>
    <t>后浇带  基础 C40P10</t>
  </si>
  <si>
    <t>(1)混凝土强度等级:C40泵送商品混凝土,P10_x000D_
(2)补偿收缩混凝土，补偿收缩时≥0.03%_x000D_
(3)满足设计图纸、相关规范、招标文件及技术要求</t>
  </si>
  <si>
    <t>后浇带  梁、楼板、墙 C40P8</t>
  </si>
  <si>
    <t>(1)混凝土强度等级:C40泵送商品混凝土,P8_x000D_
(2)补偿收缩混凝土，补偿收缩时≥0.03%_x000D_
(3)满足设计图纸、相关规范、招标文件及技术要求</t>
  </si>
  <si>
    <t>后浇带  梁、楼板、墙 C40P6</t>
  </si>
  <si>
    <t>(1)混凝土强度等级:C40泵送商品混凝土,P6_x000D_
(2)补偿收缩混凝土，补偿收缩时≥0.03%_x000D_
(3)满足设计图纸、相关规范、招标文件及技术要求</t>
  </si>
  <si>
    <t>后浇带  梁、楼板、墙 C60P6</t>
  </si>
  <si>
    <t>(1)混凝土强度等级:C60泵送商品混凝土,P6_x000D_
(2)补偿收缩混凝土，补偿收缩时≥0.03%_x000D_
(3)满足设计图纸、相关规范、招标文件及技术要求</t>
  </si>
  <si>
    <t>后浇带  梁、楼板、墙 C40</t>
  </si>
  <si>
    <t>直形楼梯 C35</t>
  </si>
  <si>
    <t>构造柱 C20</t>
  </si>
  <si>
    <t>(1)混凝土强度等级:C20非泵送商品混凝土_x000D_
(2)满足设计图纸、相关规范、招标文件及技术要求</t>
  </si>
  <si>
    <t>圈、过梁 C20</t>
  </si>
  <si>
    <t>门槛、反坎 C25</t>
  </si>
  <si>
    <t>(1)混凝土强度等级:C25非泵送商品混凝土_x000D_
(2)满足设计图纸、相关规范、招标文件及技术要求</t>
  </si>
  <si>
    <t>门槛、反坎 C20</t>
  </si>
  <si>
    <t>设备基础 C35</t>
  </si>
  <si>
    <t>(1)混凝土强度等级:C35非泵送商品混凝土_x000D_
(2)满足设计图纸、相关规范、招标文件及技术要求</t>
  </si>
  <si>
    <t>C20素混凝土（坡道位置）_x000D_</t>
  </si>
  <si>
    <t>(1)C20素混凝土_x000D_
(2)满足设计图纸、相关规范、招标文件及技术要求</t>
  </si>
  <si>
    <t>混凝土泵送费扣减</t>
  </si>
  <si>
    <t>项</t>
  </si>
  <si>
    <t>钢筋工程</t>
  </si>
  <si>
    <t>现浇构件钢筋</t>
  </si>
  <si>
    <t>(1)钢筋种类、规格:拉结筋制安(HPB300)φ6mm_x000D_
(2)满足设计图纸、相关规范、招标文件及技术要求</t>
  </si>
  <si>
    <t>t</t>
  </si>
  <si>
    <t>(1)钢筋种类、规格:圆钢制安 φ6mm_x000D_
(2)满足设计图纸、相关规范、招标文件及技术要求</t>
  </si>
  <si>
    <t>(1)钢筋种类、规格:圆钢制安 φ8~10mm以上_x000D_
(2)满足设计图纸、相关规范、招标文件及技术要求</t>
  </si>
  <si>
    <t>(1)钢筋种类、规格:螺纹钢制安Ⅲ级(HRB400E)φ6mm_x000D_
(2)满足设计图纸、相关规范、招标文件及技术要求</t>
  </si>
  <si>
    <t>(1)钢筋种类、规格:螺纹钢制安Ⅲ级(HRB400E)φ8mm_x000D_
(2)满足设计图纸、相关规范、招标文件及技术要求</t>
  </si>
  <si>
    <t>(1)钢筋种类、规格:螺纹钢制安Ⅲ级(HRB400E)φ10mm_x000D_
(2)满足设计图纸、相关规范、招标文件及技术要求</t>
  </si>
  <si>
    <t>(1)钢筋种类、规格:螺纹钢制安Ⅲ级(HRB400E)φ12mm_x000D_
(2)满足设计图纸、相关规范、招标文件及技术要求</t>
  </si>
  <si>
    <t>(1)钢筋种类、规格:螺纹钢制安Ⅲ级(HRB400E)φ14mm_x000D_
(2)满足设计图纸、相关规范、招标文件及技术要求</t>
  </si>
  <si>
    <t>(1)钢筋种类、规格:螺纹钢制安Ⅲ级(HRB400E)φ16mm_x000D_
(2)满足设计图纸、相关规范、招标文件及技术要求</t>
  </si>
  <si>
    <t>(1)钢筋种类、规格:螺纹钢制安Ⅲ级(HRB400E)φ18mm_x000D_
(2)满足设计图纸、相关规范、招标文件及技术要求</t>
  </si>
  <si>
    <t>(1)钢筋种类、规格:螺纹钢制安Ⅲ级(HRB400E)φ20mm_x000D_
(2)满足设计图纸、相关规范、招标文件及技术要求</t>
  </si>
  <si>
    <t>(1)钢筋种类、规格:螺纹钢制安Ⅲ级(HRB400E)φ22mm_x000D_
(2)满足设计图纸、相关规范、招标文件及技术要求</t>
  </si>
  <si>
    <t>(1)钢筋种类、规格:螺纹钢制安Ⅲ级(HRB400E)φ25mm_x000D_
(2)满足设计图纸、相关规范、招标文件及技术要求</t>
  </si>
  <si>
    <t>(1)钢筋种类、规格:螺纹钢制安Ⅲ级(HRB400E)φ28~32mm_x000D_
(2)满足设计图纸、相关规范、招标文件及技术要求</t>
  </si>
  <si>
    <t>(1)钢筋种类、规格:螺纹钢制安Ⅲ级(HRB400E)φ36~40mm_x000D_
(2)满足设计图纸、相关规范、招标文件及技术要求</t>
  </si>
  <si>
    <t>现浇构件钢筋 （箍筋）</t>
  </si>
  <si>
    <t>(1)钢筋种类、规格:圆钢制安 φ8~10mm_x000D_
(2)满足设计图纸、相关规范、招标文件及技术要求</t>
  </si>
  <si>
    <t>机械连接</t>
  </si>
  <si>
    <t>(1)连接方式:电渣压力焊_x000D_
(2)满足设计图纸、相关规范、招标文件及技术要求</t>
  </si>
  <si>
    <t>个</t>
  </si>
  <si>
    <t>(1)连接方式:套筒直螺纹接头Φ25mm以内_x000D_
(2)满足设计图纸、相关规范、招标文件及技术要求</t>
  </si>
  <si>
    <t>(1)连接方式:套筒直螺纹接头Φ25mm以外_x000D_
(2)满足设计图纸、相关规范、招标文件及技术要求</t>
  </si>
  <si>
    <t>二</t>
  </si>
  <si>
    <t>裙楼结构</t>
  </si>
  <si>
    <t>(1)钢筋种类、规格:拉结筋制安(HPB300)φ6mm_x000D_
(2)满足设计图纸、相关规范、招标文件及技术要求_x000D_
(3)建筑物超高增加费</t>
  </si>
  <si>
    <t>(1)钢筋种类、规格:圆钢制安 φ6mm_x000D_
(2)满足设计图纸、相关规范、招标文件及技术要求_x000D_
(3)建筑物超高增加费</t>
  </si>
  <si>
    <t>(1)钢筋种类、规格:圆钢制安 φ8~10mm及以上_x000D_
(2)满足设计图纸、相关规范、招标文件及技术要求_x000D_
(3)建筑物超高增加费</t>
  </si>
  <si>
    <t>(1)钢筋种类、规格:螺纹钢制安Ⅲ级(HRB400E)φ6mm_x000D_
(2)满足设计图纸、相关规范、招标文件及技术要求_x000D_
(3)建筑物超高增加费</t>
  </si>
  <si>
    <t>(1)钢筋种类、规格:螺纹钢制安Ⅲ级(HRB400E)φ8mm_x000D_
(2)满足设计图纸、相关规范、招标文件及技术要求_x000D_
(3)建筑物超高增加费</t>
  </si>
  <si>
    <t>(1)钢筋种类、规格:螺纹钢制安Ⅲ级(HRB400E)φ10mm_x000D_
(2)满足设计图纸、相关规范、招标文件及技术要求_x000D_
(3)建筑物超高增加费</t>
  </si>
  <si>
    <t>(1)钢筋种类、规格:螺纹钢制安Ⅲ级(HRB400E)φ12mm_x000D_
(2)满足设计图纸、相关规范、招标文件及技术要求_x000D_
(3)建筑物超高增加费</t>
  </si>
  <si>
    <t>(1)钢筋种类、规格:螺纹钢制安Ⅲ级(HRB400E)φ14mm_x000D_
(2)满足设计图纸、相关规范、招标文件及技术要求_x000D_
(3)建筑物超高增加费</t>
  </si>
  <si>
    <t>(1)钢筋种类、规格:螺纹钢制安Ⅲ级(HRB400E)φ16mm_x000D_
(2)满足设计图纸、相关规范、招标文件及技术要求_x000D_
(3)建筑物超高增加费</t>
  </si>
  <si>
    <t>(1)钢筋种类、规格:螺纹钢制安Ⅲ级(HRB400E)φ18mm_x000D_
(2)满足设计图纸、相关规范、招标文件及技术要求_x000D_
(3)建筑物超高增加费</t>
  </si>
  <si>
    <t>(1)钢筋种类、规格:螺纹钢制安Ⅲ级(HRB400E)φ20mm_x000D_
(2)满足设计图纸、相关规范、招标文件及技术要求_x000D_
(3)建筑物超高增加费</t>
  </si>
  <si>
    <t>(1)钢筋种类、规格:螺纹钢制安Ⅲ级(HRB400E)φ22mm_x000D_
(2)满足设计图纸、相关规范、招标文件及技术要求_x000D_
(3)建筑物超高增加费</t>
  </si>
  <si>
    <t>(1)钢筋种类、规格:螺纹钢制安Ⅲ级(HRB400E)φ25mm_x000D_
(2)满足设计图纸、相关规范、招标文件及技术要求_x000D_
(3)建筑物超高增加费</t>
  </si>
  <si>
    <t>(1)钢筋种类、规格:螺纹钢制安Ⅲ级(HRB400E)φ28~32mm_x000D_
(2)满足设计图纸、相关规范、招标文件及技术要求_x000D_
(3)建筑物超高增加费</t>
  </si>
  <si>
    <t>(1)钢筋种类、规格:螺纹钢制安Ⅲ级(HRB400E)φ36~40mm_x000D_
(2)满足设计图纸、相关规范、招标文件及技术要求_x000D_
(3)建筑物超高增加费</t>
  </si>
  <si>
    <t>(1)连接方式:电渣压力焊_x000D_
(2)满足设计图纸、相关规范、招标文件及技术要求_x000D_
(3)建筑物超高增加费</t>
  </si>
  <si>
    <t>(1)连接方式:套筒直螺纹接头Φ25mm以内_x000D_
(2)满足设计图纸、相关规范、招标文件及技术要求_x000D_
(3)建筑物超高增加费</t>
  </si>
  <si>
    <t>(1)连接方式:套筒直螺纹接头Φ25mm以外_x000D_
(2)满足设计图纸、相关规范、招标文件及技术要求_x000D_
(3)建筑物超高增加费</t>
  </si>
  <si>
    <t>钢筋混凝土工程（地上）</t>
  </si>
  <si>
    <t>(1)混凝土强度等级:C60泵送商品混凝土_x000D_
(2)满足设计图纸、相关规范、招标文件及技术要求_x000D_
(3)建筑物超高增加费</t>
  </si>
  <si>
    <t>有梁板 C30</t>
  </si>
  <si>
    <t>(1)混凝土强度等级:C30泵送商品混凝土_x000D_
(2)满足设计图纸、相关规范、招标文件及技术要求_x000D_
(3)建筑物超高增加费</t>
  </si>
  <si>
    <t>有梁板 C30P6_x000D_</t>
  </si>
  <si>
    <t>(1)混凝土强度等级:C30泵送商品混凝土，抗渗P6_x000D_
(2)满足设计图纸、相关规范、招标文件及技术要求_x000D_
(3)建筑物超高增加费</t>
  </si>
  <si>
    <t>直形楼梯 C30</t>
  </si>
  <si>
    <t>(1)混凝土强度等级:C20非泵送商品混凝土_x000D_
(2)满足设计图纸、相关规范、招标文件及技术要求_x000D_
(3)建筑物超高增加费</t>
  </si>
  <si>
    <t>(1)混凝土强度等级:C25非泵送商品混凝土_x000D_
(2)满足设计图纸、相关规范、招标文件及技术要求_x000D_
(3)建筑物超高增加费</t>
  </si>
  <si>
    <t>雨篷、悬挑板、阳台板 C30</t>
  </si>
  <si>
    <t>(1)混凝土强度等级:C30非泵送商品混凝土_x000D_
(2)满足设计图纸、相关规范、招标文件及技术要求_x000D_
(3)建筑物超高增加费</t>
  </si>
  <si>
    <t>天沟(檐沟)、挑檐板 C30</t>
  </si>
  <si>
    <t>扶手、压顶 C30</t>
  </si>
  <si>
    <t>栏板 C30</t>
  </si>
  <si>
    <t>设备基础 C30</t>
  </si>
  <si>
    <t>三</t>
  </si>
  <si>
    <t>1#塔楼结构</t>
  </si>
  <si>
    <t xml:space="preserve"> 钢筋工程</t>
  </si>
  <si>
    <t xml:space="preserve"> 钢筋混凝土工程（地上）</t>
  </si>
  <si>
    <t>砼墙、柱 C55</t>
  </si>
  <si>
    <t>(1)混凝土强度等级:C55泵送商品混凝土_x000D_
(2)满足设计图纸、相关规范、招标文件及技术要求_x000D_
(3)建筑物超高增加费</t>
  </si>
  <si>
    <t>砼墙、柱 C50</t>
  </si>
  <si>
    <t>(1)混凝土强度等级:C50泵送商品混凝土_x000D_
(2)满足设计图纸、相关规范、招标文件及技术要求_x000D_
(3)建筑物超高增加费</t>
  </si>
  <si>
    <t>砼墙、柱 C45</t>
  </si>
  <si>
    <t>(1)混凝土强度等级:C45泵送商品混凝土_x000D_
(2)满足设计图纸、相关规范、招标文件及技术要求_x000D_
(3)建筑物超高增加费</t>
  </si>
  <si>
    <t>(1)混凝土强度等级:C40泵送商品混凝土_x000D_
(2)满足设计图纸、相关规范、招标文件及技术要求_x000D_
(3)建筑物超高增加费</t>
  </si>
  <si>
    <t>砼墙、柱 C35</t>
  </si>
  <si>
    <t>(1)混凝土强度等级:C35泵送商品混凝土_x000D_
(2)满足设计图纸、相关规范、招标文件及技术要求_x000D_
(3)建筑物超高增加费</t>
  </si>
  <si>
    <t>砼墙、柱 C30</t>
  </si>
  <si>
    <t xml:space="preserve">有梁板 C30P6_x000D_
</t>
  </si>
  <si>
    <t>后浇带 (梁、楼板、墙)C35</t>
  </si>
  <si>
    <t xml:space="preserve">后浇带 (梁、楼板、墙)C35P6_x000D_
</t>
  </si>
  <si>
    <t>(1)混凝土强度等级:C35泵送商品混凝土，抗渗P6_x000D_
(2)满足设计图纸、相关规范、招标文件及技术要求_x000D_
(3)建筑物超高增加费</t>
  </si>
  <si>
    <t xml:space="preserve"> 钢筋混凝土工程（高度＞100m) 只塔楼</t>
  </si>
  <si>
    <t>(1)混凝土强度等级:C30泵送商品混凝土，（泵送高度100m&lt;H≤200m)_x000D_
(2)满足设计图纸、相关规范、招标文件及技术要求_x000D_
(3)建筑物超高增加费</t>
  </si>
  <si>
    <t>(1)混凝土强度等级:C30泵送商品混凝土，（泵送高度100m&lt;H≤200m）_x000D_
(2)满足设计图纸、相关规范、招标文件及技术要求_x000D_
(3)建筑物超高增加费</t>
  </si>
  <si>
    <t>(1)混凝土强度等级:C30泵送商品混凝土，抗渗P6，（泵送高度100m&lt;H≤200m)_x000D_
(2)满足设计图纸、相关规范、招标文件及技术要求_x000D_
(3)建筑物超高增加费</t>
  </si>
  <si>
    <t>(1)混凝土强度等级:C35泵送商品混凝土，（泵送高度100m&lt;H≤200m)_x000D_
(2)满足设计图纸、相关规范、招标文件及技术要求_x000D_
(3)建筑物超高增加费</t>
  </si>
  <si>
    <t>(1)混凝土强度等级:C35泵送商品混凝土，抗渗P6，（泵送高度100m&lt;H≤200m)_x000D_
(2)满足设计图纸、相关规范、招标文件及技术要求_x000D_
(3)建筑物超高增加费</t>
  </si>
  <si>
    <t>直形楼梯C30</t>
  </si>
  <si>
    <t>雨篷、悬挑板、阳台板 C25</t>
  </si>
  <si>
    <t>天沟(檐沟)、挑檐板 C25</t>
  </si>
  <si>
    <t>扶手、压顶 C25</t>
  </si>
  <si>
    <t>栏板 C25</t>
  </si>
  <si>
    <t>四</t>
  </si>
  <si>
    <t>2#塔楼结构</t>
  </si>
  <si>
    <t>后浇带 (梁、楼板、墙)C35P6_x000D_</t>
  </si>
  <si>
    <t>钢筋混凝土工程（高度＞100m) 只塔楼</t>
  </si>
  <si>
    <t>五</t>
  </si>
  <si>
    <t>地下室装饰</t>
  </si>
  <si>
    <t xml:space="preserve"> 砌筑工程（地下）</t>
  </si>
  <si>
    <t>砌块墙</t>
  </si>
  <si>
    <t>(1)砌筑高度:3.6m以内_x000D_
(2)墙体厚度:200mm厚_x000D_
(3)砌块品种、规格、强度等级:A7.5蒸压加气混凝土砌块_x000D_
(4)勾缝要求:原浆勾缝_x000D_
(5)砂浆强度等级:M7.5专用砂浆砌筑_x000D_
(6)满足设计图纸、相关规范、招标文件及技术要求</t>
  </si>
  <si>
    <t>(1)砌筑高度:3.6m以上_x000D_
(2)墙体厚度:200mm厚_x000D_
(3)砌块品种、规格、强度等级:A7.5蒸压加气混凝土砌块_x000D_
(4)勾缝要求:原浆勾缝_x000D_
(5)砂浆强度等级:M7.5专用砂浆砌筑_x000D_
(6)满足设计图纸、相关规范、招标文件及技术要求</t>
  </si>
  <si>
    <t>(1)砌筑高度:3.6m以内_x000D_
(2)墙体厚度:100mm厚_x000D_
(3)砌块品种、规格、强度等级:A7.5蒸压加气混凝土砌块_x000D_
(4)勾缝要求:原浆勾缝_x000D_
(5)砂浆强度等级:M5.0专用砂浆砌筑_x000D_
(6)满足设计图纸、相关规范、招标文件及技术要求</t>
  </si>
  <si>
    <t>(1)砌筑高度:3.6m以上_x000D_
(2)墙体厚度:100mm厚_x000D_
(3)砌块品种、规格、强度等级:A7.5蒸压加气混凝土砌块_x000D_
(4)勾缝要求:原浆勾缝_x000D_
(5)砂浆强度等级:M5.0专用砂浆砌筑_x000D_
(6)满足设计图纸、相关规范、招标文件及技术要求</t>
  </si>
  <si>
    <t>满铺钢丝网</t>
  </si>
  <si>
    <t>(1)楼梯间和人流通道的填充墙应采用满铺钢丝网砂浆面层加强,钢丝直径1mm,网眼不大于20X20mm,不小于10X10mm_x000D_
(2)满足设计图纸、相关规范、招标文件及技术要求</t>
  </si>
  <si>
    <t>m2</t>
  </si>
  <si>
    <t>钢丝网加固 不同材质交界处</t>
  </si>
  <si>
    <t>(1)墙体中两种不同材料连接处均应做贴(挂)钢丝网或耐碱玻纤网格布_x000D_
(2)满足设计图纸、相关规范、招标文件及技术要求</t>
  </si>
  <si>
    <t>楼地面工程</t>
  </si>
  <si>
    <t>楼1a 混凝土找平层</t>
  </si>
  <si>
    <t>(3)80厚(最薄处)~125厚C30细石混凝土刚性层,</t>
  </si>
  <si>
    <t>楼1a内配钢筋网</t>
  </si>
  <si>
    <t>(内配c6@150双向钢筋,钢筋置于上部且保护层厚度大于20,分隔缝间距≤6m,钢筋断开缝宽12,缝内嵌单组份聚氨酯建筑密封胶)</t>
  </si>
  <si>
    <t>楼1b 混凝土找平层</t>
  </si>
  <si>
    <t>(3)40厚(最薄处)C30细石混凝土刚性层,</t>
  </si>
  <si>
    <t>楼1b 内配钢筋网</t>
  </si>
  <si>
    <t>楼3a 防滑地砖楼面(有防水)—面层</t>
  </si>
  <si>
    <t>(1)8-10厚防滑地砖,干水泥砂浆填缝
(2)5-8厚聚合物水泥砂浆，湿拌M20砂浆(WS20)</t>
  </si>
  <si>
    <t>楼3a  垫层 （公共配套、地下室）</t>
  </si>
  <si>
    <t>(1)C15砼垫层</t>
  </si>
  <si>
    <t>楼4a 防滑地砖楼面（地下三层）—面层</t>
  </si>
  <si>
    <t>(1)8-10厚防滑地砖,干水泥砂浆填缝(大堂及电梯厅的防滑等级达到Ad级)
(2)20厚M15水泥砂浆结合层,面撒水泥粉</t>
  </si>
  <si>
    <t>楼4a 防滑地砖楼面（地下三层）—砼垫层</t>
  </si>
  <si>
    <t>(3)地下三层:120厚C15砼垫层</t>
  </si>
  <si>
    <t>楼6 细石混凝土楼面 （地下室）—面层</t>
  </si>
  <si>
    <t>(1)50厚C20细石砼随打随抹平
(2)素水泥浆结合层一道</t>
  </si>
  <si>
    <t>楼6 细石混凝土楼面 （地下室）—砼垫层</t>
  </si>
  <si>
    <t>(3)50厚C15砼垫层(仅底层地下室有此层)</t>
  </si>
  <si>
    <t>六</t>
  </si>
  <si>
    <t>裙楼装饰</t>
  </si>
  <si>
    <t>砌块墙 外墙</t>
  </si>
  <si>
    <t>(1)砌筑高度:3.6m以内
(2)墙体厚度:200mm厚
(3)砌块品种、规格、强度等级:A7.5蒸压加气混凝土砌块
(4)勾缝要求:原浆勾缝
(5)砂浆强度等级:M7.5专用砂浆砌筑
(6)满足设计图纸、相关规范、招标文件及技术要求
(7)建筑物超高增加费</t>
  </si>
  <si>
    <t>(1)砌筑高度:3.6m以上
(2)墙体厚度:200mm厚
(3)砌块品种、规格、强度等级:A7.5蒸压加气混凝土砌块
(4)勾缝要求:原浆勾缝
(5)砂浆强度等级:M7.5专用砂浆砌筑
(6)满足设计图纸、相关规范、招标文件及技术要求
(7)建筑物超高增加费</t>
  </si>
  <si>
    <t>(1)砌筑高度:3.6m以内_x000D_
(2)墙体厚度:200mm厚_x000D_
(3)砌块品种、规格、强度等级:A3.5蒸压加气混凝土砌块_x000D_
(4)勾缝要求:原浆勾缝_x000D_
(5)砂浆强度等级:M5.0专用砂浆砌筑_x000D_
(6)满足设计图纸、相关规范、招标文件及技术要求_x000D_
(7)建筑物超高增加费</t>
  </si>
  <si>
    <t>(1)砌筑高度:3.6m以上_x000D_
(2)墙体厚度:200mm厚_x000D_
(3)砌块品种、规格、强度等级:A3.5蒸压加气混凝土砌块_x000D_
(4)勾缝要求:原浆勾缝_x000D_
(5)砂浆强度等级:M5.0专用砂浆砌筑_x000D_
(6)满足设计图纸、相关规范、招标文件及技术要求_x000D_
(7)建筑物超高增加费</t>
  </si>
  <si>
    <t>(1)砌筑高度:3.6m以内
(2)墙体厚度:100mm厚
(3)砌块品种、规格、强度等级:A3.5蒸压加气混凝土砌块
(4)勾缝要求:原浆勾缝
(5)砂浆强度等级:M5.0专用砂浆砌筑
(6)满足设计图纸、相关规范、招标文件及技术要求
(7)建筑物超高增加费</t>
  </si>
  <si>
    <t>(1)砌筑高度:3.6m以上
(2)墙体厚度:100mm厚
(3)砌块品种、规格、强度等级:A3.5蒸压加气混凝土砌块
(4)勾缝要求:原浆勾缝
(5)砂浆强度等级:M5.0专用砂浆砌筑
(6)满足设计图纸、相关规范、招标文件及技术要求
(7)建筑物超高增加费</t>
  </si>
  <si>
    <t xml:space="preserve">普通混凝土实心砌块_x000D_
</t>
  </si>
  <si>
    <t>(1)砌筑高度:3.6m以内
(2)墙体厚度:200mm厚
(3)砌块品种、规格、强度等级:MU7.5普通混凝土实心砌块
(4)勾缝要求:原浆勾缝
(5)砂浆强度等级:M7.5专用砂浆砌筑
(6)满足设计图纸、相关规范、招标文件及技术要求
(7)建筑物超高增加费</t>
  </si>
  <si>
    <t>(1)砌筑高度:3.6m以上
(2)墙体厚度:200mm厚
(3)砌块品种、规格、强度等级:MU7.5普通混凝土实心砌块
(4)勾缝要求:原浆勾缝
(5)砂浆强度等级:M7.5专用砂浆砌筑
(6)满足设计图纸、相关规范、招标文件及技术要求
(7)建筑物超高增加费</t>
  </si>
  <si>
    <t>(1)楼梯间和人流通道的填充墙应采用满铺钢丝网砂浆面层加强,钢丝直径1mm,网眼不大于20X20mm,不小于10X10mm_x000D_
(2)满足设计图纸、相关规范、招标文件及技术要求_x000D_
(3)建筑物超高增加费</t>
  </si>
  <si>
    <t>(1)墙体中两种不同材料连接处均应做贴(挂)钢丝网或耐碱玻纤网格布_x000D_
(2)满足设计图纸、相关规范、招标文件及技术要求_x000D_
(3)建筑物超高增加费</t>
  </si>
  <si>
    <t>七</t>
  </si>
  <si>
    <t>1#塔楼装饰</t>
  </si>
  <si>
    <t>(1)砌筑高度:3.6m以内_x000D_
(2)墙体厚度:200mm厚_x000D_
(3)砌块品种、规格、强度等级:A7.5蒸压加气混凝土砌块_x000D_
(4)勾缝要求:原浆勾缝_x000D_
(5)砂浆强度等级:M7.5专用砂浆砌筑_x000D_
(6)满足设计图纸、相关规范、招标文件及技术要求_x000D_
(7)建筑物超高增加费</t>
  </si>
  <si>
    <t>(1)砌筑高度:3.6m以内_x000D_
(2)墙体厚度:100mm厚_x000D_
(3)砌块品种、规格、强度等级:A3.5蒸压加气混凝土砌块_x000D_
(4)勾缝要求:原浆勾缝_x000D_
(5)砂浆强度等级:M5.0专用砂浆砌筑_x000D_
(6)满足设计图纸、相关规范、招标文件及技术要求_x000D_
(7)建筑物超高增加费</t>
  </si>
  <si>
    <t>(1)砌筑高度:3.6m以内_x000D_
(2)墙体厚度:200mm厚_x000D_
(3)砌块品种、规格、强度等级:MU7.5普通混凝土实心砌块_x000D_
(4)勾缝要求:原浆勾缝_x000D_
(5)砂浆强度等级:M7.5专用砂浆砌筑_x000D_
(6)满足设计图纸、相关规范、招标文件及技术要求_x000D_
(7)建筑物超高增加费</t>
  </si>
  <si>
    <t>八</t>
  </si>
  <si>
    <t>2#塔楼装饰</t>
  </si>
  <si>
    <t>备注：</t>
  </si>
  <si>
    <t>1.需要“小计”的，必须分部分项名称中输入“小计”二字，不能多输字或少输字，即不改变系统格式，否则将无法精确合计，后面表格雷同。</t>
  </si>
  <si>
    <t>2.分包单价、施工内容与分包合同匹配。如抹灰业主清单有5项，实际分包价格相同且只有一种价格，则抹灰的收入及成本列入一行即可（若是2家队伍施工，则列2行），这样与分包计提、分包结算匹配，便于检查及竣工后指标测算。</t>
  </si>
  <si>
    <t>主体钢筋+混凝土（元）</t>
  </si>
  <si>
    <t>二次结构砌筑（元）</t>
  </si>
  <si>
    <t>主体模板+脚手架（元）</t>
  </si>
  <si>
    <t>二次结构混凝土（元）</t>
  </si>
  <si>
    <t>主体塔吊指挥（元）</t>
  </si>
  <si>
    <t>二次结构装饰（元）</t>
  </si>
  <si>
    <t>主体文明施工（元）</t>
  </si>
  <si>
    <t>主体成本合计（元）</t>
  </si>
  <si>
    <t>二构成本合计（元）</t>
  </si>
  <si>
    <t>累计实际报量（元）</t>
  </si>
  <si>
    <t>工程项目材料费计算表</t>
  </si>
  <si>
    <t>材料名称</t>
  </si>
  <si>
    <t>材料规格</t>
  </si>
  <si>
    <t>细砼C20</t>
  </si>
  <si>
    <t>(1)混凝土强度等级:C35泵送商品混凝土，抗渗P10
(2)补偿收缩混凝土，补偿收缩时≥0.02%
(3)满足设计图纸、相关规范、招标文件及技术要求</t>
  </si>
  <si>
    <t>商砼C20</t>
  </si>
  <si>
    <t>(1)混凝土强度等级:C60泵送商品混凝土
(2)满足设计图纸、相关规范、招标文件及技术要求</t>
  </si>
  <si>
    <t>细砼C25</t>
  </si>
  <si>
    <t>(1)混凝土强度等级:C40泵送商品混凝土
(2)满足设计图纸、相关规范、招标文件及技术要求</t>
  </si>
  <si>
    <t>商砼C25</t>
  </si>
  <si>
    <t>商砼C30</t>
  </si>
  <si>
    <t>C30 +10%膨胀剂</t>
  </si>
  <si>
    <t>C30 P6</t>
  </si>
  <si>
    <t>C30 P8+8%膨胀剂</t>
  </si>
  <si>
    <t>商砼C35</t>
  </si>
  <si>
    <t>C35 P6补偿收缩时≥0.02%</t>
  </si>
  <si>
    <t>C35 P8+8%膨胀剂</t>
  </si>
  <si>
    <t>C35 P10</t>
  </si>
  <si>
    <t>C35 P10+8%膨胀剂</t>
  </si>
  <si>
    <t>商砼C40</t>
  </si>
  <si>
    <t>C40+8%膨胀剂</t>
  </si>
  <si>
    <t>C40 P6补偿收缩时≥0.03%</t>
  </si>
  <si>
    <t>C40 P8+8%膨胀剂</t>
  </si>
  <si>
    <t>C40 P10+8%膨胀剂</t>
  </si>
  <si>
    <t>商砼C45</t>
  </si>
  <si>
    <t>商砼C50</t>
  </si>
  <si>
    <t>商砼C55</t>
  </si>
  <si>
    <t>C60</t>
  </si>
  <si>
    <t>C60 P6 补偿收缩时≥0.03%</t>
  </si>
  <si>
    <t>润管砂浆</t>
  </si>
  <si>
    <t>(1)钢筋种类、规格:螺纹钢制安Ⅲ级(HRB400E)φ6mm
(2)满足设计图纸、相关规范、招标文件及技术要求</t>
  </si>
  <si>
    <t>措施筋</t>
  </si>
  <si>
    <t xml:space="preserve">深圳市固力士建材有限公司
</t>
  </si>
  <si>
    <t>水泥砖</t>
  </si>
  <si>
    <t>加气砖</t>
  </si>
  <si>
    <t>九</t>
  </si>
  <si>
    <t>钢筋网片</t>
  </si>
  <si>
    <t>广州桥璨建材有限公司</t>
  </si>
  <si>
    <t>混凝土总额</t>
  </si>
  <si>
    <t xml:space="preserve">工程名称：    XXX项目                   </t>
  </si>
  <si>
    <t>机械名称及型号</t>
  </si>
  <si>
    <t>天数</t>
  </si>
  <si>
    <t>塔吊</t>
  </si>
  <si>
    <t>塔吊7020</t>
  </si>
  <si>
    <t>塔吊司机</t>
  </si>
  <si>
    <t>塔吊指挥</t>
  </si>
  <si>
    <t>塔吊7020进出场及安拆费</t>
  </si>
  <si>
    <t>/</t>
  </si>
  <si>
    <t>塔吊基础混凝土</t>
  </si>
  <si>
    <t>塔吊基础钢筋</t>
  </si>
  <si>
    <t>塔吊基础混凝土人工</t>
  </si>
  <si>
    <t>塔吊基础钢筋人工</t>
  </si>
  <si>
    <t>施工电梯</t>
  </si>
  <si>
    <t>SC200/200、100-150米租赁费</t>
  </si>
  <si>
    <t>电梯司机</t>
  </si>
  <si>
    <t>SC200/200、100-150米进出场安拆费用</t>
  </si>
  <si>
    <t>电梯基础混凝土</t>
  </si>
  <si>
    <t>电梯基础钢筋</t>
  </si>
  <si>
    <t>电梯基础混凝土人工</t>
  </si>
  <si>
    <t>电梯基础钢筋人工</t>
  </si>
  <si>
    <t>泵送费</t>
  </si>
  <si>
    <t>小型机械费用</t>
  </si>
  <si>
    <t>施工水电费</t>
  </si>
  <si>
    <t xml:space="preserve">工程名称： XXX项目                      </t>
  </si>
  <si>
    <t>土石方工程</t>
  </si>
  <si>
    <t>挖一般土方</t>
  </si>
  <si>
    <t>挖基坑土方</t>
  </si>
  <si>
    <t>石方破除</t>
  </si>
  <si>
    <t>余方弃置</t>
  </si>
  <si>
    <t>场内取土回填</t>
  </si>
  <si>
    <t>场外取土回填</t>
  </si>
  <si>
    <t>场外取土回填(群楼、塔楼屋面)</t>
  </si>
  <si>
    <t>管理费</t>
  </si>
  <si>
    <t>利润</t>
  </si>
  <si>
    <t>幕墙工程</t>
  </si>
  <si>
    <t>铝合金格栅幕墙</t>
  </si>
  <si>
    <t>(1)立面铝合金格栅_x000D_
(2)铝合金表面做法:可见部分表面氟碳喷涂，不可见部分采用阳极氧化处理_x000D_
(3)综合单价包括面层、骨架、铝合金挂件、M6铝种钉和不锈钢弹簧垫圈@300mm、结构胶、胶带、阳极氧化角铝等费用综合考虑等所有费用_x000D_
(4)工程量计算规则:按设计图示尺寸以正立面投影面积计算_x000D_
(5)图纸位置;塔楼屋面，裙楼图F4014，F3012，F2001~05-EL(裙房),F3001~03-PE(裙房)_x000D_
(6)满足设计图纸、相关规范、招标文件及技术要求_x000D_
(7)建筑物超高增加费</t>
  </si>
  <si>
    <t>铝单板幕墙</t>
  </si>
  <si>
    <t>(1)2.5mm厚铝单板(氟碳三涂，颜色综合考虑)_x000D_
(2)综合单价包括面层、骨架、连接件等所有费用_x000D_
(3)工程量计算规则:按设计图示尺寸以可见光铝板展开面积计算_x000D_
(4)满足设计图纸、相关规范、招标文件及技术要求_x000D_
(5)建筑物超高增加费</t>
  </si>
  <si>
    <t>穿孔铝板幕墙一</t>
  </si>
  <si>
    <t>(1)4mm厚穿孔铝板(粉末喷涂，颜色综合考虑)_x000D_
(2)综合单价包括面层、骨架、连接件等所有费用_x000D_
(3)工程量计算规则:按设计图示尺寸以可见光铝板展开面积计算_x000D_
(4)满足设计图纸、相关规范、招标文件及技术要求_x000D_
(5)建筑物超高增加费</t>
  </si>
  <si>
    <t>穿孔铝板幕墙二</t>
  </si>
  <si>
    <t>(1)2mm厚穿孔铝板，穿孔率10%(粉末喷涂，颜色综合考虑)_x000D_
(2)综合单价包括面层、骨架、连接件等所有费用_x000D_
(3)满足设计图纸、相关规范、招标文件及技术要求_x000D_
(4)建筑物超高增加费</t>
  </si>
  <si>
    <t>铝合金格栅雨棚</t>
  </si>
  <si>
    <t>(1)铝合金型材格栅雨棚_x000D_
(2)铝合金表面做法:可见部分表面氟碳喷涂，不可见部分采用阳极氧化处理_x000D_
(3)综合单价包括面层、骨架、铝合金挂件、M6铝种钉和不锈钢弹簧垫圈@300mm、结构胶、胶带、阳极氧化角铝等费用综合考虑_x000D_
(4)详雨棚图纸F3006,及个节点大样_x000D_
(5)满足设计图纸、相关规范、招标文件及技术要求_x000D_
(6)建筑物超高增加费</t>
  </si>
  <si>
    <t>不锈钢水槽</t>
  </si>
  <si>
    <t>(1)2mm厚316不锈钢板_x000D_
(2)工程量计算规则:按设计图示尺寸以展开面积计算_x000D_
(3)详雨棚图纸F3006,及个节点大样_x000D_
(4)满足设计图纸、相关规范、招标文件及技术要求_x000D_
(5)建筑物超高增加费</t>
  </si>
  <si>
    <t>铝合金格栅吊顶</t>
  </si>
  <si>
    <t>(1)架空层吊顶,铝合金格栅 A15、A16_x000D_
(2)铝合金表面做法:可见部分表面氟碳喷涂，不可见部分采用阳极氧化处理_x000D_
(3)图纸:F1019~1023-PL(吊顶)，大样图F4029_x000D_
(4)钢骨架:100x50x5mm方管, 氟碳喷涂(深色)转接件间距@3000mm；120x60x4mm方管@1200mm, 氟碳喷涂(深色)_x000D_
(5)满足设计图纸、相关规范、招标文件及技术要求_x000D_
(6)建筑物超高增加费</t>
  </si>
  <si>
    <t>石材幕墙</t>
  </si>
  <si>
    <t>(1)30mm厚大理石，6面防护处理_x000D_
(2)综合单价包括面层、热镀锌钢骨架、铝合金挂件、石材背栓件、连接件、螺栓、防火隔离带封堵、保温棉、嵌缝塞缝防水、防雷接地、石材加工防护费(石材磨边、倒角、切割、拼接、背筋、六面防水防污防腐、养护等)等除所有费用_x000D_
(3)满足设计图纸、相关规范、招标文件及技术要求_x000D_
(4)建筑物超高增加费</t>
  </si>
  <si>
    <t>铝合金装饰线一</t>
  </si>
  <si>
    <t>(1)铝合金装饰线条 A4_x000D_
(2)铝合金表面做法:可见部分表面氟碳喷涂，不可见部分采用阳极氧化处理_x000D_
(3)图纸:大样图F4006_x000D_
(4)M8后扩底锚栓两颗一组@650mm_x000D_
(5)75x50x4mm热镀锌角钢L=110mm@650mm_x000D_
(6)泡沫棒&amp;密封胶_x000D_
(7)满足设计图纸、相关规范、招标文件及技术要求_x000D_
(8)建筑物超高增加费</t>
  </si>
  <si>
    <t>m</t>
  </si>
  <si>
    <t>铝合金装饰线二</t>
  </si>
  <si>
    <t>(1)铝合金装饰线条 A6_x000D_
(2)铝合金表面做法:可见部分表面氟碳喷涂，不可见部分采用阳极氧化处理_x000D_
(3)图纸:大样图F3005_x000D_
(4)满足设计图纸、相关规范、招标文件及技术要求_x000D_
(5)建筑物超高增加费</t>
  </si>
  <si>
    <t>裙楼首层玻璃幕墙</t>
  </si>
  <si>
    <t>(1)玻璃幕墙(含地弹门)_x000D_
(2)断热铝合金+较低透光Low-E中空玻璃6+12A+6，含弧形玻璃_x000D_
(3)铝合金表面做法:可见部分表面氟碳喷涂，不可见部分采用阳极氧化处理_x000D_
(4)含全部五金配件_x000D_
(5)综合单价包括面层、骨架、结构胶、密封胶等费用综合考虑等所有费用_x000D_
(6)工程量计算规则:按设计图示框外围尺寸计算_x000D_
(7)满足设计图纸、相关规范、招标文件及技术要求_x000D_
(8)建筑物超高增加费</t>
  </si>
  <si>
    <t>预埋件</t>
  </si>
  <si>
    <t>(1)结构镀锌钢预埋件_x000D_
(2)预埋在主体结构，综合考虑_x000D_
(3)满足设计图纸、相关规范、招标文件及技术要求_x000D_
(4)建筑物超高增加费</t>
  </si>
  <si>
    <t>后置埋件</t>
  </si>
  <si>
    <t>(1)后置埋件_x000D_
(2)12mm厚热镀锌钢板300*250mm，M12后扩底不锈钢锚栓_x000D_
(3)因投标单位自身原因(如预埋件埋偏等)增加后置埋件不给予计算工程量_x000D_
(4)满足设计图纸、相关规范、招标文件及技术要求_x000D_
(5)建筑物超高增加费</t>
  </si>
  <si>
    <t>套</t>
  </si>
  <si>
    <t>门窗工程</t>
  </si>
  <si>
    <t>地下室</t>
  </si>
  <si>
    <t>甲级防火门</t>
  </si>
  <si>
    <t>1.1.1</t>
  </si>
  <si>
    <t>钢质防火门</t>
  </si>
  <si>
    <t>(1)甲级钢质防火门，FM甲0619_x000D_
(2)尺寸：600x1900_x000D_
(3)含控制箱、闭门器、顺序器等全部不锈钢五金配件安装_x000D_
(4)前室、合用前室以及楼梯间的防火门须带视口_x000D_
(5)满足设计图纸、相关规范、招标文件及技术要求</t>
  </si>
  <si>
    <t>樘</t>
  </si>
  <si>
    <t>1.1.2</t>
  </si>
  <si>
    <t>(1)甲级钢质防火门，FM甲0821_x000D_
(2)尺寸：800x2100_x000D_
(3)含控制箱、闭门器、顺序器等全部不锈钢五金配件安装_x000D_
(4)前室、合用前室以及楼梯间的防火门须带视口_x000D_
(5)满足设计图纸、相关规范、招标文件及技术要求</t>
  </si>
  <si>
    <t>1.1.3</t>
  </si>
  <si>
    <t>(1)甲级钢质防火门，FM甲10a21_x000D_
(2)尺寸：1100x2100_x000D_
(3)含控制箱、闭门器、顺序器等全部不锈钢五金配件安装_x000D_
(4)前室、合用前室以及楼梯间的防火门须带视口_x000D_
(5)满足设计图纸、相关规范、招标文件及技术要求</t>
  </si>
  <si>
    <t>1.1.4</t>
  </si>
  <si>
    <t>(1)甲级钢质防火门，FM甲1521_x000D_
(2)尺寸：1500x2100_x000D_
(3)含控制箱、闭门器、顺序器等全部不锈钢五金配件安装_x000D_
(4)前室、合用前室以及楼梯间的防火门须带视口_x000D_
(5)满足设计图纸、相关规范、招标文件及技术要求</t>
  </si>
  <si>
    <t>乙级防火门</t>
  </si>
  <si>
    <t>1.2.1</t>
  </si>
  <si>
    <t>(1)乙级钢质防火门，FM乙10a21_x000D_
(2)尺寸：1100x2100_x000D_
(3)含控制箱、闭门器、顺序器等全部不锈钢五金配件安装_x000D_
(4)前室、合用前室以及楼梯间的防火门须带视口_x000D_
(5)满足设计图纸、相关规范、招标文件及技术要求</t>
  </si>
  <si>
    <t>1.2.2</t>
  </si>
  <si>
    <t>(1)乙级钢质防火门，FM乙1220_x000D_
(2)尺寸：1200x2000_x000D_
(3)含控制箱、闭门器、顺序器等全部不锈钢五金配件安装_x000D_
(4)前室、合用前室以及楼梯间的防火门须带视口_x000D_
(5)满足设计图纸、相关规范、招标文件及技术要求</t>
  </si>
  <si>
    <t>1.2.3</t>
  </si>
  <si>
    <t>(1)乙级钢质防火门，FM乙1221_x000D_
(2)尺寸：1200x2100_x000D_
(3)含控制箱、闭门器、顺序器等全部不锈钢五金配件安装_x000D_
(4)前室、合用前室以及楼梯间的防火门须带视口_x000D_
(5)满足设计图纸、相关规范、招标文件及技术要求</t>
  </si>
  <si>
    <t>1.2.4</t>
  </si>
  <si>
    <t>(1)乙级钢质防火门，FM乙1521(无障碍、常开)_x000D_
(2)尺寸：1500x2100_x000D_
(3)含控制箱、闭门器、顺序器等全部不锈钢五金配件安装_x000D_
(4)前室、合用前室以及楼梯间的防火门须带视口_x000D_
(5)满足设计图纸、相关规范、招标文件及技术要求</t>
  </si>
  <si>
    <t>丙级防火门</t>
  </si>
  <si>
    <t>1.3.1</t>
  </si>
  <si>
    <t>(1)丙级钢质防火门，FM丙0619_x000D_
(2)尺寸：600x1900_x000D_
(3)含控制箱、闭门器、顺序器等全部不锈钢五金配件安装_x000D_
(4)满足设计图纸、相关规范、招标文件及技术要求</t>
  </si>
  <si>
    <t>1.3.2</t>
  </si>
  <si>
    <t>(1)丙级钢质防火门，FM丙1219_x000D_
(2)尺寸：1200x1900_x000D_
(3)含控制箱、闭门器、顺序器等全部不锈钢五金配件安装_x000D_
(4)满足设计图纸、相关规范、招标文件及技术要求</t>
  </si>
  <si>
    <t>甲级防火窗</t>
  </si>
  <si>
    <t>1.4.1</t>
  </si>
  <si>
    <t>金属防火窗</t>
  </si>
  <si>
    <t>(1)甲级防火窗，FC甲1015_x000D_
(2)尺寸：1000x1500_x000D_
(3)防火玻璃，含全部不锈钢五金配件安装_x000D_
(4)满足设计图纸、相关规范、招标文件及技术要求</t>
  </si>
  <si>
    <t>1.4.2</t>
  </si>
  <si>
    <t>(1)甲级防火窗，FC甲1515_x000D_
(2)尺寸：1500x1500_x000D_
(3)防火玻璃，含全部不锈钢五金配件安装_x000D_
(4)满足设计图纸、相关规范、招标文件及技术要求</t>
  </si>
  <si>
    <t>特级防火卷帘</t>
  </si>
  <si>
    <t>1.5.1</t>
  </si>
  <si>
    <t>防火卷帘(闸)门</t>
  </si>
  <si>
    <t>(1)特级防火卷帘 TFJM4525(侧装)_x000D_
(2)尺寸:4500*2500mm_x000D_
(3)含所有五金、卷帘箱、按钮盒及控制箱等所有配件_x000D_
(4)包括门洞封堵及收边收口_x000D_
(5)满足设计图纸、相关规范、招标文件及技术要求</t>
  </si>
  <si>
    <t>1.5.2</t>
  </si>
  <si>
    <t>(1)特级防火卷帘 TFJM5025(侧装)_x000D_
(2)尺寸:5000*2500mm_x000D_
(3)含所有五金、卷帘箱、按钮盒及控制箱等所有配件_x000D_
(4)包括门洞封堵及收边收口_x000D_
(5)满足设计图纸、相关规范、招标文件及技术要求</t>
  </si>
  <si>
    <t>1.5.3</t>
  </si>
  <si>
    <t>入户大堂门联窗</t>
  </si>
  <si>
    <t>1.5.4</t>
  </si>
  <si>
    <t>(1)门联窗MLC4627，6+9A+6中空钢化玻璃_x000D_
(2)尺寸:4600*2700mm_x000D_
(3)含全部五金配件_x000D_
(4)采用55系列铝合金型材窗,90系列铝合金型材门_x000D_
(5)铝合金表面做法：可见部分氟碳喷涂，不可见部分采用阳极氧化处理_x000D_
(6)工程量计算规则:设计图示洞口尺寸面积计算_x000D_
(7)满足设计图纸、相关规范、招标文件及技术要求</t>
  </si>
  <si>
    <t>1.5.5</t>
  </si>
  <si>
    <t>(1)门联窗MLC4727，6+9A+6中空钢化玻璃_x000D_
(2)尺寸:4700*2700mm_x000D_
(3)含全部五金配件_x000D_
(4)采用55系列铝合金型材窗,90系列铝合金型材门_x000D_
(5)铝合金表面做法：可见部分氟碳喷涂，不可见部分采用阳极氧化处理_x000D_
(6)工程量计算规则:设计图示洞口尺寸面积计算_x000D_
(7)满足设计图纸、相关规范、招标文件及技术要求</t>
  </si>
  <si>
    <t>1.5.6</t>
  </si>
  <si>
    <t>百叶窗</t>
  </si>
  <si>
    <t>1.5.7</t>
  </si>
  <si>
    <t>铝合金防雨百叶</t>
  </si>
  <si>
    <t>(1)铝合金防雨百叶_x000D_
(2)铝合金表面做法：可见部分氟碳喷涂，不可见部分采用阳极氧化处理_x000D_
(3)工程量计算规则:设计图示洞口尺寸面积计算_x000D_
(4)满足设计图纸、相关规范、招标文件及技术要求</t>
  </si>
  <si>
    <t>裙楼（一层）</t>
  </si>
  <si>
    <t>2.1.1</t>
  </si>
  <si>
    <t>(1)甲级钢质防火门，FM甲1221_x000D_
(2)尺寸:1200x2100_x000D_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</si>
  <si>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2.1.2</t>
  </si>
  <si>
    <t>(1)甲级钢质防火门，FM甲0615_x000D_
(2)尺寸:600x1500_x000D_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</si>
  <si>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2.2.1</t>
  </si>
  <si>
    <t>(1)乙级钢质防火门，FM乙1121_x000D_
(2)尺寸:1100x2100_x000D_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</si>
  <si>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2.2.2</t>
  </si>
  <si>
    <t>(1)乙级钢质防火门，FM乙12a21_x000D_
(2)尺寸:1250x2100_x000D_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</si>
  <si>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2.2.3</t>
  </si>
  <si>
    <t>(1)乙级钢质防火门，FM乙0619_x000D_
(2)尺寸:600x1900_x000D_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</si>
  <si>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2.2.4</t>
  </si>
  <si>
    <t>(1)乙级钢质防火门，FM乙10a21_x000D_
(2)尺寸:1000x2100_x000D_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</si>
  <si>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2.2.5</t>
  </si>
  <si>
    <t>(1)乙级钢质防火门，FM乙1219_x000D_
(2)尺寸:1200x1900_x000D_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</si>
  <si>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2.2.6</t>
  </si>
  <si>
    <t>(1)乙级钢质防火门，FM乙1322_x000D_
(2)尺寸:1300x2200_x000D_
(3)含控制箱、闭门器、顺序器等全部不锈钢五金配件安装_x000D_
(4)前室、合用前室以及楼梯间的防火门须带视口_x000D_
(5)满足设计图纸、相关规范、招标文件及技术要求_x000D_
(6)建筑物超高增加费</t>
  </si>
  <si>
    <t>2.3.1</t>
  </si>
  <si>
    <t>(1)丙级钢质防火门，FM丙0619_x000D_
(2)尺寸：600x1900_x000D_
(3)含控制箱、闭门器、顺序器等全部不锈钢五金配件安装_x000D_
(4)满足设计图纸、相关规范、招标文件及技术要求_x000D_
(5)建筑物超高增加费</t>
  </si>
  <si>
    <t>普通木门带套</t>
  </si>
  <si>
    <t>2.4.1</t>
  </si>
  <si>
    <t>(1)普通木门 M0921_x000D_
(2)尺寸：900x2100_x000D_
(3)门框、扇材质:成品单开普通门（含全部五金配件及安装）_x000D_
(4)满足设计图纸、相关规范、招标文件及其技术要求_x000D_
(5)建筑物超高增加费</t>
  </si>
  <si>
    <t>2.4.2</t>
  </si>
  <si>
    <t>(1)普通木门 LM0930，上部为窗，具体详大样_x000D_
(2)尺寸：900x3100_x000D_
(3)门框、扇材质:成品单开普通门（含全部五金配件及安装）_x000D_
(4)满足设计图纸、相关规范、招标文件及其技术要求_x000D_
(5)建筑物超高增加费</t>
  </si>
  <si>
    <t>2.4.3</t>
  </si>
  <si>
    <t>(1)普通木门 LM1130 无障碍门，上部为窗，具体详大样_x000D_
(2)尺寸：1100x3100_x000D_
(3)门框、扇材质:成品单开普通门（含全部五金配件及安装）_x000D_
(4)满足设计图纸、相关规范、招标文件及其技术要求_x000D_
(5)建筑物超高增加费</t>
  </si>
  <si>
    <t>2.4.4</t>
  </si>
  <si>
    <t>(1)普通木门 M0821_x000D_
(2)尺寸：800x2100_x000D_
(3)门框、扇材质:成品单开普通门（含全部五金配件及安装）_x000D_
(4)满足设计图纸、相关规范、招标文件及其技术要求_x000D_
(5)建筑物超高增加费</t>
  </si>
  <si>
    <t>2.4.5</t>
  </si>
  <si>
    <t>(1)普通木门 M1221 无障碍门_x000D_
(2)尺寸：1200x2100_x000D_
(3)门框、扇材质:成品双开普通门（含全部五金配件及安装）_x000D_
(4)满足设计图纸、相关规范、招标文件及其技术要求_x000D_
(5)建筑物超高增加费</t>
  </si>
  <si>
    <t>2.4.6</t>
  </si>
  <si>
    <t>(1)普通木门 LM1521_x000D_
(2)尺寸：1500x2100_x000D_
(3)门框、扇材质:成品双开普通门（含全部五金配件及安装）_x000D_
(4)满足设计图纸、相关规范、招标文件及其技术要求_x000D_
(5)建筑物超高增加费</t>
  </si>
  <si>
    <t>2.4.7</t>
  </si>
  <si>
    <t>(1)普通木门 M10a21_x000D_
(2)尺寸：1050x2100_x000D_
(3)门框、扇材质:成品单开普通门（含全部五金配件及安装）_x000D_
(4)满足设计图纸、相关规范、招标文件及其技术要求_x000D_
(5)建筑物超高增加费</t>
  </si>
  <si>
    <t>卷帘门</t>
  </si>
  <si>
    <t>2.5.1</t>
  </si>
  <si>
    <t>金属卷帘(闸)门</t>
  </si>
  <si>
    <t>(1)卷帘门 JLM2255_x000D_
(2)尺寸:2200*5500mm_x000D_
(3)含所有五金、卷帘箱、按钮盒及控制箱等所有配件_x000D_
(4)包括门洞封堵及收边收口_x000D_
(5)满足设计图纸、相关规范、招标文件及技术要求_x000D_
(6)建筑物超高增加费</t>
  </si>
  <si>
    <t>2.5.2</t>
  </si>
  <si>
    <t>(1)卷帘门 JLM4455_x000D_
(2)尺寸:4500*5500mm_x000D_
(3)含所有五金、卷帘箱、按钮盒及控制箱等所有配件_x000D_
(4)包括门洞封堵及收边收口_x000D_
(5)满足设计图纸、相关规范、招标文件及技术要求_x000D_
(6)建筑物超高增加费</t>
  </si>
  <si>
    <t>2.5.3</t>
  </si>
  <si>
    <t>(1)卷帘门 JLM4055_x000D_
(2)尺寸:4000*5500mm_x000D_
(3)含所有五金、卷帘箱、按钮盒及控制箱等所有配件_x000D_
(4)包括门洞封堵及收边收口_x000D_
(5)满足设计图纸、相关规范、招标文件及技术要求_x000D_
(6)建筑物超高增加费</t>
  </si>
  <si>
    <t>断热铝合金窗</t>
  </si>
  <si>
    <t>2.6.1</t>
  </si>
  <si>
    <t>(1)铝合金窗，断热铝合金窗+较低透光Low-E中空玻璃(6+12A+6)_x000D_
(2)含全部五金配件安装_x000D_
(3)55系列铝合金型材窗_x000D_
(4)铝合金表面做法：可见部分氟碳喷涂，不可见部分采用阳极氧化处理_x000D_
(5)含完成门窗所有工序的费用(如防水密封胶、胶条、收边收口等)_x000D_
(6)工程量计算规则:设计图示洞口尺寸面积计算_x000D_
(7)满足设计图纸、相关规范、招标文件及技术要求_x000D_
(8)建筑物超高增加费</t>
  </si>
  <si>
    <t>2.6.2</t>
  </si>
  <si>
    <t>断热铝合金固定窗</t>
  </si>
  <si>
    <t>(1)铝合金固定窗，断热铝合金窗+较低透光Low-E中空玻璃(6+12A+6)_x000D_
(2)55系列铝合金型材窗_x000D_
(3)铝合金表面做法:可见部分氟碳喷涂，不可见部分采用阳极氧化处理_x000D_
(4)含完成门窗所有工序的费用(如防水密封胶、胶条、收边收口等)_x000D_
(5)工程量计算规则:设计图示洞口尺寸面积计算_x000D_
(6)满足设计图纸、相关规范、招标文件及技术要求_x000D_
(7)建筑物超高增加费</t>
  </si>
  <si>
    <t>门联窗</t>
  </si>
  <si>
    <t>2.7.1</t>
  </si>
  <si>
    <t>(1)门联窗LMC6439，6+12A+6中空钢化玻璃_x000D_
(2)尺寸:6400*3900mm_x000D_
(3)含全部五金配件_x000D_
(4)采用55系列铝合金型材窗,90系列铝合金型材门_x000D_
(5)铝合金表面做法:可见部分氟碳喷涂，不可见部分采用阳极氧化处理_x000D_
(6)工程量计算规则:设计图示洞口尺寸面积计算_x000D_
(7)满足设计图纸、相关规范、招标文件及技术要求_x000D_
(8)建筑物超高增加费</t>
  </si>
  <si>
    <t>2.7.2</t>
  </si>
  <si>
    <t>(1)门联窗LMC5239，6+12A+6中空钢化玻璃_x000D_
(2)尺寸:5200*3900mm_x000D_
(3)含全部五金配件_x000D_
(4)采用55系列铝合金型材窗,90系列铝合金型材门_x000D_
(5)铝合金表面做法:可见部分氟碳喷涂，不可见部分采用阳极氧化处理_x000D_
(6)工程量计算规则:设计图示洞口尺寸面积计算_x000D_
(7)满足设计图纸、相关规范、招标文件及技术要求_x000D_
(8)建筑物超高增加费</t>
  </si>
  <si>
    <t>2.8.1</t>
  </si>
  <si>
    <t>铝合金普通百叶</t>
  </si>
  <si>
    <t>(1)铝合金普通百叶_x000D_
(2)后设防虫网_x000D_
(3)铝合金表面做法：可见部分氟碳喷涂，不可见部分采用阳极氧化处理_x000D_
(4)工程量计算规则:设计图示洞口尺寸面积计算_x000D_
(5)满足设计图纸、相关规范、招标文件及技术要求_x000D_
(6)建筑物超高增加费</t>
  </si>
  <si>
    <t>2.8.2</t>
  </si>
  <si>
    <t>(1)铝合金防雨百叶_x000D_
(2)后设防虫网_x000D_
(3)铝合金表面做法：可见部分氟碳喷涂，不可见部分采用阳极氧化处理_x000D_
(4)工程量计算规则:设计图示洞口尺寸面积计算_x000D_
(5)满足设计图纸、相关规范、招标文件及技术要求_x000D_
(6)建筑物超高增加费</t>
  </si>
  <si>
    <t>1#塔楼</t>
  </si>
  <si>
    <t>3.1.1</t>
  </si>
  <si>
    <t>(1)甲级钢质防火门，FM甲10a22_x000D_
(2)尺寸：1050x2200_x000D_
(3)含控制箱、闭门器、顺序器等全部不锈钢五金配件安装_x000D_
(4)楼梯间门、防火门均带视口_x000D_
(5)满足设计图纸、相关规范、招标文件及技术要求_x000D_
(6)建筑物超高增加费</t>
  </si>
  <si>
    <t>3.1.2</t>
  </si>
  <si>
    <t>(1)甲级钢质防火门，FM甲1218_x000D_
(2)尺寸：1200x1800_x000D_
(3)含控制箱、闭门器、顺序器等全部不锈钢五金配件安装_x000D_
(4)楼梯间门、防火门均带视口_x000D_
(5)满足设计图纸、相关规范、招标文件及技术要求_x000D_
(6)建筑物超高增加费</t>
  </si>
  <si>
    <t>3.1.3</t>
  </si>
  <si>
    <t>(1)甲级钢质防火门，FM甲1221_x000D_
(2)尺寸：1200x2100_x000D_
(3)含控制箱、闭门器、顺序器等全部不锈钢五金配件安装_x000D_
(4)楼梯间门、防火门均带视口_x000D_
(5)满足设计图纸、相关规范、招标文件及技术要求_x000D_
(6)建筑物超高增加费</t>
  </si>
  <si>
    <t>3.1.4</t>
  </si>
  <si>
    <t>(1)甲级钢质防火门，FM甲1222_x000D_
(2)尺寸：1200x2200_x000D_
(3)含控制箱、闭门器、顺序器等全部不锈钢五金配件安装_x000D_
(4)楼梯间门、防火门均带视口_x000D_
(5)满足设计图纸、相关规范、招标文件及技术要求_x000D_
(6)建筑物超高增加费</t>
  </si>
  <si>
    <t>3.2.1</t>
  </si>
  <si>
    <t>(1)乙级钢质防火门，FM乙0619_x000D_
(2)尺寸：600x1900_x000D_
(3)含控制箱、闭门器、顺序器等全部不锈钢五金配件安装_x000D_
(4)楼梯间门、防火门均带视口_x000D_
(5)满足设计图纸、相关规范、招标文件及技术要求_x000D_
(6)建筑物超高增加费</t>
  </si>
  <si>
    <t>3.2.2</t>
  </si>
  <si>
    <t>(1)乙级钢质防火门，FM乙10a21_x000D_
(2)尺寸：1050x2100_x000D_
(3)含控制箱、闭门器、顺序器等全部不锈钢五金配件安装_x000D_
(4)楼梯间门、防火门均带视口_x000D_
(5)满足设计图纸、相关规范、招标文件及技术要求_x000D_
(6)建筑物超高增加费</t>
  </si>
  <si>
    <t>3.2.3</t>
  </si>
  <si>
    <t>(1)乙级钢质防火门，FM乙10a22_x000D_
(2)尺寸：1050x2200_x000D_
(3)含控制箱、闭门器、顺序器等全部不锈钢五金配件安装_x000D_
(4)楼梯间门、防火门均带视口_x000D_
(5)满足设计图纸、相关规范、招标文件及技术要求_x000D_
(6)建筑物超高增加费</t>
  </si>
  <si>
    <t>3.2.4</t>
  </si>
  <si>
    <t>(1)乙级钢质防火门，FM乙1219_x000D_
(2)尺寸：1200x1900_x000D_
(3)含控制箱、闭门器、顺序器等全部不锈钢五金配件安装_x000D_
(4)楼梯间门、防火门均带视口_x000D_
(5)满足设计图纸、相关规范、招标文件及技术要求_x000D_
(6)建筑物超高增加费</t>
  </si>
  <si>
    <t>3.2.5</t>
  </si>
  <si>
    <t>(1)乙级钢质防火门，FM乙1322_x000D_
(2)尺寸：1300x2200_x000D_
(3)含控制箱、闭门器、顺序器等全部不锈钢五金配件安装_x000D_
(4)楼梯间门、防火门均带视口_x000D_
(5)满足设计图纸、相关规范、招标文件及技术要求_x000D_
(6)建筑物超高增加费</t>
  </si>
  <si>
    <t>3.3.1</t>
  </si>
  <si>
    <t>3.3.2</t>
  </si>
  <si>
    <t>(1)丙级钢质防火门，FM丙1219_x000D_
(2)尺寸：1200x1900_x000D_
(3)含控制箱、闭门器、顺序器等全部不锈钢五金配件安装_x000D_
(4)满足设计图纸、相关规范、招标文件及技术要求_x000D_
(5)建筑物超高增加费</t>
  </si>
  <si>
    <t>无障碍防火门</t>
  </si>
  <si>
    <t>3.4.1</t>
  </si>
  <si>
    <t>(1)无障碍防火门，WFM乙1322_x000D_
(2)尺寸：1300x2200_x000D_
(3)含控制箱、闭门器、顺序器等全部不锈钢五金配件安装_x000D_
(4)满足设计图纸、相关规范、招标文件及技术要求_x000D_
(5)建筑物超高增加费</t>
  </si>
  <si>
    <t>钢制金属门</t>
  </si>
  <si>
    <t>3.5.1</t>
  </si>
  <si>
    <t>(1)金属门，带视口钢制门，LM1222_x000D_
(2)尺寸：1200x2200_x000D_
(3)含控制箱、闭门器、顺序器等全部不锈钢五金配件安装_x000D_
(4)满足设计图纸、相关规范、招标文件及技术要求_x000D_
(5)建筑物超高增加费</t>
  </si>
  <si>
    <t>3.5.2</t>
  </si>
  <si>
    <t>(1)金属门，带视口钢制门，LM10a22_x000D_
(2)尺寸：1050x2200_x000D_
(3)含控制箱、闭门器、顺序器等全部不锈钢五金配件安装_x000D_
(4)满足设计图纸、相关规范、招标文件及技术要求_x000D_
(5)建筑物超高增加费</t>
  </si>
  <si>
    <t>防火窗、防火转角窗</t>
  </si>
  <si>
    <t>3.6.1</t>
  </si>
  <si>
    <t>防火窗</t>
  </si>
  <si>
    <t>(1)乙级防火窗、乙级防火固定窗_x000D_
(2)防火玻璃，含全部五金配件安装_x000D_
(3)满足设计图纸、相关规范、招标文件及技术要求_x000D_
(4)建筑物超高增加费</t>
  </si>
  <si>
    <t>3.6.2</t>
  </si>
  <si>
    <t>防火窗 转角</t>
  </si>
  <si>
    <t>(1)乙级防火转角窗_x000D_
(2)防火玻璃，含全部五金配件安装_x000D_
(3)满足设计图纸、相关规范、招标文件及技术要求_x000D_
(4)建筑物超高增加费</t>
  </si>
  <si>
    <t>阳台断热铝合金推拉门</t>
  </si>
  <si>
    <t>3.7.1</t>
  </si>
  <si>
    <t>(1)阳台断热铝合金推拉门_x000D_
(2)隔热铝合金窗框+（6+12A+6）中空三银low-e玻璃_x000D_
(3)含全部五金配件_x000D_
(4)采用90系列铝合金型材门_x000D_
(5)铝合金表面做法:可见部分氟碳喷涂，不可见部分采用阳极氧化处理_x000D_
(6)工程量计算规则:设计图示洞口尺寸面积计算_x000D_
(7)满足设计图纸、相关规范、招标文件及技术要求_x000D_
(8)建筑物超高增加费</t>
  </si>
  <si>
    <t>断热/隔热铝合金窗</t>
  </si>
  <si>
    <t>3.8.1</t>
  </si>
  <si>
    <t>(1)铝合金窗_x000D_
(2)断热铝合金窗框+6+1.52pvb+6+12a+6中空夹胶玻璃_x000D_
(3)含全部五金配件_x000D_
(4)采用55系列铝合金型材窗_x000D_
(5)铝合金表面做法:可见部分氟碳喷涂，不可见部分采用阳极氧化处理_x000D_
(6)工程量计算规则:设计图示洞口尺寸面积计算_x000D_
(7)满足设计图纸、相关规范、招标文件及技术要求_x000D_
(8)建筑物超高增加费</t>
  </si>
  <si>
    <t>3.8.2</t>
  </si>
  <si>
    <t>隔热铝合金窗</t>
  </si>
  <si>
    <t>(1)铝合金窗_x000D_
(2)隔热金属型材+三银Low-e玻璃_x000D_
(3)含全部五金配件_x000D_
(4)采用55系列铝合金型材窗_x000D_
(5)铝合金表面做法:可见部分氟碳喷涂，不可见部分采用阳极氧化处理_x000D_
(6)工程量计算规则:设计图示洞口尺寸面积计算_x000D_
(7)满足设计图纸、相关规范、招标文件及技术要求_x000D_
(8)建筑物超高增加费</t>
  </si>
  <si>
    <t>3.8.3</t>
  </si>
  <si>
    <t>断热铝合金凸窗</t>
  </si>
  <si>
    <t>3.8.4</t>
  </si>
  <si>
    <t>隔热铝合金固定窗</t>
  </si>
  <si>
    <t>(1)固定窗_x000D_
(2)隔热铝合金窗框+(6+12A+6)中空三银low-e玻璃_x000D_
(3)采用55系列铝合金型材窗_x000D_
(4)铝合金表面做法:可见部分氟碳喷涂，不可见部分采用阳极氧化处理_x000D_
(5)工程量计算规则:设计图示洞口尺寸面积计算_x000D_
(6)满足设计图纸、相关规范、招标文件及技术要求_x000D_
(7)建筑物超高增加费</t>
  </si>
  <si>
    <t>3.9.1</t>
  </si>
  <si>
    <t>3.9.2</t>
  </si>
  <si>
    <t>铝合金空调百叶</t>
  </si>
  <si>
    <t>(1)铝合金空调百叶_x000D_
(2)铝合金表面做法：可见部分氟碳喷涂，不可见部分采用阳极氧化处理_x000D_
(3)工程量计算规则:设计图示洞口尺寸面积计算_x000D_
(4)满足设计图纸、相关规范、招标文件及技术要求_x000D_
(5)建筑物超高增加费</t>
  </si>
  <si>
    <t>2#塔楼</t>
  </si>
  <si>
    <t>(1)甲级钢质防火门，FM甲10a18_x000D_
(2)尺寸：1050*1800_x000D_
(3)含控制箱、闭门器、顺序器等全部不锈钢五金配件安装_x000D_
(4)楼梯间门、防火门均带视口_x000D_
(5)满足设计图纸、相关规范、招标文件及技术要求_x000D_
(6)建筑物超高增加费</t>
  </si>
  <si>
    <t>(1)甲级钢质防火门，FM甲0615
(2)尺寸：600x1500
(3)含控制箱、闭门器、顺序器等全部不锈钢五金配件安装
(4)楼梯间门、防火门均带视口
(5)满足设计图纸、相关规范、招标文件及技术要求
(6)建筑物超高增加费</t>
  </si>
  <si>
    <t>(1)无障碍防火门，WFM10a22_x000D_
(2)尺寸：1050x2200_x000D_
(3)含控制箱、闭门器、顺序器等全部不锈钢五金配件安装_x000D_
(4)满足设计图纸、相关规范、招标文件及技术要求_x000D_
(5)建筑物超高增加费</t>
  </si>
  <si>
    <t>金属门</t>
  </si>
  <si>
    <t>(1)铝合金窗_x000D_
(2)隔热铝合金窗框+6+12a+6中空玻璃_x000D_
(3)含全部五金配件_x000D_
(4)采用55系列铝合金型材窗_x000D_
(5)铝合金表面做法:可见部分氟碳喷涂，不可见部分采用阳极氧化处理_x000D_
(6)工程量计算规则:设计图示洞口尺寸面积计算_x000D_
(7)满足设计图纸、相关规范、招标文件及技术要求_x000D_
(8)建筑物超高增加费</t>
  </si>
  <si>
    <t>(1)固定窗_x000D_
(2)隔热铝合金窗框+(6+12A+6)中空三银low-e玻璃_x000D_
(3)含全部五金配件_x000D_
(4)采用55系列铝合金型材窗_x000D_
(5)铝合金表面做法:可见部分氟碳喷涂，不可见部分采用阳极氧化处理_x000D_
(6)工程量计算规则:设计图示洞口尺寸面积计算_x000D_
(7)满足设计图纸、相关规范、招标文件及技术要求_x000D_
(8)建筑物超高增加费</t>
  </si>
  <si>
    <t>标识工程</t>
  </si>
  <si>
    <t xml:space="preserve"> 园区标识</t>
  </si>
  <si>
    <t>楼体形象logo标识</t>
  </si>
  <si>
    <t>(1)类型:楼体形象logo标识_x000D_
(2)具体详见本项目标识系统招标设计方案_x000D_
(3)满足设计图纸、相关规范、招标文件及技术要求</t>
  </si>
  <si>
    <t>入口景观logo标识</t>
  </si>
  <si>
    <t>(1)类型:入口景观logo标识_x000D_
(2)具体详见本项目标识系统招标设计方案_x000D_
(3)满足设计图纸、相关规范、招标文件及技术要求</t>
  </si>
  <si>
    <t>人行指引牌</t>
  </si>
  <si>
    <t>(1)类型:人行指引牌_x000D_
(2)具体详见本项目标识系统招标设计方案_x000D_
(3)满足设计图纸、相关规范、招标文件及技术要求</t>
  </si>
  <si>
    <t>车行指引牌</t>
  </si>
  <si>
    <t>(1)类型:车行指引牌_x000D_
(2)具体详见本项目标识系统招标设计方案_x000D_
(3)满足设计图纸、相关规范、招标文件及技术要求</t>
  </si>
  <si>
    <t>非机动车停放标识</t>
  </si>
  <si>
    <t>(1)类型:非机动车停放标识_x000D_
(2)具体详见本项目标识系统招标设计方案_x000D_
(3)满足设计图纸、相关规范、招标文件及技术要求</t>
  </si>
  <si>
    <t>楼栋单元号</t>
  </si>
  <si>
    <t>(1)类型:楼栋单元号_x000D_
(2)具体详见本项目标识系统招标设计方案_x000D_
(3)满足设计图纸、相关规范、招标文件及技术要求</t>
  </si>
  <si>
    <t>消防通道标识</t>
  </si>
  <si>
    <t>(1)类型:消防通道标识_x000D_
(2)具体详见本项目标识系统招标设计方案_x000D_
(3)满足设计图纸、相关规范、招标文件及技术要求</t>
  </si>
  <si>
    <t>树木铭牌</t>
  </si>
  <si>
    <t>(1)类型:树木铭牌_x000D_
(2)具体详见本项目标识系统招标设计方案_x000D_
(3)满足设计图纸、相关规范、招标文件及技术要求</t>
  </si>
  <si>
    <t>温馨提醒标识</t>
  </si>
  <si>
    <t>(1)类型:温馨提醒标识_x000D_
(2)具体详见本项目标识系统招标设计方案_x000D_
(3)满足设计图纸、相关规范、招标文件及技术要求</t>
  </si>
  <si>
    <t>游乐区使用须知说明牌</t>
  </si>
  <si>
    <t>(1)类型:游乐区使用须知说明牌_x000D_
(2)具体详见本项目标识系统招标设计方案_x000D_
(3)满足设计图纸、相关规范、招标文件及技术要求</t>
  </si>
  <si>
    <t>户外宣传栏</t>
  </si>
  <si>
    <t>(1)类型:户外宣传栏_x000D_
(2)具体详见本项目标识系统招标设计方案_x000D_
(3)满足设计图纸、相关规范、招标文件及技术要求</t>
  </si>
  <si>
    <t>垃圾转运站标识</t>
  </si>
  <si>
    <t>(1)类型:垃圾转运站标识_x000D_
(2)具体详见本项目标识系统招标设计方案_x000D_
(3)满足设计图纸、相关规范、招标文件及技术要求</t>
  </si>
  <si>
    <t xml:space="preserve"> 室内标识</t>
  </si>
  <si>
    <t xml:space="preserve">房号指引标识_x000D_
</t>
  </si>
  <si>
    <t>(1)类型:房号指引标识_x000D_
(2)具体详见本项目标识系统招标设计方案_x000D_
(3)满足设计图纸、相关规范、招标文件及技术要求</t>
  </si>
  <si>
    <t>块</t>
  </si>
  <si>
    <t xml:space="preserve">电梯楼层号_x000D_
</t>
  </si>
  <si>
    <t>(1)类型:电梯楼层号_x000D_
(2)具体详见本项目标识系统招标设计方案_x000D_
(3)满足设计图纸、相关规范、招标文件及技术要求</t>
  </si>
  <si>
    <t xml:space="preserve">公告栏（大堂贴墙式）_x000D_
</t>
  </si>
  <si>
    <t>(1)类型:公告栏（大堂贴墙式）_x000D_
(2)具体详见本项目标识系统招标设计方案_x000D_
(3)满足设计图纸、相关规范、招标文件及技术要求</t>
  </si>
  <si>
    <t xml:space="preserve">门牌号_x000D_
</t>
  </si>
  <si>
    <t>(1)类型:门牌号_x000D_
(2)具体详见本项目标识系统招标设计方案_x000D_
(3)满足设计图纸、相关规范、招标文件及技术要求</t>
  </si>
  <si>
    <t xml:space="preserve">功能间门牌_x000D_
</t>
  </si>
  <si>
    <t>(1)类型:功能间门牌_x000D_
(2)具体详见本项目标识系统招标设计方案_x000D_
(3)满足设计图纸、相关规范、招标文件及技术要求</t>
  </si>
  <si>
    <t xml:space="preserve">消防栓_x000D_
</t>
  </si>
  <si>
    <t>(1)类型:消防栓_x000D_
(2)具体详见本项目标识系统招标设计方案_x000D_
(3)满足设计图纸、相关规范、招标文件及技术要求</t>
  </si>
  <si>
    <t xml:space="preserve">消防梯楼层号_x000D_
</t>
  </si>
  <si>
    <t>(1)类型:消防梯楼层号_x000D_
(2)具体详见本项目标识系统招标设计方案_x000D_
(3)满足设计图纸、相关规范、招标文件及技术要求</t>
  </si>
  <si>
    <t xml:space="preserve">消防疏散图_x000D_
</t>
  </si>
  <si>
    <t>(1)类型:消防疏散图_x000D_
(2)具体详见本项目标识系统招标设计方案_x000D_
(3)满足设计图纸、相关规范、招标文件及技术要求</t>
  </si>
  <si>
    <t xml:space="preserve">电梯名称标识_x000D_
</t>
  </si>
  <si>
    <t>(1)类型:电梯名称标识_x000D_
(2)具体详见本项目标识系统招标设计方案_x000D_
(3)满足设计图纸、相关规范、招标文件及技术要求</t>
  </si>
  <si>
    <t xml:space="preserve">防火门门牌_x000D_
</t>
  </si>
  <si>
    <t>(1)类型:防火门门牌_x000D_
(2)具体详见本项目标识系统招标设计方案_x000D_
(3)满足设计图纸、相关规范、招标文件及技术要求</t>
  </si>
  <si>
    <t xml:space="preserve">玻璃入口推\拉标识_x000D_
</t>
  </si>
  <si>
    <t>(1)类型:玻璃入口推\拉标识_x000D_
(2)具体详见本项目标识系统招标设计方案_x000D_
(3)满足设计图纸、相关规范、招标文件及技术要求</t>
  </si>
  <si>
    <t xml:space="preserve">火警警示标识_x000D_
</t>
  </si>
  <si>
    <t>(1)类型:火警警示标识_x000D_
(2)具体详见本项目标识系统招标设计方案_x000D_
(3)满足设计图纸、相关规范、招标文件及技术要求</t>
  </si>
  <si>
    <t xml:space="preserve">高空警示标识_x000D_
</t>
  </si>
  <si>
    <t>(1)类型:高空警示标识_x000D_
(2)具体详见本项目标识系统招标设计方案_x000D_
(3)满足设计图纸、相关规范、招标文件及技术要求</t>
  </si>
  <si>
    <t xml:space="preserve">物业服务中心标识_x000D_
</t>
  </si>
  <si>
    <t>(1)类型:物业服务中心标识_x000D_
(2)具体详见本项目标识系统招标设计方案_x000D_
(3)满足设计图纸、相关规范、招标文件及技术要求</t>
  </si>
  <si>
    <t xml:space="preserve">如遇火警，请勿乘坐电梯_x000D_
</t>
  </si>
  <si>
    <t>(1)类型:如遇火警，请勿乘坐电梯_x000D_
(2)具体详见本项目标识系统招标设计方案_x000D_
(3)满足设计图纸、相关规范、招标文件及技术要求</t>
  </si>
  <si>
    <t xml:space="preserve">电梯使用须知_x000D_
</t>
  </si>
  <si>
    <t>(1)类型:电梯使用须知_x000D_
(2)具体详见本项目标识系统招标设计方案_x000D_
(3)满足设计图纸、相关规范、招标文件及技术要求</t>
  </si>
  <si>
    <t xml:space="preserve">信报箱_x000D_
</t>
  </si>
  <si>
    <t>(1)类型:信报箱_x000D_
(2)具体详见本项目标识系统招标设计方案_x000D_
(3)满足设计图纸、相关规范、招标文件及技术要求</t>
  </si>
  <si>
    <t>户</t>
  </si>
  <si>
    <t xml:space="preserve"> 地库标识</t>
  </si>
  <si>
    <t xml:space="preserve">多项指示吊牌（大型）_x000D_
</t>
  </si>
  <si>
    <t>(1)类型:多项指示吊牌（大型）_x000D_
(2)具体详见本项目标识系统招标设计方案_x000D_
(3)满足设计图纸、相关规范、招标文件及技术要求</t>
  </si>
  <si>
    <t xml:space="preserve">楼栋标识_x000D_
</t>
  </si>
  <si>
    <t>(1)类型:楼栋标识_x000D_
(2)具体详见本项目标识系统招标设计方案_x000D_
(3)满足设计图纸、相关规范、招标文件及技术要求</t>
  </si>
  <si>
    <t xml:space="preserve">车库入口横牌（单出）_x000D_
</t>
  </si>
  <si>
    <t>(1)类型:车库入口横牌（单出）_x000D_
(2)具体详见本项目标识系统招标设计方案_x000D_
(3)满足设计图纸、相关规范、招标文件及技术要求</t>
  </si>
  <si>
    <t xml:space="preserve">车库入口横牌（单进）_x000D_
</t>
  </si>
  <si>
    <t>(1)类型:车库入口横牌（单进）_x000D_
(2)具体详见本项目标识系统招标设计方案_x000D_
(3)满足设计图纸、相关规范、招标文件及技术要求</t>
  </si>
  <si>
    <t xml:space="preserve">电梯厅指引吊牌（小型）_x000D_
</t>
  </si>
  <si>
    <t>(1)类型:电梯厅指引吊牌（小型）_x000D_
(2)具体详见本项目标识系统招标设计方案_x000D_
(3)满足设计图纸、相关规范、招标文件及技术要求</t>
  </si>
  <si>
    <t xml:space="preserve"> 涂刷标识</t>
  </si>
  <si>
    <t xml:space="preserve">地库墙柱面涂刷_x000D_
</t>
  </si>
  <si>
    <t>(1)类型:地库墙柱面涂刷_x000D_
(2)测量并打墨线记录位置用美纹纸带保护边缘，均匀滚涂刷内墙漆柱面防霉底漆,防毒涂料处理，制作模板，喷涂内墙漆_x000D_
(3)具体详见本项目标识系统招标设计方案及图纸_x000D_
(4)满足设计图纸、相关规范、招标文件及技术要求</t>
  </si>
  <si>
    <t xml:space="preserve">车位线涂刷_x000D_
</t>
  </si>
  <si>
    <t>(1)类型:车位线涂刷(含车位编号环氧喷涂),颜色综合考虑_x000D_
(2)环氧冷涂_x000D_
(3)具体详见本项目标识系统招标设计方案及图纸_x000D_
(4)满足设计图纸、相关规范、招标文件及技术要求</t>
  </si>
  <si>
    <t>车道标线及中心线、斑马线</t>
  </si>
  <si>
    <t>(1)类型:车道标线及中心线、斑马线_x000D_
(2)环氧冷涂_x000D_
(3)具体详见本项目标识系统招标设计方案及图纸_x000D_
(4)满足设计图纸、相关规范、招标文件及技术要求</t>
  </si>
  <si>
    <t>地面方向指示箭头</t>
  </si>
  <si>
    <t>(1)类型:地面方向指示箭头_x000D_
(2)环氧冷涂_x000D_
(3)具体详见本项目标识系统招标设计方案及图纸_x000D_
(4)满足设计图纸、相关规范、招标文件及技术要求</t>
  </si>
  <si>
    <t>充电标识</t>
  </si>
  <si>
    <t>(1)类型:充电标识_x000D_
(2)铁板 喷涂_x000D_
(3)具体详见本项目标识系统招标设计方案及图纸_x000D_
(4)满足设计图纸、相关规范、招标文件及技术要求</t>
  </si>
  <si>
    <t xml:space="preserve"> 导视、指示牌</t>
  </si>
  <si>
    <t xml:space="preserve">导视牌_x000D_
</t>
  </si>
  <si>
    <t>(1)导视牌_x000D_
(2)高强度铝板+工程级反光膜；激光裁板,电脑割字,机械贴膜_x000D_
(3)1200*300*1.5mm_x000D_
(4)具体详见本项目标识系统招标设计方案及图纸_x000D_
(5)满足设计图纸、相关规范、招标文件及技术要求</t>
  </si>
  <si>
    <t xml:space="preserve">禁行指示牌_x000D_
</t>
  </si>
  <si>
    <t>(1)禁行指示牌_x000D_
(2)高强度铝板+工程级反光膜；激光裁板,电脑割字,机械贴膜_x000D_
(3)φ60cm*1.5_x000D_
(4)具体详见本项目标识系统招标设计方案及图纸_x000D_
(5)满足设计图纸、相关规范、招标文件及技术要求</t>
  </si>
  <si>
    <t xml:space="preserve">出口指示牌_x000D_
</t>
  </si>
  <si>
    <t>(1)出口指示牌_x000D_
(2)高强度铝板+工程级反光膜；激光裁板,电脑割字,机械贴膜_x000D_
(3)600*400*1.5_x000D_
(4)具体详见本项目标识系统招标设计方案及图纸_x000D_
(5)满足设计图纸、相关规范、招标文件及技术要求</t>
  </si>
  <si>
    <t>方向指示标牌</t>
  </si>
  <si>
    <t>(1)方向指示标牌_x000D_
(2)高强度铝板+工程级反光膜；激光裁板,电脑割字,机械贴膜_x000D_
(3)φ60cm*1.5_x000D_
(4)具体详见本项目标识系统招标设计方案及图纸_x000D_
(5)满足设计图纸、相关规范、招标文件及技术要求</t>
  </si>
  <si>
    <t xml:space="preserve"> 金属构件</t>
  </si>
  <si>
    <t xml:space="preserve">橡胶定位器_x000D_
</t>
  </si>
  <si>
    <t>(1)橡胶定位器_x000D_
(2)优质橡胶;成模生产，抗老化处理,贴美国3M反光膜_x000D_
(3)560×160×110_x000D_
(4)具体详见本项目标识系统招标设计方案及图纸_x000D_
(5)满足设计图纸、相关规范、招标文件及技术要求</t>
  </si>
  <si>
    <t xml:space="preserve">限高标杆_x000D_
</t>
  </si>
  <si>
    <t>(1)限高标杆_x000D_
(2)镀锌管组焊；磷化防腐，表面防锈处理_x000D_
(3)φ38mm*4000mm*1.5mm_x000D_
(4)具体详见本项目标识系统招标设计方案及图纸_x000D_
(5)满足设计图纸、相关规范、招标文件及技术要求</t>
  </si>
  <si>
    <t>根</t>
  </si>
  <si>
    <t xml:space="preserve">安全凸镜_x000D_
</t>
  </si>
  <si>
    <t>(1)安全凸镜_x000D_
(2)三防镜面+定位,钢管+活动绞_x000D_
(3)Φ800_x000D_
(4)具体详见本项目标识系统招标设计方案及图纸_x000D_
(5)满足设计图纸、相关规范、招标文件及技术要求</t>
  </si>
  <si>
    <t>面</t>
  </si>
  <si>
    <t xml:space="preserve">减速路拱_x000D_
</t>
  </si>
  <si>
    <t>(1)减速路拱_x000D_
(2)优质橡胶;成模生产，抗老化处理_x000D_
(3)500*350*50_x000D_
(4)具体详见本项目标识系统招标设计方案及图纸_x000D_
(5)满足设计图纸、相关规范、招标文件及技术要求</t>
  </si>
  <si>
    <t xml:space="preserve">橡胶立面圆护角_x000D_
</t>
  </si>
  <si>
    <t>(1)橡胶立面圆护角_x000D_
(2)优质橡胶+高强级3M反光膜;成模生产，抗老化处理_x000D_
(3)800*200*10mm_x000D_
(4)具体详见本项目标识系统招标设计方案及图纸_x000D_
(5)满足设计图纸、相关规范、招标文件及技术要求</t>
  </si>
  <si>
    <t xml:space="preserve">防护桩_x000D_
</t>
  </si>
  <si>
    <t>(1)防护桩_x000D_
(2)焊管组焊;磷化防腐,表面拷漆+工程级3M反光膜_x000D_
(3)φ76mm*2.75mm*600mm_x000D_
(4)具体详见本项目标识系统招标设计方案及图纸_x000D_
(5)满足设计图纸、相关规范、招标文件及技术要求</t>
  </si>
  <si>
    <t xml:space="preserve">轮廓标_x000D_
</t>
  </si>
  <si>
    <t>(1)轮廓标_x000D_
(2)金属_x000D_
(3)180*40_x000D_
(4)具体详见本项目标识系统招标设计方案及图纸_x000D_
(5)满足设计图纸、相关规范、招标文件及技术要求</t>
  </si>
  <si>
    <t xml:space="preserve"> 人防门工程</t>
  </si>
  <si>
    <t>人防门</t>
  </si>
  <si>
    <t>(1)型号:GHSFM4525(6)_x000D_
(2)钢结构活门槛双扇防护密闭门_x000D_
(3)包含运输到场、安装、预埋件等_x000D_
(4)满足设计图纸、相关规范、招标文件及技术要求</t>
  </si>
  <si>
    <t>(1)型号:GHSFM5025(6)_x000D_
(2)钢结构活门槛双扇防护密闭门_x000D_
(3)包含运输到场、安装、预埋件等_x000D_
(4)满足设计图纸、相关规范、招标文件及技术要求</t>
  </si>
  <si>
    <t>(1)型号:HHFM1520(6)左开_x000D_
(2)钢筋混凝土活门槛单扇防护密闭门_x000D_
(3)包含运输到场、安装、预埋件等_x000D_
(4)满足设计图纸、相关规范、招标文件及技术要求</t>
  </si>
  <si>
    <t>(1)型号:HFM0820(6)左开_x000D_
(2)钢筋混凝土固定门槛单扇防护密闭门_x000D_
(3)包含运输到场、安装、预埋件等_x000D_
(4)满足设计图纸、相关规范、招标文件及技术要求</t>
  </si>
  <si>
    <t>(1)型号:HFM1320(6)左开_x000D_
(2)钢筋混凝土固定门槛单扇防护密闭门_x000D_
(3)包含运输到场、安装、预埋件等_x000D_
(4)满足设计图纸、相关规范、招标文件及技术要求</t>
  </si>
  <si>
    <t>(1)型号:HFM1320(6)_x000D_
(2)钢筋混凝土固定门槛单扇防护密闭门_x000D_
(3)包含运输到场、安装、预埋件等_x000D_
(4)满足设计图纸、相关规范、招标文件及技术要求</t>
  </si>
  <si>
    <t>(1)型号:HFM2020(6)_x000D_
(2)钢筋混凝土固定门槛单扇防护密闭门_x000D_
(3)包含运输到场、安装、预埋件等_x000D_
(4)满足设计图纸、相关规范、招标文件及技术要求</t>
  </si>
  <si>
    <t>(1)型号:HM0820_x000D_
(2)钢筋混凝土固定门槛单扇密闭门_x000D_
(3)包含运输到场、安装、预埋件等_x000D_
(4)满足设计图纸、相关规范、招标文件及技术要求</t>
  </si>
  <si>
    <t>(1)型号:HM1020_x000D_
(2)钢筋混凝土固定门槛单扇密闭门_x000D_
(3)包含运输到场、安装、预埋件等_x000D_
(4)满足设计图纸、相关规范、招标文件及技术要求</t>
  </si>
  <si>
    <t>(1)型号:HM1320(左开)_x000D_
(2)钢筋混凝土固定门槛单扇密闭门_x000D_
(3)包含运输到场、安装、预埋件等_x000D_
(4)满足设计图纸、相关规范、招标文件及技术要求</t>
  </si>
  <si>
    <t>(1)型号:HM2020_x000D_
(2)钢筋混凝土固定门槛单扇密闭门_x000D_
(3)包含运输到场、安装、预埋件等_x000D_
(4)满足设计图纸、相关规范、招标文件及技术要求</t>
  </si>
  <si>
    <t>(1)型号:HK600(5)左开_x000D_
(2)悬摆式防爆波活门_x000D_
(3)包含运输到场、安装、预埋件等_x000D_
(4)满足设计图纸、相关规范、招标文件及技术要求</t>
  </si>
  <si>
    <t>1#塔楼结构之装配式工程</t>
  </si>
  <si>
    <t>预制凸(飘)窗</t>
  </si>
  <si>
    <t>(1)名称:预制凸(飘)窗_x000D_
(2)安装高度:综合考虑_x000D_
(3)混凝土强度等级:按设计要求_x000D_
(4)包含:预制构件生产、运输、安装、堆放、样板、预埋铁件、钢筋以及可能导致的二次运输、收口、收边等费用，满足施工及验收要求_x000D_
(5)其他:具体详见施工图纸及招标文件，满足施工及验收要求_x000D_
(6)满足设计图纸、相关规范、招标文件及技术要求_x000D_
(7)建筑物超高增加费</t>
  </si>
  <si>
    <t>预制叠合板</t>
  </si>
  <si>
    <t>(1)名称:预制叠合板_x000D_
(2)单件体积:2m3以内_x000D_
(3)安装高度:综合考虑_x000D_
(4)混凝土强度等级:按设计要求_x000D_
(5)包含:预制构件生产、运输、安装、堆放、样板、预埋铁件、钢筋以及可能导致的二次运输、收口、收边等费用，满足施工及验收要求_x000D_
(6)其他:具体详见施工图纸及招标文件，满足施工及验收要求_x000D_
(7)满足设计图纸、相关规范、招标文件及技术要求_x000D_
(8)建筑物超高增加费</t>
  </si>
  <si>
    <t>预制墙板</t>
  </si>
  <si>
    <t>(1)墙板材质、厚度:100mm厚，蒸压加气混凝土板（ALC）
(2)墙体类型:不区分内外墙
(3)墙体要求:抗压强度5(MPa)，干密度≤6.85(kN/m3),满足保温、隔热、隔声、防水和防火安全等技术性能及室内装修的要求
(4)包含:预制构件生产、运输、安装、堆放、样板、预埋铁件、钢筋以及可能导致的二次运输、收口、收边等费用，满足施工及验收要求
(5)满足设计图纸、相关规范、招标文件及技术要求
(6)建筑物超高增加费</t>
  </si>
  <si>
    <t>(1)墙板材质、厚度:200mm或（90+90）厚，蒸压加气混凝土板（ALC）_x000D_
(2)墙体类型:不区分内外墙_x000D_
(3)墙体要求:抗压强度5(MPa)，干密度≤6.85(kN/m3),满足保温、隔热、隔声、防水和防火安全等技术性能及室内装修的要求_x000D_
(4)包含:预制构件生产、运输、安装、堆放、样板、预埋铁件、钢筋以及可能导致的二次运输、收口、收边等费用，满足施工及验收要求_x000D_
(5)满足设计图纸、相关规范、招标文件及技术要求_x000D_
(6)建筑物超高增加费</t>
  </si>
  <si>
    <t>预制楼梯</t>
  </si>
  <si>
    <t>(1)预制楼梯_x000D_
(2)包含:预制构件生产、运输、安装、堆放、样板、预埋铁件、钢筋以及可能导致的二次运输、收口、收边等费用，满足施工及验收要求_x000D_
(3)满足设计图纸、相关规范、招标文件及技术要求_x000D_
(4)建筑物超高增加费</t>
  </si>
  <si>
    <t>厨房排烟道</t>
  </si>
  <si>
    <t>(1)厨房烟道,L型640*290mm_x000D_
(2)以水泥为胶凝材料，以钢筋，镀锌电焊网和增强纤维等增强材料，经预制而成的截面为L的排气道构件_x000D_
(3)厨房内设变截面排烟道选用粤21J/T910，壁厚20mm_x000D_
(4)包含:预制构件生产、运输、安装、堆放、样板、预埋铁件、钢筋以及可能导致的二次运输、收口、收边等费用，满足施工及验收要求_x000D_
(5)含烟道交接处理，板洞处理_x000D_
(6)满足设计图纸、相关规范、招标文件及技术要求_x000D_
(7)建筑物超高增加费</t>
  </si>
  <si>
    <t>(1)厨房烟道,L型640*340mm_x000D_
(2)以水泥为胶凝材料，以钢筋，镀锌电焊网和增强纤维等增强材料，经预制而成的截面为L的排气道构件_x000D_
(3)厨房内设变截面排烟道选用粤21J/T910，壁厚20mm_x000D_
(4)包含:预制构件生产、运输、安装、堆放、样板、预埋铁件、钢筋以及可能导致的二次运输、收口、收边等费用，满足施工及验收要求_x000D_
(5)含烟道交接处理，板洞处理_x000D_
(6)满足设计图纸、相关规范、招标文件及技术要求_x000D_
(7)建筑物超高增加费</t>
  </si>
  <si>
    <t>(1)厨房烟道,L型640*390mm_x000D_
(2)以水泥为胶凝材料，以钢筋，镀锌电焊网和增强纤维等增强材料，经预制而成的截面为L的排气道构件_x000D_
(3)厨房内设变截面排烟道选用粤21J/T910，壁厚20mm_x000D_
(4)包含:预制构件生产、运输、安装、堆放、样板、预埋铁件、钢筋以及可能导致的二次运输、收口、收边等费用，满足施工及验收要求_x000D_
(5)含烟道交接处理，板洞处理_x000D_
(6)满足设计图纸、相关规范、招标文件及技术要求_x000D_
(7)建筑物超高增加费</t>
  </si>
  <si>
    <t>(1)厨房烟道,L型640*440mm_x000D_
(2)以水泥为胶凝材料，以钢筋，镀锌电焊网和增强纤维等增强材料，经预制而成的截面为L的排气道构件_x000D_
(3)厨房内设变截面排烟道选用粤21J/T910，壁厚20mm_x000D_
(4)包含:预制构件生产、运输、安装、堆放、样板、预埋铁件、钢筋以及可能导致的二次运输、收口、收边等费用，满足施工及验收要求_x000D_
(5)含烟道交接处理，板洞处理_x000D_
(6)满足设计图纸、相关规范、招标文件及技术要求_x000D_
(7)建筑物超高增加费</t>
  </si>
  <si>
    <t>(1)厨房烟道,L型540*540mm_x000D_
(2)以水泥为胶凝材料，以钢筋，镀锌电焊网和增强纤维等增强材料，经预制而成的截面为L型的排气道构件_x000D_
(3)厨房内设变截面排烟道选用粤21J/T910，壁厚20mm_x000D_
(4)包含:预制构件生产、运输、安装、堆放、样板、预埋铁件、钢筋以及可能导致的二次运输、收口、收边等费用，满足施工及验收要求_x000D_
(5)含烟道交接处理，板洞处理_x000D_
(6)满足设计图纸、相关规范、招标文件及技术要求_x000D_
(7)建筑物超高增加费</t>
  </si>
  <si>
    <t>2#塔楼结构之装配式工程</t>
  </si>
  <si>
    <t>(1)墙板材质、厚度:100mm厚，蒸压加气混凝土板（ALC）_x000D_
(2)墙体类型:不区分内外墙_x000D_
(3)墙体要求:抗压强度5(MPa)，干密度≤6.85(kN/m3),满足保温、隔热、隔声、防水和防火安全等技术性能及室内装修的要求_x000D_
(4)包含:预制构件生产、运输、安装、堆放、样板、预埋铁件、钢筋以及可能导致的二次运输、收口、收边等费用，满足施工及验收要求_x000D_
(5)满足设计图纸、相关规范、招标文件及技术要求_x000D_
(6)建筑物超高增加费</t>
  </si>
  <si>
    <t>楼1a 地坪漆面层</t>
  </si>
  <si>
    <t>(1)3~5厚彩色地坪漆
(2)界面剂一道</t>
  </si>
  <si>
    <t>楼1a  排水板 （地下室）</t>
  </si>
  <si>
    <t>(1)20厚HDPE防护排水板(板厚≥1.2,板面杯体直径≥100,抗压强度≥300KN/m2),凸点向下铺设至集水坑,拼接部分采用热熔满焊</t>
  </si>
  <si>
    <t>楼1b 地坪漆面层</t>
  </si>
  <si>
    <t>楼3a 防滑地砖楼面(有防水）—水泥涂料防水</t>
  </si>
  <si>
    <t>(3)2.0厚聚合物水泥防水涂料(Ⅱ型),四周上翻超过地面完成面300,面撒粗砂</t>
  </si>
  <si>
    <t>楼3a 防滑地砖楼面(有防水)—聚氨酯防水</t>
  </si>
  <si>
    <t>(4)1.2厚聚氨酯防水涂料一道,四周返高至完成面以上300
(5)基层处理剂一道</t>
  </si>
  <si>
    <t>楼7a 水泥砂浆楼面 （住宅公区、公共配套、地下室）</t>
  </si>
  <si>
    <t>(1)20厚M20水泥砂浆抹面压光
(2)刷素水泥浆一道</t>
  </si>
  <si>
    <t>楼7b 水泥砂浆楼面(防水)</t>
  </si>
  <si>
    <t>(1)20厚M20水泥砂浆抹面压光
(2)1.5厚聚氨酯防水涂料,四周返高至完成面以上300,面撒粗砂</t>
  </si>
  <si>
    <t>楼7c 水泥砂浆楼面 （住宅公区、地下室）</t>
  </si>
  <si>
    <t>(1)30厚M20水泥砂浆抹面压光(用于楼梯踏部位时按11zJ401第39页第6做法)</t>
  </si>
  <si>
    <t>楼8 防油楼面 （公共配套、地下室）</t>
  </si>
  <si>
    <t>(1)满铺100高的黄砂,并砌筑300高门槛,储油间面积控制在5m2以内/或按照当地消防要求实施
(2)15厚M20聚合物水泥砂浆防油层,四周返高至完成面以上300
(3)钢筋混凝土底板自防水,抗渗等级按设计要求,防水另详/钢筋混凝土基层清理干净,缺陷修补平整
(4)满足设计图纸、相关规范、招标文件及技术要求</t>
  </si>
  <si>
    <t>楼9 防静电架空地板楼面—面层</t>
  </si>
  <si>
    <t>(1)250高防静电架空金属活动地板(600*600)，3mm厚
(2)25厚M20水泥砂浆保护层,满铺钢丝网(Φ1@15)防裂
(3)1.5厚聚氨酯防水涂料一道,四周返高至完成面以上300</t>
  </si>
  <si>
    <t>楼10a 防静电地坪漆楼面—面层</t>
  </si>
  <si>
    <t>(1)防静电地坪漆(A级)两道,5mm厚
(2)40厚C20细石混凝土随捣随抹光</t>
  </si>
  <si>
    <t>楼10b 防静电地坪漆楼面—面层</t>
  </si>
  <si>
    <t>(1)防静电地坪漆(A级)两道,5mm厚
(2)20mm厚M20水泥砂浆找平</t>
  </si>
  <si>
    <t>墙面工程</t>
  </si>
  <si>
    <t>内墙</t>
  </si>
  <si>
    <t>内墙2a 、内墙2b（无保温） 墙体（住宅公区、地下室、住宅）</t>
  </si>
  <si>
    <t>(1)墙体:20厚M20水泥砂浆分层抹平
(2)基层墙体
(3)满足设计图纸、相关规范、招标文件及技术要求</t>
  </si>
  <si>
    <t>内墙4a 涂料墙面(防水)  墙体（公共配套、地下室）</t>
  </si>
  <si>
    <t>(1)无机涂料(A级)一底二涂
(2)满刮耐水外墙腻子,打磨平整
(3)3厚高分子益胶泥
(4)墙体:20厚M20水泥砂浆分层抹平
(5)基层墙体
(6)满足设计图纸、相关规范、招标文件及技术要求</t>
  </si>
  <si>
    <t>内墙4b 涂料墙面（无保温）墙体（住宅公区、公共配套、地下室）</t>
  </si>
  <si>
    <t>(1)无机涂料(A级)一底二涂
(2)墙面满刮外墙腻子二道找平
(3)墙体:20厚M20水泥砂浆分层抹平
(4)基层墙体
(5)满足设计图纸、相关规范、招标文件及技术要求</t>
  </si>
  <si>
    <t>内墙5a 水泥砂浆墙面 （住宅公区、公共配套、地下室）</t>
  </si>
  <si>
    <t>(1)15厚M15水泥砂浆分层抹平
(2)素水泥浆一道
(3)基层墙体
(4)满足设计图纸、相关规范、招标文件及技术要求</t>
  </si>
  <si>
    <t>内墙5b 水泥砂浆墙面(防水)1.8米以下（住宅公区、公共配套、地下室）</t>
  </si>
  <si>
    <t>(1)1.8米以下采用聚合物水泥砂浆找平层，5mm厚M10湿拌砂浆(WP10)
(2)素水泥浆一道
(3)基层墙体
(4)满足设计图纸、相关规范、招标文件及技术要求</t>
  </si>
  <si>
    <t>内墙5b 水泥砂浆墙面(防水)1.8米以上（住宅公区、公共配套、地下室）</t>
  </si>
  <si>
    <t>(1)1.8米以上采用水泥砂浆找平层，5mm厚M10湿拌砂浆(WP10)
(2)素水泥浆一道
(3)基层墙体
(4)满足设计图纸、相关规范、招标文件及技术要求</t>
  </si>
  <si>
    <t>内墙6 吸音墙面 （公共配套、地下室）</t>
  </si>
  <si>
    <t>(1)吸音棉50mm厚,≥32Kg/m3
(2)0.6mm铝合金孔板
(3)三角龙骨及L40*40**5镀锌角铁
(4)膨胀螺栓Φ6X60
(5)基层墙体
(6)满足设计图纸、相关规范、招标文件及技术要求</t>
  </si>
  <si>
    <t>内墙4b 涂料墙面 (独立柱)</t>
  </si>
  <si>
    <t>随砌随抹</t>
  </si>
  <si>
    <t>(1)随砌随抹
(2)20mm厚湿拌砂浆找平层
(3)满足设计图纸、相关规范、招标文件及技术要求</t>
  </si>
  <si>
    <t>踢脚工程</t>
  </si>
  <si>
    <t>踢1 水泥砂浆踢脚</t>
  </si>
  <si>
    <t>(1)5厚M20水泥砂浆抹面压光，高度100mm
(2)墙体基层处理
(3)满足设计图纸、相关规范、招标文件及技术要求</t>
  </si>
  <si>
    <t>踢2 面砖踢脚 （公共配套、地下室）</t>
  </si>
  <si>
    <t>(1)10厚专用面砖踢脚板,白水泥浆擦缝，高度100mm
(2)5厚M20水泥砂浆结合层
(3)10厚M15水泥砂浆打底扫毛
(4)墙体基层处理
(5)满足设计图纸、相关规范、招标文件及技术要求</t>
  </si>
  <si>
    <t>踢3 地坪漆踢脚</t>
  </si>
  <si>
    <t>(1)面刷防静电环氧地坪漆(防静电地坪漆A级)
(2)满刮建筑胶水泥腻子,打磨平整
(3)5~8厚M15水泥砂浆
(4)界面剂一道
(5)墙体基层处理
(6)满足设计图纸、相关规范、招标文件及技术要求</t>
  </si>
  <si>
    <t>天棚工程</t>
  </si>
  <si>
    <t>顶2 涂料顶棚 （住宅公区、公共配套、地下室）</t>
  </si>
  <si>
    <t>(1)无机涂料(A级)一底二涂
(2)墙面满刮外墙腻子二道找平
(3)素水泥浆一道
(4)钢筋混凝土板底清理
(5)满足设计图纸、相关规范、招标文件及技术要求</t>
  </si>
  <si>
    <t>顶2 涂料顶棚 （生活水泵房）</t>
  </si>
  <si>
    <t>(1)无机涂料(A级)一底二涂，无机防水防霉涂料_x000D_
(2)墙面满刮外墙腻子二道找平_x000D_
(3)素水泥浆一道_x000D_
(4)钢筋混凝土板底清理_x000D_
(5)满足设计图纸、相关规范、招标文件及技术要求</t>
  </si>
  <si>
    <t>顶5 吸音顶棚 （公共配套）</t>
  </si>
  <si>
    <t>(1)吸音棉50mm厚,≥32Kg/m3
(2)0.6mm铝合金孔板
(3)三角龙骨及L40*40*5万能角铁
(4)镀锌螺纹吊杆Φ6
(5)膨胀螺栓Φ6X60
(6)钢筋混凝土板底清理
(7)满足设计图纸、相关规范、招标文件及技术要求</t>
  </si>
  <si>
    <t>坡道</t>
  </si>
  <si>
    <t>坡1 (下面有使用功能房间)</t>
  </si>
  <si>
    <t>(1)面层做法(与地下室车库楼地面面层统一,彩色地坪漆采用防滑地坪漆)
(2)80厚C30细石混凝土刚性层,(内配c6@150双向钢筋,钢筋置于上部且保护层厚度大于20,分隔缝间距≤6m,钢筋断开缝宽12,缝内嵌单组份聚氨酯建筑密封胶)
(3)聚酯无纺布隔离层一道(250g/m2)
(4)3.0厚自粘聚合物改性沥青防水卷材(PY类)
(5)2.0厚非固化橡胶沥青防水涂料
(6)钢筋混凝土基层清理干净,缺陷修补平整
(7)满足设计图纸、相关规范、招标文件及技术要求</t>
  </si>
  <si>
    <t>坡2 (下面无使用功能房间)</t>
  </si>
  <si>
    <t>(1)面层做法(与地下室车库楼地面面层统一,彩色地坪漆采用防滑地坪漆)_x000D_
(2)80厚C30细石混凝土刚性层,(内配c6@150双向钢筋,钢筋置于上部且保护层厚度大于20,分隔缝间距≤6m,钢筋断开缝宽12,缝内嵌单组份聚氨酯建筑密封胶)_x000D_
(3)100厚C15混凝土垫层_x000D_
(4)300厚级配砂石碾实_x000D_
(5)素土夯实,压实系数≥0.94_x000D_
(6)满足设计图纸、相关规范、招标文件及技术要求</t>
  </si>
  <si>
    <t>坡3 车库内坡道</t>
  </si>
  <si>
    <t>(1)面层做法(与地下室车库楼地面面层统一,彩色地坪漆采用防滑地坪漆)_x000D_
(2)80厚C30细石混凝土刚性层,(内配c6@150双向钢筋,钢筋置于上部且保护层厚度大于20,分隔缝间距≤6m,钢筋断开缝宽12,缝内嵌单组份聚氨酯建筑密封胶)_x000D_
(3)钢筋混凝土基层清理干净,缺陷修补平整_x000D_
(4)满足设计图纸、相关规范、招标文件及技术要求</t>
  </si>
  <si>
    <t>消防水池</t>
  </si>
  <si>
    <t>底板防水</t>
  </si>
  <si>
    <t>(1)瓷釉涂料两遍_x000D_
(2)5厚聚合物水泥防水砂浆_x000D_
(3)1.0厚(1.5KG/m2)水泥基渗透结晶型防水涂料_x000D_
(4)钢筋混凝土基层清理干净,缺陷修补平整_x000D_
(5)满足设计图纸、相关规范、招标文件及技术要求</t>
  </si>
  <si>
    <t>内壁防水</t>
  </si>
  <si>
    <t>防水工程</t>
  </si>
  <si>
    <t>地下室底板3 外防水(Ⅰ级防水)</t>
  </si>
  <si>
    <t>(1)2.0厚非固化橡胶沥青防水涂料
(2)3.0厚自粘聚合物改性沥青防水卷材(PY类)
(3)满足设计图纸、相关规范、招标文件及技术要求</t>
  </si>
  <si>
    <t>地下室侧墙2 (Ⅰ级防水)</t>
  </si>
  <si>
    <t>(1)30厚XPS挤塑聚苯板保护
(2)1.5厚自粘聚合物改性沥青防水卷材(N类高分子膜)
(3)2.0厚聚氨酯防水涂料一道
(4)钢筋混凝土外墙自防水,抗渗等级按设计,表面修补平整
(5)满足设计图纸、相关规范、招标文件及技术要求</t>
  </si>
  <si>
    <t>防水卷材</t>
  </si>
  <si>
    <t>地下室顶板1 (种植)</t>
  </si>
  <si>
    <t>(1)聚酯无纺布滤水层(300g/m2)四周上返100,端部用粘结剂50高
(2)20厚,50高疏水板(重量不小于1200g/m2,抗压负荷不小于300Kpa/m2)
(3)70厚(最薄处)C25细石混凝土保护层兼找坡层(内配c6@150双向钢筋,分格缝间距≤6m,缝宽12,缝内嵌单组份聚氨酯建筑密封胶)
(4)聚酯无纺布隔离层一道(250/m2)
(5)4厚耐根穿刺改性沥青防水卷材
(6)2.0厚非固化橡胶沥青防水涂料
(7)钢筋混凝土顶板自防水(随捣随抹平),抗渗等级按设计,表面修补平整
(8)满足设计图纸、相关规范、招标文件及技术要求</t>
  </si>
  <si>
    <t>地下室顶板2 (非种植)</t>
  </si>
  <si>
    <t>(1)100厚C20混凝土垫层
(2)150厚6%水泥石粉渣
(3)聚酯无纺布滤水层(300g/m2)四周上返100,端部用粘结剂50高
(4)20厚,50高疏水板(重量不小于1200g/m2,抗压负荷不小于300Kpa/m2)
(5)70厚(最薄处)C25细石混凝土保护层兼找坡层(内配c6@150双向钢筋网,分格缝间距≤6m,缝宽12,缝内嵌单组份聚氨酯建筑密封胶)
(6)聚酯无纺布隔离层一道(250/m2)
(7)3厚自粘聚合物改性沥青防水卷材(PY类)
(8)2.0厚非固化橡胶沥青防水涂料
(9)钢筋混凝土顶板自防水(随捣随抹平),抗渗等级按设计,表面修补平整
(10)满足设计图纸、相关规范、招标文件及技术要求</t>
  </si>
  <si>
    <t>地下室顶板2 (非种植) 车行</t>
  </si>
  <si>
    <t>(1)200厚C30混凝土垫层
(2)300厚6%水泥石粉渣
(3)聚酯无纺布滤水层(300g/m2)四周上返100,端部用粘结剂50高
(4)20厚,50高疏水板(重量不小于1200g/m2,抗压负荷不小于300Kpa/m2)
(5)70厚(最薄处)C25细石混凝土保护层兼找坡层(内配c6@150双向钢筋网,分格缝间距≤6m,缝宽12,缝内嵌单组份聚氨酯建筑密封胶)
(6)聚酯无纺布隔离层一道(250/m2)
(7)3厚自粘聚合物改性沥青防水卷材(PY类)
(8)2.0厚非固化橡胶沥青防水涂料
(9)钢筋混凝土顶板自防水(随捣随抹平),抗渗等级按设计,表面修补平整
(10)满足设计图纸、相关规范、招标文件及技术要求</t>
  </si>
  <si>
    <t>新增</t>
  </si>
  <si>
    <t>地下室底板3 外防水(Ⅰ级防水)（新增单价，下浮18.6%）</t>
  </si>
  <si>
    <t>(1)50厚C20细石混凝土保护层
(2)3.0厚自粘聚合物改性沥青防水卷材(PY类)
(3)1.5厚湿铺防水卷材(高分子膜)
(4)100厚C20混凝土垫层,随捣随抹平
(5)满足设计图纸、相关规范、招标文件及技术要求</t>
  </si>
  <si>
    <t>栏杆、栏板</t>
  </si>
  <si>
    <t>楼梯栏杆</t>
  </si>
  <si>
    <t>(1)楼梯栏杆，900mm高（图纸标注，满足验收标准）
(2)材质：镀锌方管，镀锌圆管，预埋件等，综合考虑
(3)图纸位置:AW-0802-9
(4)满足设计图纸、相关规范、招标文件及技术要求</t>
  </si>
  <si>
    <t>防护玻璃栏板（坡道位置）</t>
  </si>
  <si>
    <t>(1)防护玻璃栏板，1100高
(2)铝合金立柱,铝合金扶手面，扶手深灰色亚光氟碳喷涂
(3)8+1.14PVB+8钢化夹胶玻璃,泡沫棒&amp;密封胶，橡胶垫片(L=100mm,3片)
(4)钢板，预埋件，螺钉等
(5)柔性导电铜索(仅端部立柱设置)
(6)图纸位置:AW-0801-8
(7)满足设计图纸、相关规范、招标文件及技术要求</t>
  </si>
  <si>
    <t>集水坑大样做法</t>
  </si>
  <si>
    <t>聚合物水泥砂浆（地面）_x000D_</t>
  </si>
  <si>
    <t>(1)20厚M20聚合物水泥砂浆_x000D_
(2)1.0厚(1.5KG/m2)水泥基渗透结晶型防水涂料_x000D_
(3)满足设计图纸、相关规范、招标文件及技术要求</t>
  </si>
  <si>
    <t>聚合物水泥砂浆（立面）</t>
  </si>
  <si>
    <t>预埋件安装</t>
  </si>
  <si>
    <t>(1)预埋铁件制安_x000D_
(2)满足设计图纸、相关规范、招标文件及技术要求</t>
  </si>
  <si>
    <t>集水坑盖板</t>
  </si>
  <si>
    <t>(1)40x5镀锌扁钢≤25盖板,均布_x000D_
(2)下衬一层18目防鼠不锈钢丝网_x000D_
(3)满足设计图纸、相关规范、招标文件及技术要求</t>
  </si>
  <si>
    <t>预制钢筋混凝土盖板</t>
  </si>
  <si>
    <t>(1)电梯集水坑_x000D_
(2)板厚150,C30混凝土，内配A12@150双层双向钢筋_x000D_
(3)满足设计图纸、相关规范、招标文件及技术要求</t>
  </si>
  <si>
    <t>花纹钢板</t>
  </si>
  <si>
    <t>(1)5厚花纹钢板，镀锌_x000D_
(2)满足设计图纸、相关规范、招标文件及技术要求</t>
  </si>
  <si>
    <t>成品铸铁篦子</t>
  </si>
  <si>
    <t>(1)45mm厚成品铸铁篦子_x000D_
(2)满足设计图纸、相关规范、招标文件及技术要求</t>
  </si>
  <si>
    <t>镀锌钢爬梯</t>
  </si>
  <si>
    <t>(1)成品镀锌钢爬梯_x000D_
(2)满足设计图纸、相关规范、招标文件及技术要求</t>
  </si>
  <si>
    <t>其他</t>
  </si>
  <si>
    <t>砖砌台阶_x000D_</t>
  </si>
  <si>
    <t>(1)砖砌台阶_x000D_
(2)满足设计图纸、相关规范、招标文件及技术要求</t>
  </si>
  <si>
    <t>混凝土井盖</t>
  </si>
  <si>
    <t>(1)混凝土井盖，井盖下方设置防坠落防护网_x000D_
(2)详见07FJ02107,含提手、钢筋等所有构件_x000D_
(3)满足设计图纸、相关规范、招标文件及技术要求_x000D_
(4)图纸位置:坡道大样图(一)</t>
  </si>
  <si>
    <t>钢爬梯</t>
  </si>
  <si>
    <t>(1)a20钢筋涂防锈漆两道,面刷黑油漆(水池内侧采用不锈钢圆钢)_x000D_
(2)满足设计图纸、相关规范、招标文件及技术要求_x000D_
(3)图纸位置:坡道大样图(一)</t>
  </si>
  <si>
    <t>钢板止水带_x000D_</t>
  </si>
  <si>
    <t>(1)3mm厚300宽钢板止水带_x000D_
(2)20x30遇水膨胀止水胶(SM胶)_x000D_
(3)满足设计图纸、相关规范、招标文件及技术要求</t>
  </si>
  <si>
    <t>设备用房排水沟</t>
  </si>
  <si>
    <t>(1)300宽，300高排水沟_x000D_
(2)盖板:500X380X40成品树脂篦子,含角钢等铁件_x000D_
(3)C30混凝土，排水沟两侧_x000D_
(4)沟底沟测,15厚聚合物水泥砂浆_x000D_
(5)图纸位置:D-AW-0801-8_x000D_
(6)满足设计图纸、相关规范、招标文件及技术要求</t>
  </si>
  <si>
    <t>车库排水沟</t>
  </si>
  <si>
    <t>(1)300宽，150高排水沟_x000D_
(2)盖板:500X380X40成品树脂篦子,含角钢等铁件_x000D_
(3)C30混凝土，排水沟两侧_x000D_
(4)沟底沟测,15厚聚合物水泥砂浆_x000D_
(5)图纸位置:D-AW-0801-8_x000D_
(6)满足设计图纸、相关规范、招标文件及技术要求</t>
  </si>
  <si>
    <t>地下室顶板盲沟节点</t>
  </si>
  <si>
    <t>(1)500宽排水盲沟_x000D_
(2)盖板:11ZJ901_x000D_
(3)图纸位置:D-AW-0802图中17号节点_x000D_
(4)满足设计图纸、相关规范、招标文件及技术要求</t>
  </si>
  <si>
    <t>电缆沟</t>
  </si>
  <si>
    <t>(1)600宽X800高电缆沟_x000D_
(2)沟底沟测,5~8厚聚合物水泥防水砂浆，_x000D_
(3)250厚实心砖MU10，水泥砂浆强度M7.5_x000D_
(4)图纸位置:D-AW-电缆沟做法0802-9_x000D_
(5)满足设计图纸、相关规范、招标文件及技术要求</t>
  </si>
  <si>
    <t>汽车坡道截水沟(一)</t>
  </si>
  <si>
    <t>(1)300宽，300高排水沟_x000D_
(2)镀锌钢篦子500x350x40_x000D_
(3)C20细石混凝土找0.5%坡度,随捣随抹,最薄100厚_x000D_
(4)300厚级配砂石垫层碾实≥97%_x000D_
(5)路基碾压密实≥0.93_x000D_
(6)图纸位置：D-AW-0801-6_x000D_
(7)满足设计图纸、相关规范、招标文件及技术要求</t>
  </si>
  <si>
    <t>汽车坡道截水沟(二)</t>
  </si>
  <si>
    <t>(1)300宽，300高排水沟_x000D_
(2)镀锌钢篦子500x350x40_x000D_
(3)15厚聚合物水泥砂浆_x000D_
(4)1厚(1.5kg/m2)水泥基渗透结晶型防水涂料一道_x000D_
(5)图纸位置：D-AW-0801-6_x000D_
(7)满足设计图纸、相关规范、招标文件及技术要求</t>
  </si>
  <si>
    <t>柱护角</t>
  </si>
  <si>
    <t>(1)80x80X8阳角橡胶防撞板，用C6x60自攻螺丝固定_x000D_
(2)满足设计图纸、相关规范、招标文件及技术要求</t>
  </si>
  <si>
    <t>挡鼠板</t>
  </si>
  <si>
    <t>(1)10mm厚成品钢板喷塑挡鼠板，U型不锈钢卡槽与门框固定_x000D_
(2)顶部贴100高反光条_x000D_
(3)满足设计图纸、相关规范、招标文件及技术要求</t>
  </si>
  <si>
    <t>橡胶止水带</t>
  </si>
  <si>
    <t>(1)外贴式橡胶止水带，300mm宽_x000D_
(2)单组份聚氨酯密封胶_x000D_
(3)满足设计图纸、相关规范、招标文件及技术要求</t>
  </si>
  <si>
    <t>桩头防水</t>
  </si>
  <si>
    <t>(1)2厚(2.8kg/m2)水泥基渗透结晶型防水涂料_x000D_
(2)聚氨酯密封胶，20x30遇水缓膨胀止水条_x000D_
(3)钢筋混凝土桩头(清理干净)_x000D_
(4)满足设计图纸、相关规范、招标文件及技术要求</t>
  </si>
  <si>
    <t xml:space="preserve"> 楼地面工程</t>
  </si>
  <si>
    <t>楼3a 防滑地砖楼面(有防水)（公共配套、地下室）</t>
  </si>
  <si>
    <t>(1)8-10厚防滑地砖,干水泥砂浆填缝_x000D_
(2)5-8厚聚合物水泥砂浆，湿拌M20砂浆(WS20)_x000D_
(3)2.0厚聚合物水泥防水涂料(Ⅱ型),四周上翻超过地面完成面300,面撒粗砂_x000D_
(4)1.2厚聚氨酯防水涂料一道,四周返高至完成面以上300_x000D_
(5)基层处理剂一道_x000D_
(6)钢筋混凝土底板自防水,抗渗等级按设计要求,防水另详/钢筋混凝土基层清理干净,缺陷修补平整_x000D_
(7)满足设计图纸、相关规范、招标文件及技术要求_x000D_
(8)建筑物超高增加费</t>
  </si>
  <si>
    <t>(1)C15砼垫层_x000D_
(2)满足设计图纸、相关规范、招标文件及技术要求_x000D_
(3)建筑物超高增加费</t>
  </si>
  <si>
    <t>楼3b 防滑地砖楼面(有防水、有沉箱) （公共配套）</t>
  </si>
  <si>
    <t>(1)8-10厚防滑地砖,干水泥砂浆填缝
(2)5-8厚聚合物水泥砂浆，湿拌M20砂浆（WS20）
(3)15厚(最薄处)M15水泥砂浆保护层兼找坡,坡向地漏
(4)2厚聚合物水泥防水涂料(Ⅱ型),四周上翻超过地面完成面300,管周、管井、地漏、阴阳角等薄弱部位做防水附加层,墙角处沿墙高和楼板水平方向附加层范围各300
(5)15厚M15水泥砂浆面层收光
(6)250~300厚水泥陶粒混凝土1:3:6填充层
(7)15厚(最薄处)M20聚合物水泥砂浆保护兼找坡层向二次排水口找坡
(8)1.5厚聚氨酯防水涂料(内衬耐碱玻纤网格布),四周上翻超过地面完成面300,管周、管井、地漏、阴阳角等薄弱部位，做防水附加层,墙角处沿墙高和楼板水平方向附加层范围各300
(9)钢筋混凝土基层清理干净,缺陷修补平整
(10)满足设计图纸、相关规范、招标文件及技术要求
(11)建筑物超高增加费</t>
  </si>
  <si>
    <t>楼3c 防滑地砖楼面(有防水、无沉箱) （公共配套）</t>
  </si>
  <si>
    <t>(1)8-10厚防滑地砖,干水泥砂浆填缝
(2)5-8厚聚合物水泥砂浆，湿拌M20砂浆（WS20）
(3)20厚(最薄处)预拌普通防水砂浆(兼找平找坡≥P6,坡向地漏)
(4)2厚聚合物水泥防水涂料(Ⅱ型),四周上翻超过地面完成面300,管道、管井、地漏、阴阳角等薄弱部位做防水附加层,墙角处沿墙高和楼板水平方向附加层范围各300
(5)钢筋混凝土基层清理干净,缺陷修补平整
(6)满足设计图纸、相关规范、招标文件及技术要求
(7)建筑物超高增加费</t>
  </si>
  <si>
    <t>楼3e 防滑地砖楼面(有防水)（公共配套）</t>
  </si>
  <si>
    <t>(1)8-10厚防滑地砖,干水泥砂浆填缝_x000D_
(2)5-8厚聚合物水泥砂浆，湿拌M20砂浆（WS20）_x000D_
(3)15厚(最薄处)M15水泥砂浆保护层兼找坡,坡向地漏_x000D_
(4)2厚聚合物水泥防水涂料(Ⅱ型),四周返高至完成面以上300,上返部位撒粗砂,附加防水层从阳台门墙面向外延伸至少250,并上翻至阳台门槛处(高出阳台完成面)_x000D_
(5)钢筋混凝土基层清理干净,缺陷修补平整_x000D_
(6)门框下槛采用聚合物防水砂浆塞缝,门槛两侧的门槛石下方采用高分子益胶泥填塞_x000D_
(7)满足设计图纸、相关规范、招标文件及技术要求_x000D_
(8)建筑物超高增加费</t>
  </si>
  <si>
    <t>楼3e 防滑地砖楼面(有防水)（住宅）</t>
  </si>
  <si>
    <t>(1)15厚(最薄处)M15水泥砂浆保护层兼找坡,坡向地漏
(2)2厚聚合物水泥防水涂料(Ⅱ型),四周返高至完成面以上300,上返部位撒粗砂,附加防水层从阳台门墙面向外延伸至少250,并上翻至阳台门槛处(高出阳台完成面)
(3)钢筋混凝土基层清理干净,缺陷修补平整
(4)门框下槛采用聚合物防水砂浆塞缝,门槛两侧的门槛石下方采用高分子益胶泥填塞
(5)满足设计图纸、相关规范、招标文件及技术要求
(6)建筑物超高增加费</t>
  </si>
  <si>
    <t>楼4a 防滑地砖楼面 （公共配套）</t>
  </si>
  <si>
    <t>(1)8-10厚防滑地砖,干水泥砂浆填缝
(2)20厚M15水泥砂浆结合层,面撒水泥粉
(3)其他非底层:20厚M15水泥砂浆找平
(4)钢筋混凝土底板自防水,抗渗等级按设计要求,防水另详/钢筋混凝土基层清理干净,缺陷修补平整
(5)满足设计图纸、相关规范、招标文件及技术要求
(6)建筑物超高增加费</t>
  </si>
  <si>
    <t>楼6 细石混凝土楼面 （公共配套）</t>
  </si>
  <si>
    <t>(1)50厚C20细石砼随打随抹平_x000D_
(2)素水泥浆结合层一道_x000D_
(3)钢筋混凝土底板自防水,抗渗等级按设计要求,防水另详/钢筋混凝土基层清理干净,缺陷修补平整_x000D_
(4)满足设计图纸、相关规范、招标文件及技术要求_x000D_
(5)建筑物超高增加费</t>
  </si>
  <si>
    <t>(1)20厚M20水泥砂浆抹面压光_x000D_
(2)刷素水泥浆一道_x000D_
(3)钢筋混凝土底板自防水,抗渗等级按设计要求,防水另详/钢筋混凝土基层清理干净,缺陷修补平整_x000D_
(4)满足设计图纸、相关规范、招标文件及技术要求_x000D_
(5)建筑物超高增加费</t>
  </si>
  <si>
    <t>楼7b 水泥砂浆楼面(防水)（住宅公区、公共配套、地下室）</t>
  </si>
  <si>
    <t>(1)20厚M20水泥砂浆抹面压光_x000D_
(2)1.5厚聚氨酯防水涂料,四周返高至完成面以上300,面撒粗砂_x000D_
(3)钢筋混凝土底板自防水,抗渗等级按设计要求,防水另详/钢筋混凝土基层清理干净,缺陷修补平整_x000D_
(4)满足设计图纸、相关规范、招标文件及技术要求_x000D_
(5)建筑物超高增加费</t>
  </si>
  <si>
    <t>(1)30厚M20水泥砂浆抹面压光(用于楼梯踏部位时按11zJ401第39页第6做法)_x000D_
(2)刷素水泥浆一道_x000D_
(3)钢筋混凝土底板自防水,抗渗等级按设计要求,防水另详/钢筋混凝土基层清理干净,缺陷修补平整_x000D_
(4)满足设计图纸、相关规范、招标文件及技术要求_x000D_
(5)建筑物超高增加费</t>
  </si>
  <si>
    <t>楼9 防静电架空地板楼面（公共配套、地下室）</t>
  </si>
  <si>
    <t>(1)250高防静电架空金属活动地板(600*600)，3mm厚
(2)25厚M20水泥砂浆保护层,满铺钢丝网(Φ1@15)防裂
(3)1.5厚聚氨酯防水涂料一道,四周返高至完成面以上300
(4)与防水材料相适应的基层处理剂一道
(5)钢筋混凝土底板自防水,抗渗等级按设计要求,防水另详/钢筋混凝土基层清理干净,缺陷修补平整
(6)满足设计图纸、相关规范、招标文件及技术要求
(7)建筑物超高增加费</t>
  </si>
  <si>
    <t>楼12 架空层楼面(种植无保温) （住宅公区）</t>
  </si>
  <si>
    <t>(1)100厚C20混凝土垫层
(2)150厚6%水泥石粉渣
(3)聚酯无纺布滤水层(300g/m2)四周上返100,端部用粘结剂50高
(4)疏水板(重量不小于1200g/m2,抗压负荷不小于300Kpa/m2)
(5)50厚(最薄处)C25细石混凝土保护层兼找坡,内配c6@150双向钢筋网,分格缝纵横不大于4mx4m,缝宽10,钢筋网片在分格缝处应断开,采用单组份聚氨酯建筑密封胶嵌缝
(6)聚酯无纺布隔离层一道250g/m2
(7)4.0mm厚自粘耐根穿刺改性沥青防水卷材,四周返高至结构面以上600,且不小于完成面以上300
(8)3.0mm厚自粘聚合物改性沥青防水卷材(PY类),四周返高至结构面以上600,且不小于完成面以上300
(9)2.5厚非固化橡胶沥青防水涂料,四周返高至结构面以上600,且不小于完成面以上300
(10)钢筋混凝土基层清理干净,缺陷修补平整
(11)满足设计图纸、相关规范、招标文件及技术要求
(12)建筑物超高增加费</t>
  </si>
  <si>
    <t>楼13 架空层楼面(种植有保温) （住宅公区）</t>
  </si>
  <si>
    <t>(1)100厚C20混凝土垫层_x000D_
(2)150厚6%水泥石粉渣_x000D_
(3)聚酯无纺布滤水层(300g/m2)四周上返100,端部用粘结剂50高_x000D_
(4)疏水板(重量不小于1200g/m2,抗压负荷不小于300Kpa/m2)_x000D_
(5)50厚(最薄处)C25细石混凝土保护层兼找坡,内配c6@150双向钢筋网,分格缝纵横不大于4mx4m,缝宽10,钢筋网片在分格缝处应断开,采用单组份聚氨酯建筑密封胶嵌缝_x000D_
(6)聚酯无纺布隔离层一道250g/m2_x000D_
(7)挤塑聚苯板保温层(燃烧性能B1级,厚度100mm,体积吸水率不应大于3%,抗压强度不应小于150Kpa,设计厚度应按计算厚度增加25%取值)_x000D_
(8)4.0mm厚自粘耐根穿刺改性沥青防水卷材,四周返高至结构面以上600,且不小于完成面以上300_x000D_
(9)3.0mm厚自粘聚合物改性沥青防水卷材(PY类),四周返高至结构面以上600,且不小于完成面以上300_x000D_
(10)2.5厚非固化橡胶沥青防水涂料,四周返高至结构面以上600,且不小于完成面以上300_x000D_
(11)钢筋混凝土基层清理干净,缺陷修补平整_x000D_
(12)满足设计图纸、相关规范、招标文件及技术要求_x000D_
(13)建筑物超高增加费</t>
  </si>
  <si>
    <t xml:space="preserve"> 墙面工程</t>
  </si>
  <si>
    <t xml:space="preserve">   内墙</t>
  </si>
  <si>
    <t>内墙2a 面砖墙面（有保温）墙体 （公共配套）</t>
  </si>
  <si>
    <t>(1)专用粘结剂粘贴面砖(到顶),美缝剂勾缝,8-10mm厚瓷砖
(2)10厚抗裂砂浆,中间压入一道耐碱玻纤网格布
(3)20mm玻化微珠保温砂浆
(4)墙体:20厚M20水泥砂浆分层抹平
(5)基层墙体
(6)满足设计图纸、相关规范、招标文件及技术要求
(7)建筑物超高增加费</t>
  </si>
  <si>
    <t>内墙2a 面砖墙面（无保温）墙体 （公共配套）</t>
  </si>
  <si>
    <t>(1)专用粘结剂粘贴面砖(到顶),美缝剂勾缝,8-10mm厚瓷砖_x000D_
(2)墙体:20厚M20水泥砂浆分层抹平_x000D_
(3)基层墙体_x000D_
(4)满足设计图纸、相关规范、招标文件及技术要求_x000D_
(5)建筑物超高增加费</t>
  </si>
  <si>
    <t>内墙2a 、内墙2b、内墙3、内墙3a （无保温）墙体 （住宅公区、地下室、住宅）</t>
  </si>
  <si>
    <t>(1)墙体:20厚M20水泥砂浆分层抹平_x000D_
(2)基层墙体_x000D_
(3)满足设计图纸、相关规范、招标文件及技术要求_x000D_
(4)建筑物超高增加费</t>
  </si>
  <si>
    <t>内墙2b 面砖墙面(防水)（有保温）墙体（公共配套）</t>
  </si>
  <si>
    <t>(1)专用粘结剂粘贴内墙面砖,用配套勾缝剂勾缝,8-10mm厚瓷砖
(2)3厚高分子益胶泥(注:住宅卫生间防水层高度至至天花板底,厨房防水层高度至楼地面完成面1200,下部与楼地面防水层的上翻部分搭接搭接宽度300)
(3)10厚抗裂砂浆,中间压入一道耐碱玻纤网格布
(4)25mm玻化微珠保温砂浆
(5)墙体:20厚M20水泥砂浆分层抹平
(6)基层墙体
(7)满足设计图纸、相关规范、招标文件及技术要求
(8)建筑物超高增加费</t>
  </si>
  <si>
    <t>内墙2b 面砖墙面(防水)（无保温）墙体（公共配套）</t>
  </si>
  <si>
    <t>(1)专用粘结剂粘贴内墙面砖,用配套勾缝剂勾缝,8-10mm厚瓷砖
(2)3厚高分子益胶泥(注:住宅卫生间防水层高度至至天花板底,厨房防水层高度至楼地面完成面1200,下部与楼地面防水层的上翻部分搭接搭接宽度300)
(3)墙体:20厚M20水泥砂浆分层抹平
(4)基层墙体
(5)满足设计图纸、相关规范、招标文件及技术要求
(6)建筑物超高增加费</t>
  </si>
  <si>
    <t>内墙3 乳胶漆墙面（有保温）墙体（公共配套）</t>
  </si>
  <si>
    <t>(1)乳胶漆一底二涂
(2)墙面满刮腻子二道找平
(3)10厚抗裂砂浆,中间压入一道耐碱玻纤网格布
(4)20mm玻化微珠保温砂浆
(5)墙体:20厚M20水泥砂浆分层抹平
(6)基层墙体
(7)满足设计图纸、相关规范、招标文件及技术要求
(8)建筑物超高增加费</t>
  </si>
  <si>
    <t>内墙3 乳胶漆墙面（无保温）墙体（公共配套）</t>
  </si>
  <si>
    <t>(1)乳胶漆一底二涂
(2)墙面满刮腻子二道找平
(3)墙体:20厚M20水泥砂浆分层抹平
(4)基层墙体
(5)满足设计图纸、相关规范、招标文件及技术要求
(6)建筑物超高增加费</t>
  </si>
  <si>
    <t>内墙4b 涂料墙面（有保温）墙体（住宅公区、公共配套、地下室）</t>
  </si>
  <si>
    <t>(1)无机涂料(A级)一底二涂_x000D_
(2)墙面满刮外墙腻子二道找平_x000D_
(3)10厚抗裂砂浆,中间压入一道耐碱玻纤网格布_x000D_
(4)20mm玻化微珠保温砂浆_x000D_
(5)墙体:20厚M20水泥砂浆分层抹平_x000D_
(6)基层墙体_x000D_
(7)满足设计图纸、相关规范、招标文件及技术要求_x000D_
(8)建筑物超高增加费</t>
  </si>
  <si>
    <r>
      <t xml:space="preserve">(1)无机涂料(A级)一底二涂
(2)墙面满刮外墙腻子二道找平
(3)10厚抗裂砂浆,中间压入一道耐碱玻纤网格布
</t>
    </r>
    <r>
      <rPr>
        <sz val="9"/>
        <color indexed="10"/>
        <rFont val="宋体"/>
        <family val="3"/>
        <charset val="134"/>
      </rPr>
      <t>(4)20mm玻化微珠保温砂浆</t>
    </r>
    <r>
      <rPr>
        <sz val="9"/>
        <color indexed="8"/>
        <rFont val="宋体"/>
        <family val="3"/>
        <charset val="134"/>
      </rPr>
      <t xml:space="preserve">
(5)墙体:20厚M20水泥砂浆分层抹平
(6)基层墙体
(7)满足设计图纸、相关规范、招标文件及技术要求
(8)建筑物超高增加费</t>
    </r>
  </si>
  <si>
    <t>(1)15厚M15水泥砂浆分层抹平_x000D_
(2)素水泥浆一道_x000D_
(3)基层墙体_x000D_
(4)满足设计图纸、相关规范、招标文件及技术要求_x000D_
(5)建筑物超高增加费</t>
  </si>
  <si>
    <t>(1)1.8米以下采用聚合物水泥砂浆找平层，5mm厚M10湿拌砂浆(WP10)_x000D_
(2)素水泥浆一道_x000D_
(3)基层墙体_x000D_
(4)满足设计图纸、相关规范、招标文件及技术要求_x000D_
(5)建筑物超高增加费</t>
  </si>
  <si>
    <t>(1)1.8米以上采用水泥砂浆找平层，5mm厚M10湿拌砂浆(WP10)_x000D_
(2)素水泥浆一道_x000D_
(3)基层墙体_x000D_
(4)满足设计图纸、相关规范、招标文件及技术要求_x000D_
(5)建筑物超高增加费</t>
  </si>
  <si>
    <t xml:space="preserve">   外墙</t>
  </si>
  <si>
    <t>外墙1a 真石漆外墙(非铝膜外墙)</t>
  </si>
  <si>
    <t>(1)涂装封闭底漆+弹涂分格+喷涂真石漆+涂装罩面漆
(2)柔性耐水腻子二遍刮平(两遍总厚度1.5mm厚)
(3)3厚高分子益胶泥防水层(刮涂)，不同防水材料交界处相互叠加200宽
(4)8厚聚合物水泥防水砂浆
(5)12厚M15水泥砂浆找平层
(6)外墙满挂钢丝网(丝径0.9,网格中心距12.7x12.7)
(7)墙体基层
(8)满足设计图纸、相关规范、招标文件及技术要求
(9)建筑物超高增加费</t>
  </si>
  <si>
    <t>外墙2a 幕墙外墙(非铝膜外墙)</t>
  </si>
  <si>
    <t>(1)面层及龙骨做法(详幕墙设计)_x000D_
(2)1.2厚聚合物水泥防水涂料(Ⅱ型)，不同防水材料交界处相互叠加200宽_x000D_
(3)8厚聚合物水泥防水砂浆_x000D_
(4)12厚M15水泥砂浆找平层_x000D_
(5)外墙满挂钢丝网(丝径0.9,网格中心距12.7x12.7)_x000D_
(6)墙体基层_x000D_
(7)满足设计图纸、相关规范、招标文件及技术要求_x000D_
(8)建筑物超高增加费</t>
  </si>
  <si>
    <t xml:space="preserve"> 踢脚工程</t>
  </si>
  <si>
    <t>(1)5厚M20水泥砂浆抹面压光，高度100mm_x000D_
(2)墙体基层处理_x000D_
(3)满足设计图纸、相关规范、招标文件及技术要求_x000D_
(4)建筑物超高增加费</t>
  </si>
  <si>
    <t>(1)10厚专用面砖踢脚板,白水泥浆擦缝，高度100mm_x000D_
(2)5厚M20水泥砂浆结合层_x000D_
(3)10厚M15水泥砂浆打底扫毛_x000D_
(4)墙体基层处理_x000D_
(5)满足设计图纸、相关规范、招标文件及技术要求_x000D_
(6)建筑物超高增加费</t>
  </si>
  <si>
    <t>(1)面刷防静电环氧地坪漆(防静电地坪漆A级)_x000D_
(2)满刮建筑胶水泥腻子,打磨平整_x000D_
(3)5~8厚M15水泥砂浆_x000D_
(4)界面剂一道_x000D_
(5)墙体基层处理_x000D_
(6)满足设计图纸、相关规范、招标文件及技术要求_x000D_
(7)建筑物超高增加费</t>
  </si>
  <si>
    <t>踢4 金属踢脚</t>
  </si>
  <si>
    <t>(1)3mm厚100mm高防静电金属踢脚板(水泥钉与墙体钉牢,自攻螺丝与金属架固定)_x000D_
(2)墙体基层处理_x000D_
(3)满足设计图纸、相关规范、招标文件及技术要求_x000D_
(4)建筑物超高增加费</t>
  </si>
  <si>
    <t xml:space="preserve"> 天棚工程</t>
  </si>
  <si>
    <t>顶1 吊顶顶棚  公共配套</t>
  </si>
  <si>
    <t>(1)吊顶，方形铝板(金属板)，铝扣板300*300*0.8，（再生资源回收站的吊顶选用浅色吊顶）_x000D_
(2)轻钢龙骨@600标准骨架,现场自攻螺丝固定，非上人型_x000D_
(3)钢筋混凝土板底清理_x000D_
(4)满足设计图纸、相关规范、招标文件及技术要求_x000D_
(5)建筑物超高增加费</t>
  </si>
  <si>
    <t>顶1 吊顶顶棚 （架空层）公共配套</t>
  </si>
  <si>
    <t>(1)吊顶，仿木纹外观效果的铝方格栅吊顶，木纹格栅25*120*1.2_x000D_
(2)轻钢龙骨@600标准骨架,现场自攻螺丝固定，非上人型_x000D_
(3)钢筋混凝土板底清理_x000D_
(4)满足设计图纸、相关规范、招标文件及技术要求_x000D_
(5)建筑物超高增加费</t>
  </si>
  <si>
    <t>(1)无机涂料(A级)一底二涂_x000D_
(2)墙面满刮外墙腻子二道找平_x000D_
(3)素水泥浆一道_x000D_
(4)钢筋混凝土板底清理_x000D_
(5)满足设计图纸、相关规范、招标文件及技术要求_x000D_
(6)建筑物超高增加费</t>
  </si>
  <si>
    <t>顶3 乳胶漆顶棚 （公共配套）</t>
  </si>
  <si>
    <t>(1)乳胶漆一底二涂_x000D_
(2)墙面满刮腻子二道找平_x000D_
(3)素水泥浆一道_x000D_
(4)钢筋混凝土板底清理_x000D_
(5)满足设计图纸、相关规范、招标文件及技术要求_x000D_
(6)建筑物超高增加费</t>
  </si>
  <si>
    <t>(1)吸音棉50mm厚,≥32Kg/m3_x000D_
(2)0.6mm铝合金孔板_x000D_
(3)三角龙骨及L40*40*5万能角铁_x000D_
(4)镀锌螺纹吊杆Φ6_x000D_
(5)膨胀螺栓Φ6X60_x000D_
(6)钢筋混凝土板底清理_x000D_
(7)满足设计图纸、相关规范、招标文件及技术要求_x000D_
(8)建筑物超高增加费</t>
  </si>
  <si>
    <t xml:space="preserve"> 台阶、散水</t>
  </si>
  <si>
    <t>台/坡1 (有结构板)</t>
  </si>
  <si>
    <t>(1)20厚M20水泥砂浆_x000D_
(2)水泥浆一道(内掺建筑胶)_x000D_
(3)钢筋混凝土楼板_x000D_
(4)满足设计图纸、相关规范、招标文件及技术要求_x000D_
(5)建筑物超高增加费</t>
  </si>
  <si>
    <t>台/坡2 (无结构板)</t>
  </si>
  <si>
    <t>(1)100厚C15混凝土垫层兼台阶踏步_x000D_
(2)300厚级配砂石碾实_x000D_
(3)素土夯实,压实系数≥0.94_x000D_
(4)满足设计图纸、相关规范、招标文件及技术要求_x000D_
(5)建筑物超高增加费</t>
  </si>
  <si>
    <t>散水</t>
  </si>
  <si>
    <t>(1)60厚C20混凝土,抹平收光(每隔10m设20mm宽伸缩缝一道,缝内嵌建筑密封胶),宽度不小于800mm_x000D_
(2)150mm厚卵石(砾石)垫层(5~32粒径)_x000D_
(3)素土夯实,向外坡5%,压实系数≥0.94_x000D_
(4)满足设计图纸、相关规范、招标文件及技术要求_x000D_
(5)建筑物超高增加费</t>
  </si>
  <si>
    <t xml:space="preserve"> 屋面工程</t>
  </si>
  <si>
    <t>屋1（Ⅰ级防水，有保温层）上人屋面</t>
  </si>
  <si>
    <t>(1)8mm厚防滑地砖,干混陶瓷砖粘结砂浆(≤5厚)满粘、填缝(湿态静摩擦系数≥0.6)，(屋面材料的太阳辐射反射系数不小于0.4)
(2)25厚M20预拌地面砂浆找平
(3)50厚(最薄处)C25细石混凝土保护层兼找坡,内配c6@150双向钢筋网,分格缝纵横不大于4mx4m,缝宽10,钢筋网片在分格缝处应断开,采用单组份聚氨酯建筑密封胶嵌缝
(4)聚酯无纺布隔离层一道(250g/m2)
(5)100厚挤塑聚苯板(燃烧性能B1级,厚度100mm,体积吸水率不应大于3%,抗压强度不应小于150Kpa,设计厚度应按计算厚度增加25%取值)
(6)3mm厚自粘聚合物改性沥青防水卷材(PY类),四周返高至结构面以上600,且不小于完成面以上300
(7)3.0厚自粘聚合物改性沥青防水卷材(PY类双面粘),四周返高至结构面以上600,且不小于完成面以上300
(8)2.5mm厚非固化橡胶沥青防水涂料,四周返高至结构面以上600,且不小于完成面以上300
(9)钢筋混凝土基层清理干净,缺陷修补平整
(10)满足设计图纸、相关规范、招标文件及技术要求
(11)建筑物超高增加费</t>
  </si>
  <si>
    <t>屋2（Ⅰ级防水有保温层）不上人屋面</t>
  </si>
  <si>
    <t>(1)50厚(最薄处)C25细石混凝土保护层兼找坡,内配c6@150双向钢筋网,分格缝纵横不大于4mx4m,缝宽10,钢筋网片在分格缝处应断开,采用单组份聚氨酯建筑密封胶嵌缝_x000D_
(2)聚酯无纺布隔离层一道(250g/m2)_x000D_
(3)挤塑聚苯板保温层(燃烧性能B1级,厚度100mm,体积吸水率不应大于3%,抗压强度不应小于150Kpa,设计厚度已按计算厚度增加25%取值)_x000D_
(4)3mm厚自粘聚合物改性沥青防水卷材(PY类),四周返高至结构面以上600,且不小于完成面以上300_x000D_
(5)3.0厚自粘聚合物改性沥青防水卷材(PY类双面粘),四周返高至结构面以上600,且不小于完成面以上300_x000D_
(6)2.5mm厚非固化橡胶沥青防水涂料,四周返高至结构面以上600,且不小于完成面以上300_x000D_
(7)钢筋混凝土基层清理干净,缺陷修补平整_x000D_
(8)满足设计图纸、相关规范、招标文件及技术要求_x000D_
(9)建筑物超高增加费</t>
  </si>
  <si>
    <t>屋3（Ⅰ级防水）种植屋面</t>
  </si>
  <si>
    <t>(1)100厚C20混凝土垫层_x000D_
(2)150厚6%水泥石粉渣_x000D_
(3)聚酯无纺布滤水层(300g/m2)四周上返100,端部用粘结剂50高_x000D_
(4)20厚,50高疏水板(重量不小于1200g/m2,抗压负荷不小于300Kpa/m2)_x000D_
(5)50厚(最薄处)C25细石混凝土保护层兼找坡,内配c6@150双向钢筋网,分格缝纵横不大于4mx4m,缝宽10,钢筋网片在分格缝处应断开,采用单组份聚氨酯建筑密封胶嵌缝_x000D_
(6)聚酯无纺布隔离层一道(250g/m2)_x000D_
(7)挤塑聚苯板保温层(燃烧性能B1级,厚度100mm,体积吸水率不应大于3%,抗压强度不应小于150Kpa,设计厚度已按计算厚度增加25%取值)_x000D_
(8)4.0mm厚自粘耐根穿刺改性沥青防水卷材,四周返高至结构面以上600,且不小于完成面以上300_x000D_
(9)3.0mm厚自粘聚合物改性沥青防水卷材(PY类),四周返高至结构面以上600,且不小于完成面以上300_x000D_
(10)2.5厚非固化橡胶沥青防水涂料,四周返高至结构面以上600,且不小于完成面以上300_x000D_
(11)钢筋混凝土基层清理干净,缺陷修补平整_x000D_
(12)满足设计图纸、相关规范、招标文件及技术要求_x000D_
(13)建筑物超高增加费</t>
  </si>
  <si>
    <t>屋4 雨棚</t>
  </si>
  <si>
    <t>(1)同相邻外墙材质及颜色,并在檐下三边做滴水线
(2)20厚水泥砂浆保护层,保持找坡
(3)3厚高分子益胶泥(刮涂)水平及上返高度不小于300,左右延伸不小于150
(4)水泥砂浆找坡,阴角处抹圆角,半径大于50;砂浆最薄处不得小于15;无组织排水时向外(滴水面)找坡不小于2%,有组织排水时向地漏位置找坡不小于2%
(5)钢筋混凝土结构板,混凝土板与根部混凝土反坎同时支模,一次性浇注
(6)满足设计图纸、相关规范、招标文件及技术要求
(7)建筑物超高增加费</t>
  </si>
  <si>
    <t>屋5 室外平台</t>
  </si>
  <si>
    <t>(1)8厚防滑地砖,干混陶瓷砖粘结砂浆(≤5厚)满粘、填缝(湿态静摩擦系数≥0.6)，(屋面材料的太阳辐射反射系数不小于0.4)
(2)25厚M20预拌地面砂浆找平
(3)15厚(最薄处)M15水泥砂浆保护层兼找坡,坡向地漏
(4)20厚挤塑聚苯板保温层(燃烧性能B1级,体积吸水率不应大于3%,抗压强度不应小于150Kpa,设计厚度应按计算厚度增加25%取值)
(5)2厚聚氨酯防水涂料,四周返高至结构面以上600,且不小于完成面以上300
(6)钢筋混凝土基层清理干净,缺陷修补平整
(7)满足设计图纸、相关规范、招标文件及技术要求
(8)建筑物超高增加费</t>
  </si>
  <si>
    <t xml:space="preserve"> 玻璃幕墙</t>
  </si>
  <si>
    <t>玻璃幕墙</t>
  </si>
  <si>
    <t>(1)玻璃幕墙，含弧面、玻璃门、可开启窗、五金等综合考虑_x000D_
(2)断热铝合金+较低透光Low-E中空玻璃(6+12A+6)_x000D_
(3)满足设计图纸、相关规范、招标文件及技术要求_x000D_
(4)建筑物超高增加费</t>
  </si>
  <si>
    <t xml:space="preserve"> 栏杆、栏板</t>
  </si>
  <si>
    <t>(1)楼梯栏杆，900mm高，满足验收标准
(2)材质：镀锌方管，镀锌圆管，预埋件等，综合考虑
(3)图纸位置:AW-0802-9
(4)满足设计图纸、相关规范、招标文件及技术要求
(5)建筑物超高增加费</t>
  </si>
  <si>
    <t>护窗栏杆</t>
  </si>
  <si>
    <t>(1)护窗栏杆，1020mm高，满足验收标准_x000D_
(2)材质：铝合金方管，预埋件等，综合考虑_x000D_
(3)图纸位置:AW-0801-4_x000D_
(4)满足设计图纸、相关规范、招标文件及技术要求_x000D_
(5)建筑物超高增加费</t>
  </si>
  <si>
    <t>防护栏杆</t>
  </si>
  <si>
    <t>(1)防护栏杆，1200mm高，满足验收标准
(2)镀锌钢栏杆，预埋件等综合考虑
(3)做法参15J403-1-D16
(4)满足设计图纸、相关规范、招标文件及技术要求
(5)建筑物超高增加费</t>
  </si>
  <si>
    <t xml:space="preserve"> 钢板、不锈钢地面</t>
  </si>
  <si>
    <t>楼14 不锈钢板楼面</t>
  </si>
  <si>
    <t>(1)3.0厚不锈钢排水沟,SS304拉丝不锈钢刨槽防滑板(成品定制),背面刮涂瓷砖胶拼缝(塞焊孔)满焊,焊缝打磨平整
(2)钢筋混凝土基层清理干净,缺陷修补平整,预埋网格钢龙骨及预埋钢板
(3)满足设计图纸、相关规范、招标文件及技术要求
(4)建筑物超高增加费</t>
  </si>
  <si>
    <t>楼15 5厚钢板楼面</t>
  </si>
  <si>
    <t>(1)5厚钢板(表面防腐防锈处理),背面刮涂瓷砖胶,塞焊孔满焊,焊缝打磨平整
(2)预埋钢板200*200*12
(3)钢筋混凝土基层清理干净,缺陷修补平整,预埋钢板
(4)满足设计图纸、相关规范、招标文件及技术要求
(5)建筑物超高增加费</t>
  </si>
  <si>
    <t xml:space="preserve"> 其他</t>
  </si>
  <si>
    <t>防洪板</t>
  </si>
  <si>
    <t>(1)定型产品铝合金防淹板
(2)镀铬槽钢，槽钢孔，预埋件，内设胶垫做衬面，40厚铝合金防淹板，做凹凸槽
(3)详见07FJ02-133
(4)满足设计图纸、相关规范、招标文件及技术要求
(5)建筑物超高增加费</t>
  </si>
  <si>
    <t>十</t>
  </si>
  <si>
    <t>楼3b 防滑地砖楼面(有防水、有沉箱) （住宅）</t>
  </si>
  <si>
    <t>(1)15厚(最薄处)M15水泥砂浆保护层兼找坡,坡向地漏
(2)2厚聚合物水泥防水涂料(Ⅱ型),四周上翻超过地面完成面300,管周、管井、地漏、阴阳角等薄弱部位做防水附加层,墙角处沿墙高和楼板水平方向附加层范围各300
(3)15厚M15水泥砂浆面层收光
(4)250~300厚水泥陶粒混凝土1:3:6填充层
(5)15厚(最薄处)M20聚合物水泥砂浆保护兼找坡层向二次排水口找坡
(6)1.5厚聚氨酯防水涂料(内衬耐碱玻纤网格布),四周上翻超过地面完成面300,管周、管井、地漏、阴阳角等薄弱部位，做防水附加层,墙角处沿墙高和楼板水平方向附加层范围各300
(7)钢筋混凝土基层清理干净,缺陷修补平整
(8)满足设计图纸、相关规范、招标文件及技术要求
(9)建筑物超高增加费</t>
  </si>
  <si>
    <t>楼3c 防滑地砖楼面(有防水、无沉箱) （住宅）</t>
  </si>
  <si>
    <t>(1)20厚(最薄处)预拌普通防水砂浆(兼找平找坡≥P6,坡向地漏)
(2)2厚聚合物水泥防水涂料(Ⅱ型),四周上翻超过地面完成面300,管道、管井、地漏、阴阳角等薄弱部位做防水附加层,墙角处沿墙高和楼板水平方向附加层范围各300
(3)钢筋混凝土基层清理干净,缺陷修补平整
(4)满足设计图纸、相关规范、招标文件及技术要求
(5)建筑物超高增加费</t>
  </si>
  <si>
    <t>楼3d 防滑地砖楼面(有防水) （住宅）</t>
  </si>
  <si>
    <t>(1)20厚M15水泥砂浆保护层_x000D_
(2)2厚聚合物水泥防水涂料(Ⅱ型),四周上翻超过地面完成面300,管道、烟道、阴阳角等薄弱部位，做防水附加层,墙角处沿墙高和楼板水平方向附加层范围各300_x000D_
(3)钢筋混凝土基层清理干净,缺陷修补平整_x000D_
(4)满足设计图纸、相关规范、招标文件及技术要求_x000D_
(5)建筑物超高增加费</t>
  </si>
  <si>
    <t>(1)15厚(最薄处)M15水泥砂浆保护层兼找坡,坡向地漏_x000D_
(2)2厚聚合物水泥防水涂料(Ⅱ型),四周返高至完成面以上300,上返部位撒粗砂,附加防水层从阳台门墙面向外延伸至少250,并上翻至阳台门槛处(高出阳台完成面)_x000D_
(3)钢筋混凝土基层清理干净,缺陷修补平整_x000D_
(4)门框下槛采用聚合物防水砂浆塞缝,门槛两侧的门槛石下方采用高分子益胶泥填塞_x000D_
(5)满足设计图纸、相关规范、招标文件及技术要求_x000D_
(6)建筑物超高增加费</t>
  </si>
  <si>
    <t>楼3e 填充（结构降板300的阳台）</t>
  </si>
  <si>
    <t>(1)基层处理剂一道_x000D_
(2)200厚水泥陶粒混凝土1:3:6填充层_x000D_
(3)满足设计图纸、相关规范、招标文件及技术要求_x000D_
(4)建筑物超高增加费</t>
  </si>
  <si>
    <t>楼3f 防滑地砖楼面(有防水、有保温)保温砂浆（架空休闲）</t>
  </si>
  <si>
    <t>(1)50厚(最薄处)C25细石混凝土保护层兼找坡,内配c4@100双向钢筋网,分格缝纵横不大于4mx4m,缝宽10,钢筋网片在分格缝处应断开,采用单组份聚氨酯建筑密封胶嵌缝
(2)聚酯无纺布隔离层一道(250g/m2)
(3)100厚挤塑聚苯板
(4)3.0厚自粘聚合物改性沥青防水卷材(PY类)一道,四周返高至结构面以上600,且不小于完成面以上300,上返部位撒粗砂,附加防水层从阳台门墙面向外延伸至少250,并上翻至阳台门槛处(高出阳台完成面)
(5)3.0厚自粘聚合物改性沥青防水卷材(PY类双面粘),四周返高至结构面以上600,且不小于完成面以上300
(6)2.5mm厚非固化橡胶沥青防水涂料,四周返高至结构面以上600,且不小于完成面以上300
(7)满足设计图纸、相关规范、招标文件及技术要求
(8)建筑物超高增加费</t>
  </si>
  <si>
    <t>(1)8-10厚防滑地砖,干水泥砂浆填缝_x000D_
(2)20厚M15水泥砂浆结合层,面撒水泥粉_x000D_
(3)其他非底层:20厚M15水泥砂浆找平_x000D_
(4)钢筋混凝土底板自防水,抗渗等级按设计要求,防水另详/钢筋混凝土基层清理干净,缺陷修补平整_x000D_
(5)满足设计图纸、相关规范、招标文件及技术要求_x000D_
(6)建筑物超高增加费</t>
  </si>
  <si>
    <t>楼4a 防滑地砖楼面 （住宅公区）</t>
  </si>
  <si>
    <t>(1)其他非底层:20厚M15水泥砂浆找平_x000D_
(2)钢筋混凝土底板自防水,抗渗等级按设计要求,防水另详/钢筋混凝土基层清理干净,缺陷修补平整_x000D_
(3)满足设计图纸、相关规范、招标文件及技术要求_x000D_
(4)建筑物超高增加费</t>
  </si>
  <si>
    <t>楼4b 防滑地砖楼面 （住宅）</t>
  </si>
  <si>
    <t>(1)25厚M20水泥砂浆找平层
(2)5厚水性阻尼隔音涂料,四周沿墙上翻300(楼板计权撞击声压级不大于65dB)
(3)钢筋混凝土基层清理干净,缺陷修补平整
(4)满足设计图纸、相关规范、招标文件及技术要求
(5)建筑物超高增加费</t>
  </si>
  <si>
    <t>楼10a 防静电地坪漆楼面（公共配套、地下室）</t>
  </si>
  <si>
    <t>(1)防静电地坪漆(A级)两道,5mm厚_x000D_
(2)40厚C20细石混凝土随捣随抹光_x000D_
(3)钢筋混凝土底板自防水,抗渗等级按设计要求,防水另详/钢筋混凝土基层清理干净,缺陷修补平整_x000D_
(4)满足设计图纸、相关规范、招标文件及技术要求_x000D_
(5)建筑物超高增加费</t>
  </si>
  <si>
    <t>(1)100厚C20混凝土垫层_x000D_
(2)150厚6%水泥石粉渣_x000D_
(3)聚酯无纺布滤水层(300g/m2)四周上返100,端部用粘结剂50高_x000D_
(4)疏水板(重量不小于1200g/m2,抗压负荷不小于300Kpa/m2)_x000D_
(5)50厚(最薄处)C25细石混凝土保护层兼找坡,内配c6@150双向钢筋网,分格缝纵横不大于4mx4m,缝宽10,钢筋网片在分格缝处应断开,采用单组份聚氨酯建筑密封胶嵌缝_x000D_
(6)聚酯无纺布隔离层一道250g/m2_x000D_
(7)4.0mm厚自粘耐根穿刺改性沥青防水卷材,四周返高至结构面以上600,且不小于完成面以上300_x000D_
(8)3.0mm厚自粘聚合物改性沥青防水卷材(PY类),四周返高至结构面以上600,且不小于完成面以上300_x000D_
(9)2.5厚非固化橡胶沥青防水涂料,四周返高至结构面以上600,且不小于完成面以上300_x000D_
(10)钢筋混凝土基层清理干净,缺陷修补平整_x000D_
(11)满足设计图纸、相关规范、招标文件及技术要求_x000D_
(12)建筑物超高增加费</t>
  </si>
  <si>
    <t>(1)专用粘结剂粘贴面砖(到顶),美缝剂勾缝，8-10mm厚瓷砖_x000D_
(2)10厚抗裂砂浆,中间压入一道耐碱玻纤网格布_x000D_
(3)20mm玻化微珠保温砂浆_x000D_
(4)墙体:20厚M20水泥砂浆分层抹平_x000D_
(5)基层墙体_x000D_
(6)满足设计图纸、相关规范、招标文件及技术要求_x000D_
(7)建筑物超高增加费</t>
  </si>
  <si>
    <t>内墙2a 面砖墙面（有保温）墙体 （住宅公区、地下室）</t>
  </si>
  <si>
    <t>(1)10厚抗裂砂浆,中间压入一道耐碱玻纤网格布_x000D_
(2)20mm玻化微珠保温砂浆_x000D_
(3)墙体:20厚M20水泥砂浆分层抹平_x000D_
(4)基层墙体_x000D_
(5)满足设计图纸、相关规范、招标文件及技术要求_x000D_
(6)建筑物超高增加费</t>
  </si>
  <si>
    <t>内墙2a 面砖墙面（有保温）预制墙体（住宅公区、地下室）</t>
  </si>
  <si>
    <t>(1)10厚抗裂砂浆,中间压入一道耐碱玻纤网格布_x000D_
(2)20mm玻化微珠保温砂浆_x000D_
(3)预制墙板墙体:界面剂一道_x000D_
(4)基层墙体_x000D_
(5)满足设计图纸、相关规范、招标文件及技术要求_x000D_
(6)建筑物超高增加费</t>
  </si>
  <si>
    <t>(1)专用粘结剂粘贴面砖(到顶),美缝剂勾缝，8-10mm厚瓷砖_x000D_
(2)墙体:20厚M20水泥砂浆分层抹平_x000D_
(3)基层墙体_x000D_
(4)满足设计图纸、相关规范、招标文件及技术要求_x000D_
(5)建筑物超高增加费</t>
  </si>
  <si>
    <t>内墙2a 、内墙2b、内墙3、内墙3a （无保温）预制墙体（住宅公区、地下室、住宅）</t>
  </si>
  <si>
    <t>(1)预制墙板墙体:界面剂一道_x000D_
(2)基层墙体_x000D_
(3)满足设计图纸、相关规范、招标文件及技术要求_x000D_
(4)建筑物超高增加费</t>
  </si>
  <si>
    <t>内墙2b 面砖墙面(防水)（有保温）墙体（住宅）</t>
  </si>
  <si>
    <t>(1)3厚高分子益胶泥(注:住宅卫生间防水层高度至至天花板底,厨房防水层高度至楼地面完成面1200,下部与楼地面防水层的上翻部分搭接搭接宽度300)_x000D_
(2)10厚抗裂砂浆,中间压入一道耐碱玻纤网格布_x000D_
(3)25mm玻化微珠保温砂浆_x000D_
(4)墙体:20厚M20水泥砂浆分层抹平_x000D_
(5)基层墙体_x000D_
(6)满足设计图纸、相关规范、招标文件及技术要求_x000D_
(7)建筑物超高增加费</t>
  </si>
  <si>
    <t>内墙2b 面砖墙面(防水)（有保温）预制墙体（住宅）</t>
  </si>
  <si>
    <t>(1)3厚高分子益胶泥(注:住宅卫生间防水层高度至至天花板底,厨房防水层高度至楼地面完成面1200,下部与楼地面防水层的上翻部分搭接搭接宽度300)_x000D_
(2)10厚抗裂砂浆,中间压入一道耐碱玻纤网格布_x000D_
(3)25mm玻化微珠保温砂浆_x000D_
(4)预制墙板墙体:界面剂一道_x000D_
(5)基层墙体_x000D_
(6)满足设计图纸、相关规范、招标文件及技术要求_x000D_
(7)建筑物超高增加费</t>
  </si>
  <si>
    <t>(1)乳胶漆一底二涂_x000D_
(2)墙面满刮腻子二道找平_x000D_
(3)墙体:20厚M20水泥砂浆分层抹平_x000D_
(4)基层墙体_x000D_
(5)满足设计图纸、相关规范、招标文件及技术要求_x000D_
(6)建筑物超高增加费</t>
  </si>
  <si>
    <t>内墙3a 乳胶漆墙面（有保温）墙体（住宅）</t>
  </si>
  <si>
    <t>(1)35mmXPS+12mm纸面石膏板,专用粘结剂黏贴,塑料锚栓双向中距500锚固
(2)墙体:20厚M20水泥砂浆分层抹平
(3)基层墙体
(4)满足设计图纸、相关规范、招标文件及技术要求
(5)建筑物超高增加费</t>
  </si>
  <si>
    <t>内墙3a 乳胶漆墙面（有保温）预制墙体（住宅）</t>
  </si>
  <si>
    <t>(1)35mmXPS+12mm纸面石膏板,专用粘结剂黏贴,塑料锚栓双向中距500锚固_x000D_
(2)预制墙板墙体:界面剂一道_x000D_
(3)基层墙体_x000D_
(4)满足设计图纸、相关规范、招标文件及技术要求_x000D_
(5)建筑物超高增加费</t>
  </si>
  <si>
    <t>(1)无机涂料(A级)一底二涂_x000D_
(2)满刮耐水外墙腻子,打磨平整_x000D_
(3)3厚高分子益胶泥_x000D_
(4)墙体:20厚M20水泥砂浆分层抹平_x000D_
(5)基层墙体_x000D_
(6)满足设计图纸、相关规范、招标文件及技术要求_x000D_
(7)建筑物超高增加费</t>
  </si>
  <si>
    <t>内墙4b 涂料墙面（有保温）预制墙板（住宅公区、公共配套、地下室）</t>
  </si>
  <si>
    <t>(1)无机涂料(A级)一底二涂_x000D_
(2)墙面满刮外墙腻子二道找平_x000D_
(3)10厚抗裂砂浆,中间压入一道耐碱玻纤网格布_x000D_
(4)20mm玻化微珠保温砂浆_x000D_
(5)预制墙板墙体:界面剂一道_x000D_
(6)基层墙体_x000D_
(7)满足设计图纸、相关规范、招标文件及技术要求_x000D_
(8)建筑物超高增加费</t>
  </si>
  <si>
    <t>内墙4b 涂料墙面（无保温）预制墙板（住宅公区、公共配套、地下室）</t>
  </si>
  <si>
    <t>外墙</t>
  </si>
  <si>
    <t>外墙1b 真石漆外墙(铝膜外墙)</t>
  </si>
  <si>
    <t>(1)涂装封闭底漆+弹涂分格+喷涂真石漆+涂装罩面漆
(2)柔性耐水腻子二遍刮平(两遍总厚度1.5mm厚)
(3)1.5厚聚合物水泥防水涂料(Ⅱ型)
(4)界面剂一道
(5)墙体基层
(6)满足设计图纸、相关规范、招标文件及技术要求
(7)建筑物超高增加费</t>
  </si>
  <si>
    <t>外墙2b 幕墙外墙(铝膜外墙)</t>
  </si>
  <si>
    <t>(1)面层及龙骨做法(详幕墙设计)_x000D_
(2)柔性耐水腻子二遍刮平(两遍总厚度1.5mm厚)_x000D_
(3)1.5厚聚合物水泥防水涂料(Ⅱ型)_x000D_
(4)界面剂一道_x000D_
(5)墙体基层_x000D_
(6)满足设计图纸、相关规范、招标文件及技术要求_x000D_
(7)建筑物超高增加费</t>
  </si>
  <si>
    <t>(1)吊顶，方形铝板(金属板)，铝扣板300*300*0.8_x000D_
(2)轻钢龙骨@600标准骨架,现场自攻螺丝固定，非上人型_x000D_
(3)钢筋混凝土板底清理_x000D_
(4)满足设计图纸、相关规范、招标文件及技术要求_x000D_
(5)建筑物超高增加费</t>
  </si>
  <si>
    <t>顶1 吊顶顶棚 （住宅卫生间）公共配套</t>
  </si>
  <si>
    <t>(1)1.0厚JS-Ⅱ涂膜防潮层_x000D_
(2)钢筋混凝土板底清理_x000D_
(3)满足设计图纸、相关规范、招标文件及技术要求_x000D_
(4)建筑物超高增加费</t>
  </si>
  <si>
    <t>凸窗</t>
  </si>
  <si>
    <t>凸窗顶板</t>
  </si>
  <si>
    <t>(1)15厚(最薄处)M20聚合物水泥砂浆保护层兼找坡,外找坡5%_x000D_
(2)3厚高分子益胶泥防水层(刮涂)_x000D_
(3)钢筋混凝土板底清理_x000D_
(4)满足设计图纸、相关规范、招标文件及技术要求_x000D_
(5)建筑物超高增加费</t>
  </si>
  <si>
    <t>凸窗顶板 预制凸窗时</t>
  </si>
  <si>
    <t>(1)15厚M20聚合物水泥砂浆保护层_x000D_
(2)3厚高分子益胶泥防水层(刮涂)_x000D_
(3)钢筋混凝土板底清理_x000D_
(4)满足设计图纸、相关规范、招标文件及技术要求_x000D_
(5)建筑物超高增加费</t>
  </si>
  <si>
    <t>屋面工程</t>
  </si>
  <si>
    <t>(1)8mm厚防滑地砖,干混陶瓷砖粘结砂浆(≤5厚)满粘、填缝(湿态静摩擦系数≥0.6)，(屋面材料的太阳辐射反射系数不小于0.4)_x000D_
(2)25厚M20预拌地面砂浆找平_x000D_
(3)50厚(最薄处)C25细石混凝土保护层兼找坡,内配c6@150双向钢筋网,分格缝纵横不大于4mx4m,缝宽10,钢筋网片在分格缝处应断开,采用单组份聚氨酯建筑密封胶嵌缝_x000D_
(4)聚酯无纺布隔离层一道(250g/m2)_x000D_
(5)100厚挤塑聚苯板(燃烧性能B1级,厚度100mm,体积吸水率不应大于3%,抗压强度不应小于150Kpa,设计厚度应按计算厚度增加25%取值)_x000D_
(6)3mm厚自粘聚合物改性沥青防水卷材(PY类),四周返高至结构面以上600,且不小于完成面以上300_x000D_
(7)3.0厚自粘聚合物改性沥青防水卷材(PY类双面粘),四周返高至结构面以上600,且不小于完成面以上300_x000D_
(8)2.5mm厚非固化橡胶沥青防水涂料,四周返高至结构面以上600,且不小于完成面以上300_x000D_
(9)钢筋混凝土基层清理干净,缺陷修补平整_x000D_
(10)满足设计图纸、相关规范、招标文件及技术要求_x000D_
(11)建筑物超高增加费</t>
  </si>
  <si>
    <t>(1)同相邻外墙材质及颜色,并在檐下三边做滴水线_x000D_
(2)20厚水泥砂浆保护层,保持找坡_x000D_
(3)3厚高分子益胶泥(刮涂)水平及上返高度不小于300,左右延伸不小于150_x000D_
(4)水泥砂浆找坡,阴角处抹圆角,半径大于50;砂浆最薄处不得小于15;无组织排水时向外(滴水面)找坡不小于2%,有组织排水时向地漏位置找坡不小于2%_x000D_
(5)钢筋混凝土结构板,混凝土板与根部混凝土反坎同时支模,一次性浇注_x000D_
(6)满足设计图纸、相关规范、招标文件及技术要求_x000D_
(7)建筑物超高增加费</t>
  </si>
  <si>
    <t>(1)8厚防滑地砖,干混陶瓷砖粘结砂浆(≤5厚)满粘、填缝(湿态静摩擦系数≥0.6)，(屋面材料的太阳辐射反射系数不小于0.4)_x000D_
(2)25厚M20预拌地面砂浆找平_x000D_
(3)15厚(最薄处)M15水泥砂浆保护层兼找坡,坡向地漏_x000D_
(4)20厚挤塑聚苯板保温层(燃烧性能B1级,体积吸水率不应大于3%,抗压强度不应小于150Kpa,设计厚度应按计算厚度增加25%取值)_x000D_
(5)2厚聚氨酯防水涂料,四周返高至结构面以上600,且不小于完成面以上300_x000D_
(6)钢筋混凝土基层清理干净,缺陷修补平整_x000D_
(7)满足设计图纸、相关规范、招标文件及技术要求_x000D_
(8)建筑物超高增加费</t>
  </si>
  <si>
    <t>屋6 Ⅰ级防水种植屋面</t>
  </si>
  <si>
    <t>(1)8厚防滑地砖,干混陶瓷砖粘结砂浆(≤5厚)满粘、填缝(湿态静摩擦系数≥0.6)(屋面材料的太阳辐射反射系数不小于0.4)_x000D_
(2)25厚M20预拌地面砂浆找平_x000D_
(3)50厚(最薄处)C25细石混凝土保护层兼找坡,内配c6@150双向钢筋网,分格缝纵横不大于4mx4m,缝宽10,钢筋网片在分格缝处应断开,采用单组份聚氨酯建筑密封胶嵌缝_x000D_
(4)聚酯无纺布隔离层一道(250g/m2)_x000D_
(5)挤塑聚苯板保温层(燃烧性能B1级,厚度100mm,体积吸水率不应大于3%,抗压强度不应小于150Kpa,设计厚度已按计算厚度增加25%取值)_x000D_
(6)4.0mm厚自粘耐根穿刺改性沥青防水卷材,四周返高至结构面以上600,且不小于完成面以上300_x000D_
(7)3.0mm厚自粘聚合物改性沥青防水卷材(PY类),四周返高至结构面以上600,且不小于完成面以上300_x000D_
(8)2.5厚非固化橡胶沥青防水涂料,四周返高至结构面以上600,且不小于完成面以上300_x000D_
(7)满足设计图纸、相关规范、招标文件及技术要求_x000D_
(8)建筑物超高增加费</t>
  </si>
  <si>
    <t>(1)楼梯栏杆，900mm高，满足验收标准_x000D_
(2)材质：镀锌方管，镀锌圆管，预埋件等，综合考虑_x000D_
(3)图纸位置:AW-0802-9_x000D_
(4)满足设计图纸、相关规范、招标文件及技术要求_x000D_
(5)建筑物超高增加费</t>
  </si>
  <si>
    <t>玻璃栏板（高1150）</t>
  </si>
  <si>
    <t>(1)玻璃栏杆，高1200mm_x000D_
(2)铝合金立柱,铝合金扶手面，扶手深灰色亚光氟碳喷涂_x000D_
(3)8+1.14PVB+8钢化夹胶玻璃,泡沫棒&amp;密封胶，橡胶垫片(L=100mm,3片)_x000D_
(4)钢板，预埋件，螺钉_x000D_
(5)柔性导电铜索(仅端部立柱设置)_x000D_
(6)图纸位置:AW-0801-8_x000D_
(7)满足设计图纸、相关规范、招标文件及技术要求_x000D_
(8)建筑物超高增加费</t>
  </si>
  <si>
    <t xml:space="preserve">砖砌台阶_x000D_
</t>
  </si>
  <si>
    <t>(1)砖砌台阶_x000D_
(2)满足设计图纸、相关规范、招标文件及技术要求_x000D_
(3)建筑物超高增加费</t>
  </si>
  <si>
    <t>(1)屋面钢爬梯，综合考虑_x000D_
(2)钢护笼，热镀锌钢管，预埋件等综合考虑_x000D_
(3)满足设计图纸、相关规范、招标文件及技术要求_x000D_
(4)图纸位置:AW-0801-5_x000D_
(5)建筑物超高增加费</t>
  </si>
  <si>
    <t>风帽</t>
  </si>
  <si>
    <t>(1)厨房排气道风帽，综合考虑_x000D_
(2)满足设计图纸、相关规范、招标文件及技术要求_x000D_
(3)建筑物超高增加费</t>
  </si>
  <si>
    <t>五防阀</t>
  </si>
  <si>
    <t>(1)厨房排气道五防阀，综合考虑_x000D_
(2)满足设计图纸、相关规范、招标文件及技术要求_x000D_
(3)建筑物超高增加费</t>
  </si>
  <si>
    <t>组合阀</t>
  </si>
  <si>
    <t>(1)厨房排气道组合阀，综合考虑_x000D_
(2)满足设计图纸、相关规范、招标文件及技术要求_x000D_
(3)建筑物超高增加费</t>
  </si>
  <si>
    <t>十一</t>
  </si>
  <si>
    <t>(1)15厚(最薄处)M15水泥砂浆保护层兼找坡,坡向地漏_x000D_
(2)2厚聚合物水泥防水涂料(Ⅱ型),四周上翻超过地面完成面300,管周、管井、地漏、阴阳角等薄弱部位做防水附加层,墙角处沿墙高和楼板水平方向附加层范围各300_x000D_
(3)15厚M15水泥砂浆面层收光_x000D_
(4)250~300厚水泥陶粒混凝土1:3:6填充层_x000D_
(5)15厚(最薄处)M20聚合物水泥砂浆保护兼找坡层向二次排水口找坡_x000D_
(6)1.5厚聚氨酯防水涂料(内衬耐碱玻纤网格布),四周上翻超过地面完成面300,管周、管井、地漏、阴阳角等薄弱部位，做防水附加层,墙角处沿墙高和楼板水平方向附加层范围各300_x000D_
(7)钢筋混凝土基层清理干净,缺陷修补平整_x000D_
(8)满足设计图纸、相关规范、招标文件及技术要求_x000D_
(9)建筑物超高增加费</t>
  </si>
  <si>
    <t>(1)20厚(最薄处)预拌普通防水砂浆(兼找平找坡≥P6,坡向地漏)_x000D_
(2)2厚聚合物水泥防水涂料(Ⅱ型),四周上翻超过地面完成面300,管道、管井、地漏、阴阳角等薄弱部位做防水附加层,墙角处沿墙高和楼板水平方向附加层范围各300_x000D_
(3)钢筋混凝土基层清理干净,缺陷修补平整_x000D_
(4)满足设计图纸、相关规范、招标文件及技术要求_x000D_
(5)建筑物超高增加费</t>
  </si>
  <si>
    <t>(3)50厚(最薄处)C25细石混凝土保护层兼找坡,内配c4@100双向钢筋网,分格缝纵横不大于4mx4m,缝宽10,钢筋网片在分格缝处应断开,采用单组份聚氨酯建筑密封胶嵌缝_x000D_
(4)聚酯无纺布隔离层一道(250g/m2)_x000D_
(5)100厚挤塑聚苯板_x000D_
(6)3.0厚自粘聚合物改性沥青防水卷材(PY类)一道,四周返高至结构面以上600,且不小于完成面以上300,上返部位撒粗砂,附加防水层从阳台门墙面向外延伸至少250,并上翻至阳台门槛处(高出阳台完成面)_x000D_
(7)3.0厚自粘聚合物改性沥青防水卷材(PY类双面粘),四周返高至结构面以上600,且不小于完成面以上300_x000D_
(8)2.5mm厚非固化橡胶沥青防水涂料,四周返高至结构面以上600,且不小于完成面以上300_x000D_
(9)满足设计图纸、相关规范、招标文件及技术要求_x000D_
(10)建筑物超高增加费</t>
  </si>
  <si>
    <t>(1)25厚M20水泥砂浆找平层_x000D_
(2)5厚水性阻尼隔音涂料,四周沿墙上翻300(楼板计权撞击声压级不大于65dB)_x000D_
(3)钢筋混凝土基层清理干净,缺陷修补平整_x000D_
(4)满足设计图纸、相关规范、招标文件及技术要求_x000D_
(5)建筑物超高增加费</t>
  </si>
  <si>
    <t>(1)35mmXPS+12mm纸面石膏板,专用粘结剂黏贴,塑料锚栓双向中距500锚固_x000D_
(2)墙体:20厚M20水泥砂浆分层抹平_x000D_
(3)基层墙体_x000D_
(4)满足设计图纸、相关规范、招标文件及技术要求_x000D_
(5)建筑物超高增加费</t>
  </si>
  <si>
    <t>(1)涂装封闭底漆+弹涂分格+喷涂真石漆+涂装罩面漆_x000D_
(2)柔性耐水腻子二遍刮平(两遍总厚度1.5mm厚)_x000D_
(3)3厚高分子益胶泥防水层(刮涂)，不同防水材料交界处相互叠加200宽_x000D_
(4)8厚聚合物水泥防水砂浆_x000D_
(5)12厚M15水泥砂浆找平层_x000D_
(6)外墙满挂钢丝网(丝径0.9,网格中心距12.7x12.7)_x000D_
(7)墙体基层_x000D_
(8)满足设计图纸、相关规范、招标文件及技术要求_x000D_
(9)建筑物超高增加费</t>
  </si>
  <si>
    <t>(1)涂装封闭底漆+弹涂分格+喷涂真石漆+涂装罩面漆_x000D_
(2)柔性耐水腻子二遍刮平(两遍总厚度1.5mm厚)_x000D_
(3)1.5厚聚合物水泥防水涂料(Ⅱ型)_x000D_
(4)界面剂一道_x000D_
(5)墙体基层_x000D_
(6)满足设计图纸、相关规范、招标文件及技术要求_x000D_
(7)建筑物超高增加费</t>
  </si>
  <si>
    <t>(1)吊顶，仿木纹外观效果的铝方格栅吊顶，木纹格栅   25*120*1.2_x000D_
(2)轻钢龙骨@600标准骨架,现场自攻螺丝固定，非上人型_x000D_
(3)钢筋混凝土板底清理_x000D_
(4)满足设计图纸、相关规范、招标文件及技术要求_x000D_
(5)建筑物超高增加费</t>
  </si>
  <si>
    <t xml:space="preserve"> 凸窗</t>
  </si>
  <si>
    <t>(1)8厚防滑地砖,干混陶瓷砖粘结砂浆(≤5厚)满粘、填缝(湿态静摩擦系数≥0.6)(屋面材料的太阳辐射反射系数不小于0.4)_x000D_
(2)25厚M20预拌地面砂浆找平_x000D_
(3)50厚(最薄处)C25细石混凝土保护层兼找坡,内配c6@150双向钢筋网,分格缝纵横不大于4mx4m,缝宽10,钢筋网片在分格缝处应断开,采用单组份聚氨酯建筑密封胶嵌缝_x000D_
(4)聚酯无纺布隔离层一道(250g/m2)_x000D_
(5)挤塑聚苯板保温层(燃烧性能B1级,厚度100mm,体积吸水率不应大于3%,抗压强度不应小于150Kpa,设计厚度已按计算厚度增加25%取值)_x000D_
(6)4.0mm厚自粘耐根穿刺改性沥青防水卷材,四周返高至结构面以上600,且不小于完成面以上300_x000D_
(7)3.0mm厚自粘聚合物改性沥青防水卷材(PY类),四周返高至结构面以上600,且不小于完成面以上300_x000D_
(8)2.5厚非固化橡胶沥青防水涂料,四周返高至结构面以上600,且不小于完成面以上300_x000D_
(9)钢筋混凝土基层清理干净,缺陷修补平整</t>
  </si>
  <si>
    <t>砖砌台阶</t>
  </si>
  <si>
    <t>十二</t>
  </si>
  <si>
    <t>白蚁防治</t>
  </si>
  <si>
    <t>工程建设其他费</t>
  </si>
  <si>
    <t>十三</t>
  </si>
  <si>
    <t>挤塑板及聚苯板</t>
  </si>
  <si>
    <t>佛山市顺德区欣亦欣保温隔热材料有限公司</t>
  </si>
  <si>
    <t>十四</t>
  </si>
  <si>
    <t>pc构件</t>
  </si>
  <si>
    <t>深圳市特区建工科工集团盛腾科技有限公司</t>
  </si>
  <si>
    <t>十五</t>
  </si>
  <si>
    <t>机电工程</t>
  </si>
  <si>
    <t>工程项目周转料具费计算表</t>
  </si>
  <si>
    <t xml:space="preserve">工程名称：XXX项目                       </t>
  </si>
  <si>
    <t>周转料具名称及型号</t>
  </si>
  <si>
    <t>计算式或说明</t>
  </si>
  <si>
    <t>模板工程</t>
  </si>
  <si>
    <t>垫层</t>
  </si>
  <si>
    <t>(1)垫层_x000D_
(2)模板:木模板_x000D_
(3)满足设计图纸、相关规范、招标文件及技术要求</t>
  </si>
  <si>
    <t>基础</t>
  </si>
  <si>
    <t>(1)基础（筏板、柱墩、桩承台、基础梁、集水坑）_x000D_
(2)模板:木模板_x000D_
(3)满足设计图纸、相关规范、招标文件及技术要求</t>
  </si>
  <si>
    <t>电梯坑</t>
  </si>
  <si>
    <t>(1)电梯坑_x000D_
(2)模板:木模板_x000D_
(3)满足设计图纸、相关规范、招标文件及技术要求</t>
  </si>
  <si>
    <t>基础梁</t>
  </si>
  <si>
    <t>(1)基础梁_x000D_
(2)模板:木模板_x000D_
(3)满足设计图纸、相关规范、招标文件及技术要求</t>
  </si>
  <si>
    <t>矩形柱</t>
  </si>
  <si>
    <t>(1)矩形柱_x000D_
(2)模板:木模板_x000D_
(3)支模高度≤4m_x000D_
(4)满足设计图纸、相关规范、招标文件及技术要求</t>
  </si>
  <si>
    <t>(1)矩形柱_x000D_
(2)模板:木模板_x000D_
(3)4m&lt;支模高度≤6m_x000D_
(4)满足设计图纸、相关规范、招标文件及技术要求</t>
  </si>
  <si>
    <t>直形墙 内墙</t>
  </si>
  <si>
    <t>(1)直形墙，厚度50cm内_x000D_
(2)模板:木模板_x000D_
(3)支模高度≤4m_x000D_
(4)满足设计图纸、相关规范、招标文件及技术要求</t>
  </si>
  <si>
    <t>(1)直形墙，厚度50cm内_x000D_
(2)模板:木模板_x000D_
(3)4m&lt;支模高度≤6m_x000D_
(4)满足设计图纸、相关规范、招标文件及技术要求</t>
  </si>
  <si>
    <t>直形墙 外墙</t>
  </si>
  <si>
    <t>短肢剪力墙、电梯井壁</t>
  </si>
  <si>
    <t>(1)电梯井壁_x000D_
(2)模板:木模板_x000D_
(3)支模高度≤4m_x000D_
(4)满足设计图纸、相关规范、招标文件及技术要求</t>
  </si>
  <si>
    <t>(1)电梯井壁_x000D_
(2)模板:木模板_x000D_
(3)4m&lt;支模高度≤6m_x000D_
(4)满足设计图纸、相关规范、招标文件及技术要求</t>
  </si>
  <si>
    <t>矩形梁</t>
  </si>
  <si>
    <t>(1)矩形梁_x000D_
(2)模板:木模板_x000D_
(3)梁高≤50cm_x000D_
(4)满足设计图纸、相关规范、招标文件及技术要求</t>
  </si>
  <si>
    <t>(1)矩形梁_x000D_
(2)模板:木模板_x000D_
(3)50cm&lt;梁高≤100cm_x000D_
(4)满足设计图纸、相关规范、招标文件及技术要求</t>
  </si>
  <si>
    <t>(1)矩形梁_x000D_
(2)模板:木模板_x000D_
(3)梁高≥100cm_x000D_
(4)满足设计图纸、相关规范、招标文件及技术要求</t>
  </si>
  <si>
    <t>有梁板</t>
  </si>
  <si>
    <t>(1)有梁板_x000D_
(2)模板:木模板_x000D_
(3)板厚10cm_x000D_
(4)满足设计图纸、相关规范、招标文件及技术要求</t>
  </si>
  <si>
    <t>(1)有梁板_x000D_
(2)模板:木模板_x000D_
(3)板厚:12cm_x000D_
(4)满足设计图纸、相关规范、招标文件及技术要求_x000D_
(5)建筑物超高增加费</t>
  </si>
  <si>
    <t>(1)有梁板_x000D_
(2)模板:木模板_x000D_
(3)板厚15cm_x000D_
(4)满足设计图纸、相关规范、招标文件及技术要求</t>
  </si>
  <si>
    <t>(1)有梁板_x000D_
(2)模板:木模板_x000D_
(3)板厚20cm_x000D_
(4)满足设计图纸、相关规范、招标文件及技术要求</t>
  </si>
  <si>
    <t>(1)有梁板_x000D_
(2)模板:木模板_x000D_
(3)板厚:25cm_x000D_
(4)满足设计图纸、相关规范、招标文件及技术要求_x000D_
(5)建筑物超高增加费</t>
  </si>
  <si>
    <t>(1)有梁板_x000D_
(2)模板:木模板_x000D_
(3)板厚:35cm_x000D_
(4)满足设计图纸、相关规范、招标文件及技术要求_x000D_
(5)建筑物超高增加费</t>
  </si>
  <si>
    <t>后浇带</t>
  </si>
  <si>
    <t>(1)板、梁、墙_x000D_
(2)模板:木模板_x000D_
(3)满足设计图纸、相关规范、招标文件及技术要求</t>
  </si>
  <si>
    <t>构造柱</t>
  </si>
  <si>
    <t>(1)构造柱_x000D_
(2)模板:木模板_x000D_
(3)支模高度≤4m_x000D_
(4)满足设计图纸、相关规范、招标文件及技术要求</t>
  </si>
  <si>
    <t>楼梯</t>
  </si>
  <si>
    <t>(1)直形楼梯_x000D_
(2)模板:木模板_x000D_
(3)满足设计图纸、相关规范、招标文件及技术要求</t>
  </si>
  <si>
    <t>圈梁</t>
  </si>
  <si>
    <t>(1)圈梁_x000D_
(2)模板:木模板_x000D_
(3)满足设计图纸、相关规范、招标文件及技术要求</t>
  </si>
  <si>
    <t>过梁</t>
  </si>
  <si>
    <t>(1)过梁_x000D_
(2)模板:木模板_x000D_
(3)满足设计图纸、相关规范、招标文件及技术要求</t>
  </si>
  <si>
    <t>栏板</t>
  </si>
  <si>
    <t>(1)栏板_x000D_
(2)模板:木模板_x000D_
(3)满足设计图纸、相关规范、招标文件及技术要求</t>
  </si>
  <si>
    <t>门槛、反坎</t>
  </si>
  <si>
    <t>(1)门槛、反坎_x000D_
(2)模板:木模板_x000D_
(3)满足设计图纸、相关规范、招标文件及技术要求</t>
  </si>
  <si>
    <t>梁顶架</t>
  </si>
  <si>
    <t>(1)梁顶架
(2)模板:木模板
(3)梁截面高度≤1m
(4)支模高度6M以内
(5)满足设计图纸、相关规范、招标文件及技术要求</t>
  </si>
  <si>
    <t>(1)梁顶架_x000D_
(2)模板:木模板_x000D_
(3)1m&lt;梁截面高度≤1.5m_x000D_
(4)支模高度6M以内_x000D_
(5)满足设计图纸、相关规范、招标文件及技术要求</t>
  </si>
  <si>
    <t>(1)梁顶架_x000D_
(2)模板:木模板_x000D_
(3)1.5m&lt;梁截面高度≤2m_x000D_
(4)支模高度6M以内_x000D_
(5)满足设计图纸、相关规范、招标文件及技术要求</t>
  </si>
  <si>
    <t>板顶架</t>
  </si>
  <si>
    <t>(1)板顶架_x000D_
(2)模板:木模板_x000D_
(3)支模高度6M以内_x000D_
(4)满足设计图纸、相关规范、招标文件及技术要求</t>
  </si>
  <si>
    <t>基础砖胎膜</t>
  </si>
  <si>
    <t>(2)砖胎膜，120厚灰砂砖
(2)满足设计图纸、相关规范、招标文件及技术要求</t>
  </si>
  <si>
    <t>砖胎膜抹灰</t>
  </si>
  <si>
    <t>脚手架工程</t>
  </si>
  <si>
    <t>外脚手架</t>
  </si>
  <si>
    <t>(1)搭设方式:外脚手架 双排落地式_x000D_
(2)搭设高度:搭设高度24m以内_x000D_
(3)满足设计图纸、相关规范、招标文件及技术要求</t>
  </si>
  <si>
    <t>里脚手架</t>
  </si>
  <si>
    <t>(1)里脚手架（含有满堂脚手架部分）_x000D_
(2)搭设高度:4.2m以内_x000D_
(3)满足设计图纸、相关规范、招标文件及技术要求</t>
  </si>
  <si>
    <t>(1)里脚手架（含有满堂脚手架部分）_x000D_
(2)搭设高度:4.2m-5.4m内_x000D_
(3)满足设计图纸、相关规范、招标文件及技术要求</t>
  </si>
  <si>
    <t>电梯井架</t>
  </si>
  <si>
    <t>(1)电梯井架_x000D_
(2)综合考虑_x000D_
(3)满足设计图纸、相关规范、招标文件及技术要求</t>
  </si>
  <si>
    <t>座</t>
  </si>
  <si>
    <t>满堂脚手架</t>
  </si>
  <si>
    <t>(1)满堂脚手架_x000D_
(2)搭设高度:5.2m内_x000D_
(3)满足设计图纸、相关规范、招标文件及技术要求</t>
  </si>
  <si>
    <t>活动脚手架</t>
  </si>
  <si>
    <t>(1)独立柱脚手架_x000D_
(2)搭设高度:综合考虑_x000D_
(3)满足设计图纸、相关规范、招标文件及技术要求</t>
  </si>
  <si>
    <t>其他工程</t>
  </si>
  <si>
    <t>止水对拉螺栓</t>
  </si>
  <si>
    <t>(1)地下室外墙止水螺栓_x000D_
(2)综合考虑，含切割_x000D_
(3)满足设计图纸、相关规范、招标文件及技术要求</t>
  </si>
  <si>
    <t>裙楼</t>
  </si>
  <si>
    <t>(1)矩形柱
(2)模板:木模板
(3)4m&lt;支模高度≤6m
(4)满足设计图纸、相关规范、招标文件及技术要求
(5)建筑物超高增加费</t>
  </si>
  <si>
    <t>直形墙</t>
  </si>
  <si>
    <t>(1)直形墙，厚度50cm内
(2)模板:木模板
(3)4m&lt;支模高度≤6m
(4)满足设计图纸、相关规范、招标文件及技术要求
(5)建筑物超高增加费</t>
  </si>
  <si>
    <t>(1)电梯井壁
(2)模板:木模板
(3)4m&lt;支模高度≤6m
(4)满足设计图纸、相关规范、招标文件及技术要求
(5)建筑物超高增加费</t>
  </si>
  <si>
    <t>(1)矩形梁
(2)模板:木模板
(3)梁高≤50cm
(4)满足设计图纸、相关规范、招标文件及技术要求
(5)建筑物超高增加费</t>
  </si>
  <si>
    <t>(1)矩形梁
(2)模板:木模板
(3)50cm&lt;梁高≤100cm
(4)满足设计图纸、相关规范、招标文件及技术要求
(5)建筑物超高增加费</t>
  </si>
  <si>
    <t>(1)矩形梁
(2)模板:木模板
(3)梁高≥100cm
(4)满足设计图纸、相关规范、招标文件及技术要求
(5)建筑物超高增加费</t>
  </si>
  <si>
    <t>(1)有梁板
(2)模板:木模板
(3)板厚12cm
(4)满足设计图纸、相关规范、招标文件及技术要求
(5)建筑物超高增加费</t>
  </si>
  <si>
    <t>(1)有梁板
(2)模板:木模板
(3)板厚15cm
(4)满足设计图纸、相关规范、招标文件及技术要求
(5)建筑物超高增加费</t>
  </si>
  <si>
    <t>(1)构造柱
(2)模板:木模板
(3)支模高度≤4m
(4)满足设计图纸、相关规范、招标文件及技术要求
(5)建筑物超高增加费</t>
  </si>
  <si>
    <t>(1)直形楼梯
(2)模板:木模板
(3)满足设计图纸、相关规范、招标文件及技术要求
(4)建筑物超高增加费</t>
  </si>
  <si>
    <t>(1)圈梁
(2)模板:木模板
(3)满足设计图纸、相关规范、招标文件及技术要求
(4)建筑物超高增加费</t>
  </si>
  <si>
    <t>(1)过梁
(2)模板:木模板
(3)满足设计图纸、相关规范、招标文件及技术要求
(4)建筑物超高增加费</t>
  </si>
  <si>
    <t>(1)栏板
(2)模板:木模板
(3)满足设计图纸、相关规范、招标文件及技术要求
(4)建筑物超高增加费</t>
  </si>
  <si>
    <t>天沟、檐沟</t>
  </si>
  <si>
    <t>(1)天沟、檐沟
(2)模板:木模板
(3)满足设计图纸、相关规范、招标文件及技术要求
(4)建筑物超高增加费</t>
  </si>
  <si>
    <t>雨篷、悬挑板、阳台板</t>
  </si>
  <si>
    <t>(1)雨篷、悬挑板、阳台板
(2)模板:木模板
(3)满足设计图纸、相关规范、招标文件及技术要求
(4)建筑物超高增加费</t>
  </si>
  <si>
    <t>(1)门槛、反坎
(2)模板:木模板
(3)满足设计图纸、相关规范、招标文件及技术要求
(4)建筑物超高增加费</t>
  </si>
  <si>
    <t>(1)梁顶架
(2)模板:木模板
(3)梁截面高度≤1m
(4)支模高度6M以内
(5)满足设计图纸、相关规范、招标文件及技术要求
(6)建筑物超高增加费</t>
  </si>
  <si>
    <t>(1)梁顶架
(2)模板:木模板
(3)1m&lt;梁截面高度≤1.5m
(4)支模高度6M以内
(5)满足设计图纸、相关规范、招标文件及技术要求
(6)建筑物超高增加费</t>
  </si>
  <si>
    <t>(1)梁顶架
(2)模板:木模板
(3)1.5m&lt;梁截面高度≤2m
(4)支模高度6M以内
(5)满足设计图纸、相关规范、招标文件及技术要求
(6)建筑物超高增加费</t>
  </si>
  <si>
    <t>(1)板顶架
(2)模板:木模板
(3)支模高度6M以内
(4)满足设计图纸、相关规范、招标文件及技术要求
(5)建筑物超高增加费</t>
  </si>
  <si>
    <t>(1)板顶架
(2)模板:木模板
(3)6m&lt;支模高度≤8m
(4)满足设计图纸、相关规范、招标文件及技术要求
(5)建筑物超高增加费</t>
  </si>
  <si>
    <t>安全网</t>
  </si>
  <si>
    <t>矩形柱 铝模</t>
  </si>
  <si>
    <t>直形墙 铝模</t>
  </si>
  <si>
    <t>矩形梁 铝模</t>
  </si>
  <si>
    <t>有梁板 铝模</t>
  </si>
  <si>
    <t>梁后浇带 铝模</t>
  </si>
  <si>
    <t>板后浇带 铝模</t>
  </si>
  <si>
    <t>整体提升架</t>
  </si>
  <si>
    <t>盘扣</t>
  </si>
  <si>
    <t>中租模架工程技术有限公司</t>
  </si>
  <si>
    <t>铝膜</t>
  </si>
  <si>
    <t>广东南铝建筑模架科技有限公司</t>
  </si>
  <si>
    <t>工程项目安全文明施工费计算表</t>
  </si>
  <si>
    <t>安全文明施工措施费</t>
  </si>
  <si>
    <t>运输物流
（惠州市齐顺物流有限公司）</t>
  </si>
  <si>
    <t>安全劳保用品
（广州利源建材有限公司）</t>
  </si>
  <si>
    <t>箱房
（安捷诚栋国际集成房屋有限公司）</t>
  </si>
  <si>
    <t>配电箱
（深圳市弘泰电气设备有限公司）</t>
  </si>
  <si>
    <t>安全网
（广州利源建材有限公司）</t>
  </si>
  <si>
    <t>消防器材
（深圳市泰禾荣实业有限公司）</t>
  </si>
  <si>
    <t>安全文明施工费
（广州世金建筑劳务有限公司）</t>
  </si>
  <si>
    <t>物业
（武汉炜弘物业管理有限公司）</t>
  </si>
  <si>
    <t>监控网络
（深圳千诺千寻科技有限公司）</t>
  </si>
  <si>
    <t>热水器
（深圳市九恒科技有限公司）</t>
  </si>
  <si>
    <t>冲孔网
（广东粤晟通建筑设备租赁有限公司）</t>
  </si>
  <si>
    <t>电缆线
（深圳中缆电缆集团有限公司司）</t>
  </si>
  <si>
    <t>生活区水电费</t>
  </si>
  <si>
    <t>材料调拨（调入）</t>
  </si>
  <si>
    <t>材料调拨（调出）</t>
  </si>
  <si>
    <t>CI、标准化</t>
  </si>
  <si>
    <t>标准化
（广州炜通建材有限公司）</t>
  </si>
  <si>
    <t>标准化
（广东中筑建筑科技有限公司）</t>
  </si>
  <si>
    <t>CI物资
（武汉当加禾盛建筑安装工程有限公司）</t>
  </si>
  <si>
    <t>零星材料</t>
  </si>
  <si>
    <t>零星材料
（中建电子商务有限责任公司）</t>
  </si>
  <si>
    <t>临时设施</t>
  </si>
  <si>
    <t>临建混凝土</t>
  </si>
  <si>
    <t>租房</t>
  </si>
  <si>
    <t>10万/月</t>
  </si>
  <si>
    <t>数量</t>
  </si>
  <si>
    <t>人工单价</t>
  </si>
  <si>
    <t>围挡
（广西华之通装饰工程有限公司）</t>
  </si>
  <si>
    <t>总混凝土</t>
  </si>
  <si>
    <t>临建基础（混凝土）</t>
  </si>
  <si>
    <t>塔吊钢筋</t>
  </si>
  <si>
    <t>办公家具
（深圳市金海马网络科技有限公司）</t>
  </si>
  <si>
    <t>塔吊混凝土</t>
  </si>
  <si>
    <t>临建空调
（广州信欧电子科技有限公司）</t>
  </si>
  <si>
    <t>临建水电材料
（深圳市粤威龙贸易有限公司）</t>
  </si>
  <si>
    <t>临建水泵
（河南盛之佳建材有限公司）</t>
  </si>
  <si>
    <t>工程项目施工措施费计算表</t>
  </si>
  <si>
    <t>上次累计</t>
  </si>
  <si>
    <t>建筑垃圾外运</t>
  </si>
  <si>
    <t>材料检验试验费（正非）</t>
  </si>
  <si>
    <t>材料检验试验费（龙岗区质检站）</t>
  </si>
  <si>
    <t>智慧工地
（品茗）</t>
  </si>
  <si>
    <t>竣工场内清理费</t>
  </si>
  <si>
    <t>省市级优质工地</t>
  </si>
  <si>
    <t>生活垃圾外运</t>
  </si>
  <si>
    <t>地磅</t>
  </si>
  <si>
    <t>现场污水处理</t>
  </si>
  <si>
    <t>路口开设</t>
  </si>
  <si>
    <t>临水接驳
（深圳市银锋达市政工程有限公司）</t>
  </si>
  <si>
    <t>变压器费用（深圳市立筑建设工程有限公司）</t>
  </si>
  <si>
    <t>广联达</t>
  </si>
  <si>
    <t>中建工程产业技术研究院有限公司</t>
  </si>
  <si>
    <t>报警（金鼎）</t>
  </si>
  <si>
    <t>……</t>
  </si>
  <si>
    <t>工程项目标价分离现场经费计算表</t>
  </si>
  <si>
    <t>(M001-15)</t>
  </si>
  <si>
    <t>费用项目</t>
  </si>
  <si>
    <t>计算依据</t>
  </si>
  <si>
    <t>预测工程竣工计划成本（不含税）</t>
  </si>
  <si>
    <t>本期金额（元）
（不含税）</t>
  </si>
  <si>
    <t>累计金额（元）
（不含税）</t>
  </si>
  <si>
    <t>上次累计（元）
（不含税）</t>
  </si>
  <si>
    <t>工资总额</t>
  </si>
  <si>
    <t>按项目部员工工资总额计算</t>
  </si>
  <si>
    <t>职工福利费</t>
  </si>
  <si>
    <t>每人每年3500元计算</t>
  </si>
  <si>
    <t>工会经费</t>
  </si>
  <si>
    <t>按（工资总额+五险一金）的2%计算</t>
  </si>
  <si>
    <t>职工教育经费</t>
  </si>
  <si>
    <t>按（工资总额+五险一金）的1.5%计算</t>
  </si>
  <si>
    <t>失业保险金</t>
  </si>
  <si>
    <t>按（工资总额-区域补贴）*0.56%</t>
  </si>
  <si>
    <t>生育保险</t>
  </si>
  <si>
    <t>按（工资总额-区域补贴）*0.45%</t>
  </si>
  <si>
    <t>工伤保险费</t>
  </si>
  <si>
    <t>按（工资总额-区域补贴）*0.39%</t>
  </si>
  <si>
    <t>医疗保险</t>
  </si>
  <si>
    <t>按（工资总额-区域补贴）*5.2%</t>
  </si>
  <si>
    <t>职工养老保险金</t>
  </si>
  <si>
    <t>按（工资总额-区域补贴）*14%</t>
  </si>
  <si>
    <t>住房公积金</t>
  </si>
  <si>
    <t>按（工资总额-区域补贴）*12%</t>
  </si>
  <si>
    <t>企业年金</t>
  </si>
  <si>
    <t>公司暂未执行</t>
  </si>
  <si>
    <t>临时工、辅助岗位</t>
  </si>
  <si>
    <t>按实际计算，含薪酬、五险一金；另加50元/每人每月</t>
  </si>
  <si>
    <t>冷暖补贴</t>
  </si>
  <si>
    <t>按文件执行</t>
  </si>
  <si>
    <t>工作餐补贴</t>
  </si>
  <si>
    <t>办公费</t>
  </si>
  <si>
    <t>按400-500元/人月（含空调、固定电话、宽带网等）计算</t>
  </si>
  <si>
    <t>差旅费</t>
  </si>
  <si>
    <t>合同额0.15%~0.2%</t>
  </si>
  <si>
    <t>业务招待费</t>
  </si>
  <si>
    <t>按自行完成产值0.1%~0.15%</t>
  </si>
  <si>
    <t>固定资产折旧及摊销费</t>
  </si>
  <si>
    <t>按实际计算</t>
  </si>
  <si>
    <t>中介机构费</t>
  </si>
  <si>
    <t>按相关文件、双方合同计算</t>
  </si>
  <si>
    <t>物业费</t>
  </si>
  <si>
    <t>广告宣传费</t>
  </si>
  <si>
    <t>上级管理费</t>
  </si>
  <si>
    <t>按自行完成产值0.6%</t>
  </si>
  <si>
    <t>诉讼费</t>
  </si>
  <si>
    <t>工程保修费</t>
  </si>
  <si>
    <t>按自行完成产值0.5%~1%计算</t>
  </si>
  <si>
    <t>合同印花税及其它税费</t>
  </si>
  <si>
    <t>按合同额万分之三</t>
  </si>
  <si>
    <t>市场交易费</t>
  </si>
  <si>
    <t>工程保险费</t>
  </si>
  <si>
    <t>卫生费</t>
  </si>
  <si>
    <t>根据当地文件计算</t>
  </si>
  <si>
    <t>建管费</t>
  </si>
  <si>
    <t>工程履约保函手续费</t>
  </si>
  <si>
    <t>图纸复印</t>
  </si>
  <si>
    <t>设计院出蓝图，每套3000元</t>
  </si>
  <si>
    <t>竣工资料</t>
  </si>
  <si>
    <t>复印装订等资料1.5-2.5万元包干</t>
  </si>
  <si>
    <t>前期投入费用</t>
  </si>
  <si>
    <t>按自行完成产值1%</t>
  </si>
  <si>
    <t>财务费用</t>
  </si>
  <si>
    <t>手续费</t>
  </si>
  <si>
    <t>摊销费</t>
  </si>
  <si>
    <t>管理费、利润、规费 税金费用明细</t>
  </si>
  <si>
    <t>管理费（含工程保险）</t>
  </si>
  <si>
    <t>规费</t>
  </si>
  <si>
    <t>税金</t>
  </si>
  <si>
    <t>（销项税-进项税）*12%</t>
  </si>
  <si>
    <t>工程项目让利费用计算表</t>
  </si>
  <si>
    <t>预计成本</t>
  </si>
  <si>
    <t>工程项目总包服务费用计算表</t>
  </si>
  <si>
    <t>机电配合费</t>
  </si>
  <si>
    <t>工程项目指定分包计算表</t>
  </si>
  <si>
    <t>专业工程暂估价</t>
  </si>
  <si>
    <r>
      <t xml:space="preserve">扣除专业工程暂估价中防水卷材 </t>
    </r>
    <r>
      <rPr>
        <sz val="9"/>
        <rFont val="宋体"/>
        <family val="3"/>
        <charset val="134"/>
      </rPr>
      <t>4mm 材料费</t>
    </r>
  </si>
  <si>
    <r>
      <t xml:space="preserve">扣除专业工程暂估价中防水卷材 </t>
    </r>
    <r>
      <rPr>
        <sz val="9"/>
        <rFont val="宋体"/>
        <family val="3"/>
        <charset val="134"/>
      </rPr>
      <t>3mm 材料费</t>
    </r>
  </si>
  <si>
    <t>扣除专业工程暂估价中蜂巢芯 材料费</t>
  </si>
  <si>
    <t>扣除专业工程暂估价中底板防水 人工费</t>
  </si>
  <si>
    <t>扣除专业工程暂估价中集水坑及电梯井防水人工费</t>
  </si>
  <si>
    <t>扣除专业工程暂估价中锚杆防水人工费</t>
  </si>
  <si>
    <t>工程项目其他费用计算表</t>
  </si>
  <si>
    <t>土建合同额*1%</t>
  </si>
  <si>
    <t>暂列金额</t>
  </si>
  <si>
    <t>暂估价</t>
  </si>
  <si>
    <t>土方签证</t>
  </si>
  <si>
    <t>世金签证</t>
  </si>
  <si>
    <t>中国建筑    项目管理表格</t>
  </si>
  <si>
    <t>项目商务策划书</t>
  </si>
  <si>
    <t>项目名称：XXX项目</t>
  </si>
  <si>
    <t>策划情况</t>
  </si>
  <si>
    <t>策划后</t>
  </si>
  <si>
    <t>策划前</t>
  </si>
  <si>
    <t>收入</t>
  </si>
  <si>
    <t>成本</t>
  </si>
  <si>
    <t>策划专项名称</t>
  </si>
  <si>
    <t>策划内容</t>
  </si>
  <si>
    <t>策划状态</t>
  </si>
  <si>
    <t>策划目标
（元）</t>
  </si>
  <si>
    <t>收入变化情况</t>
  </si>
  <si>
    <t>成本变化情况</t>
  </si>
  <si>
    <t>策划前盈亏</t>
  </si>
  <si>
    <t>策划效益</t>
  </si>
  <si>
    <t>直接效益</t>
  </si>
  <si>
    <r>
      <t>工程量</t>
    </r>
    <r>
      <rPr>
        <b/>
        <sz val="12"/>
        <rFont val="宋体"/>
        <family val="3"/>
        <charset val="134"/>
      </rPr>
      <t xml:space="preserve">
</t>
    </r>
    <r>
      <rPr>
        <b/>
        <sz val="12"/>
        <color indexed="8"/>
        <rFont val="宋体"/>
        <family val="3"/>
        <charset val="134"/>
      </rPr>
      <t>（收入）</t>
    </r>
  </si>
  <si>
    <t>单价
 （收入）</t>
  </si>
  <si>
    <t>合价
（收入）</t>
  </si>
  <si>
    <t>工程量
（成本）</t>
  </si>
  <si>
    <t>单价
（成本）</t>
  </si>
  <si>
    <t>合价
（成本）</t>
  </si>
  <si>
    <t>工程量
（收入）</t>
  </si>
  <si>
    <t>单价
（收入）</t>
  </si>
  <si>
    <t>工程量（成本）</t>
  </si>
  <si>
    <t>设计策划</t>
  </si>
  <si>
    <t>土方侧壁回填策划</t>
  </si>
  <si>
    <t>图纸约定采用灰土、级配砂石、素土分层回填，沟通业主采用素土回填，与业主单位进行沟通，以施工进度为优化条件，提出做法变更，将原设计要求的三种材料分层回填修改成素土分层夯实回填</t>
  </si>
  <si>
    <t>已实施</t>
  </si>
  <si>
    <t>砖胎膜材料优化</t>
  </si>
  <si>
    <t>原图纸中砖胎膜材料为实心砖，优化为加气混凝土砌块</t>
  </si>
  <si>
    <t>直螺纹连接优化</t>
  </si>
  <si>
    <t>原图纸混凝土墙、柱、梁、板钢筋＞16时，采用Ⅱ级接头，转换柱、梁钢筋＞18时，采用Ⅱ级接头，经沟通设计，所有钢筋≥16时，均采用Ⅱ级接头机械连接</t>
  </si>
  <si>
    <t>正在实施</t>
  </si>
  <si>
    <t>铝模深化修改外墙结构</t>
  </si>
  <si>
    <t>1.通过铝模深化，ALC墙板改为现浇外墙，实际施工取消外墙20mm厚抹灰、3厚高分子益胶泥</t>
  </si>
  <si>
    <t>放弃</t>
  </si>
  <si>
    <t>铝模深化修改二次结构</t>
  </si>
  <si>
    <t>1.通过铝模深化，可以将二次结构深化到铝模中，一次浇筑完成，避免后期二次支模，节约工期增加效益。
2.采用铝模代替传统模板施工/铝模深化设计，构造柱、下挂梁（板）、滴水线、预留强弱电箱、水槽等位置。</t>
  </si>
  <si>
    <t>铝模深化优化装饰做法</t>
  </si>
  <si>
    <t>1.飘板放坡铝模一次成型，减少二次砂浆抹面。
2、外窗取消四边企口预留，取消窗下口砂浆塞缝，取消窗边外侧抹灰；
3.将窗框处做法优化为预埋钢附框，减少窗周边塞缝工序，降低渗漏风险。</t>
  </si>
  <si>
    <t>承台模板优化</t>
  </si>
  <si>
    <t>图纸变标高处底板大样，侧壁竖向模板采用混凝土浇筑；考虑现场施工便利，将竖向模板改为蒸压加气块砖胎膜。</t>
  </si>
  <si>
    <t>天棚JS取消</t>
  </si>
  <si>
    <t>天棚JS为亏损项，上层卫生间、厨房已做地面防水，JS防潮层无意义，可沟通业主取消，双方都可以省成本</t>
  </si>
  <si>
    <t>未实施</t>
  </si>
  <si>
    <t>防水做法优化</t>
  </si>
  <si>
    <t>原图纸防水做法为“3.0厚自粘聚合物改性沥青防水卷材，2.0厚非固化橡胶沥青防水涂膜”，防水工序倒置，对施工基层要求高，经与设计及建设单位沟通，防水做法改为1.5厚湿铺防水卷材+3.0厚自粘聚合物改性沥青防水卷材，且增加50mm厚防水保护层</t>
  </si>
  <si>
    <t>天然石粉</t>
  </si>
  <si>
    <t>将地下室抹灰腻子涂料墙面修改为天然石粉墙面，腻子涂料顶棚修改为天然石粉顶棚，利用成本降低、施工进度、表面质量及耐久性为切入点，将地下室内墙及天棚变更为天然石粉，仅变更做法，不改变合同价款，降低成本，利润再扩大</t>
  </si>
  <si>
    <t>楼梯间踢脚工艺优化</t>
  </si>
  <si>
    <t>踢1楼梯间及前室踢脚线为5mmM20水泥砂浆抹面压光，该做法较难控制质量，沟通设计及建设单位，踢1踢脚改为涂料施工，增加收益</t>
  </si>
  <si>
    <t>幕墙工程策划</t>
  </si>
  <si>
    <t>幕墙深化设计：
1.铝合金龙骨、铝型材及连接套芯采用3063-Y6型；
2.根据铝板及防火岩棉安装位置，铝板取消防火漆，防火岩棉采用不小于80kg/m³容重；
3.空调格栅截面厚度由2mm降低至1.6mm；
4.横向装饰线条固定后植埋件螺栓优化为M6，间距由650mm优化为1500mm；
5.节点F4024裙楼吊顶龙骨由300×100×6优化为200×100+100×100×2.5；
6.塔楼造型楼板节点优化，取消竖向接缝，改为横向接缝，即可消除渗漏隐患又能减少铝板20%用量（F5002/F5004/F5006/F5008.1节点）
幕墙工程将可优化项放入招标前置相较于标价分离成本降低</t>
  </si>
  <si>
    <t>氟碳喷涂优化</t>
  </si>
  <si>
    <t>栏杆喷涂方式由氟碳喷涂改为粉末喷涂</t>
  </si>
  <si>
    <t>17层外凸板优化</t>
  </si>
  <si>
    <t>17层避难层因消防面积，结构设计外凸600-1000mm板，沟通设计及业主将钢筋混凝土外凸板优化为钢结构施工，避免后期做悬挑脚手架或三角钢支撑施工，降低施工安全风险、节省工期、降低施工难度</t>
  </si>
  <si>
    <t>钢筋翻样优化</t>
  </si>
  <si>
    <t>钢筋翻样优化明细节点详见四优化清单做法</t>
  </si>
  <si>
    <t>装配式构件</t>
  </si>
  <si>
    <t>1.根据深圳市住建局文件要求，板配筋间距不能小于150mm，联动设计，对现浇板、叠合板板钢筋进行调整，满足规定要求扩大钢筋收益</t>
  </si>
  <si>
    <t>屋面结构变更</t>
  </si>
  <si>
    <t>1.屋面以上电梯井砌筑墙改为现浇结构，减短施工时间，降低施工难度，正式电梯提前插入施工，节省工期20天.</t>
  </si>
  <si>
    <t>涂料施工说明变更</t>
  </si>
  <si>
    <t>1.地下室机电风管、消防管等为银灰色，而天棚颜色为深灰色，沟通设计明确此部分机电管道需要喷涂，将其计入涂料工程量；
2.外墙排水立管与墙面真石漆颜色不一致，沟通设计为保证外立面效果将管道同墙面一起喷涂，将其计入外墙真石漆工程量。</t>
  </si>
  <si>
    <t>混凝土标号修正</t>
  </si>
  <si>
    <t>地下室消防水池与剪力墙相连时无法分开浇筑，均需添加抗渗剂，沟通设计与消防水池相连的剪力墙统一添加抗渗剂</t>
  </si>
  <si>
    <t>陶粒混凝土做法优化</t>
  </si>
  <si>
    <t>以发泡混凝土自重、抗渗性、保温效果均优于陶粒混凝土为由，沟通业主将沉箱卫生间、降板阳台部位的陶粒混凝土回填优化发泡混凝土填充，降低成本</t>
  </si>
  <si>
    <t>方案策划</t>
  </si>
  <si>
    <t>材料堆场永临结合</t>
  </si>
  <si>
    <t>1.进场时已沟通原桩基单位，确定免费保留西侧临建硬化场地，已沟通完成设计复核钢筋加工场受力满足项目材料加工、堆放及周转受力需求；2.场内可用场地无法满足钢筋加工厂和材料堆放的全部需求，优化总进度计划及地下室阶段施工部署，将B区底板浇筑完成后，设置成临时的加工厂及材料堆场，不影响主楼区关键线路施工，节省因外部租赁场地产生的费用，降低临建施工成本。</t>
  </si>
  <si>
    <t>塔吊基础和筏板重叠</t>
  </si>
  <si>
    <t>塔吊基础设置在地下室车库范围内，明确塔吊基础标高和底板标高的关系；塔吊基础完成面考虑建筑做法厚度进行深化,避免后期破除。塔吊基础与底板共用，钢筋贯通，节约塔吊基础施工成本；</t>
  </si>
  <si>
    <t>施工电梯基础优化</t>
  </si>
  <si>
    <t>依照方案设计，施工电梯基础采用顶板增加结构梁形式，提高顶板荷载，节省施工电梯钢筋混凝土基础施工（7m×5m×0.2m），提高基础下顶板承载力，取消地下室三层回顶，节省材料租赁费，机电管线一次施工成型，节省工期</t>
  </si>
  <si>
    <t>材料堆场受力复核</t>
  </si>
  <si>
    <t>1.根据平面布置，PC构件及临时材料堆场地下室顶板钢筋通过设计验算，取消地下室回顶措施，加快地下室装饰装修及机电安装穿插，节省工期及材料租赁费用，面积300㎡。</t>
  </si>
  <si>
    <t>地下水用于养护</t>
  </si>
  <si>
    <t>根据项目调拨加压水箱，将地下水收集后接入加压水箱，然后利用加压水箱输送至作业面用于养护、冲洗等作业</t>
  </si>
  <si>
    <t>临建租赁周期</t>
  </si>
  <si>
    <t>封顶后办公室搬至1#楼裙楼，节约1.5年办公区租赁周期，降低临建成本</t>
  </si>
  <si>
    <t>土方标高优化</t>
  </si>
  <si>
    <t>依据地勘报告，本项目底板底标高处土方为全风化砂岩，地基承载力250Kpa，故二次土方开挖时策划标高30-50mm，即减少土方开挖又减少垫层混凝土方量，土方计算时按照设计标高计算</t>
  </si>
  <si>
    <t>止水螺杆</t>
  </si>
  <si>
    <t>合同清单中止水螺杆按吨单独计取，地下室外墙及人防墙采用止水螺杆，方案上报时：间距300*300mm，螺杆直径为14mm，梅花布置；实际施工时采用450mm间距，矩形布置；</t>
  </si>
  <si>
    <t>外墙腻子穿插工序优化</t>
  </si>
  <si>
    <t>原施工方案为在爬架提升前，完成外墙、防水涂料；现修改为爬架提升前增加两道耐水腻子的施工，节省吊篮费用，压降分包单价</t>
  </si>
  <si>
    <t>屋面作法优化</t>
  </si>
  <si>
    <t>屋面防水保护层为最薄处50mm厚，施工时按照30mm施工</t>
  </si>
  <si>
    <t>建筑地面做法优化</t>
  </si>
  <si>
    <t>图纸做法：25厚找平+5厚隔声涂料，实际施工时：20厚找平+3厚隔声涂料，降低施工成本</t>
  </si>
  <si>
    <t>保温砂浆墙面策划</t>
  </si>
  <si>
    <t>保温开裂风险大，维修成本高，施工时确定好按图施工具体楼层，提前沟通检测站出具检测合格报告，其余楼均按照普通砂浆抹灰施工</t>
  </si>
  <si>
    <t>地下室地坪漆优化</t>
  </si>
  <si>
    <t>图纸地下室地坪漆施工厚度为3~5mm彩色地坪漆，通过深化设计，制作样板，地坪漆施工厚度2mm，降低施工成本</t>
  </si>
  <si>
    <t>1-5层落地式脚手架</t>
  </si>
  <si>
    <t>1-5层裙楼及主楼外脚手架采用地下室周转盘扣架搭设，可由A区负二层、C区负三层周转，盘扣架最低租赁周期3个月，减少外架钢管扣件材料费的同时也不产生盘扣架租赁成本</t>
  </si>
  <si>
    <t>屋面机房防护架</t>
  </si>
  <si>
    <t>1.屋面机房层结构施工，爬架直接爬升，替代常规悬挑架，降低施工难度，减少措施投入</t>
  </si>
  <si>
    <t>吊篮方案优化</t>
  </si>
  <si>
    <t>幕墙、真石漆分包施工时均需使用吊篮，我方在施工17层避难层钢结构时借用吊篮，可减少吊篮租赁费用约15天</t>
  </si>
  <si>
    <t>地下室周转料具</t>
  </si>
  <si>
    <t>地下室分区施工，B区最后浇筑，减少支模架体的租赁费用</t>
  </si>
  <si>
    <t>涂料施工优化</t>
  </si>
  <si>
    <t>地下室天棚部位图纸做法为满刮2道腻子，涂料1底2面；施工时优化为，刮1道腻子后对质量缺陷严重处进行点补，涂料1底1面；每m2可节约成本约10元</t>
  </si>
  <si>
    <t>项目场地周边围挡</t>
  </si>
  <si>
    <t>1.项目进场时与建设单位、前期桩基单位移交场地，由于项目封闭围挡为桩基单位购买并施工，桩基单位退场时欲按原价80%移交给我司，我司进场后积极沟通建设单位免费移交给我司使用，并在工程完工后由我司处理；
2.经项目积极沟通，建设单位协调将项目封闭式围挡免费移交给我司，且在项目完工后由我司处理，该项策划节省封闭式围挡施工费用。</t>
  </si>
  <si>
    <t>室外园林回填</t>
  </si>
  <si>
    <t>1.总包合同室外土方回填，我司只负责回填至设计标高以下300mm处，另300mm由园林单位进行回填种植土；
2.土方回填工程为盈利项，为加快园林工程施工进度，园林单位进场后，结合园林单位土方单价情况，积极沟通建设单位，将种植土回填由我司施工，回填时一同回填至设计标高。</t>
  </si>
  <si>
    <t>楼梯间防护优化</t>
  </si>
  <si>
    <t>1.项目楼梯为剪刀式楼梯，隔墙为ALC墙板，主体结构施工时，需采用标准化防护栏杆进行安全防护，根据施工部署，ALC墙板跟随主体结构以下5层逐步施工，楼梯间防护栏杆周转仅使用5层，降低文明施工措施费</t>
  </si>
  <si>
    <t>叠合板位置满铺铝模板</t>
  </si>
  <si>
    <t>1.根据2024年3月28日深圳市建筑工程质量安全监督总站（深建质监2024）8号文，要求在施项目有设计为预制楼板，在预制楼板吊装前，需板底铝合金模板进行满铺，预防安装时发生高处坠落；
2.结合项目住宅工程层高2.9m，</t>
  </si>
  <si>
    <t>物资策划</t>
  </si>
  <si>
    <t>物资调拨</t>
  </si>
  <si>
    <t>围挡、办公家具、空调、钢板等临时设施、标准化工具等采用其他项目调拨，降低成本</t>
  </si>
  <si>
    <t>钢筋策划</t>
  </si>
  <si>
    <t>根据业主品牌库，结合市场行情，选择低价品牌,分析市场行情，合理下单：
1、根据华南市场，选择桂鑫、桂万品牌的钢筋，较一线品牌可节约120元/t</t>
  </si>
  <si>
    <t>混凝土策划</t>
  </si>
  <si>
    <t>混凝土根据股份联采价格，结合项目实际情况，合理压降价格：
1、根据股份华南区域联采价格，考察多家搅拌站，比对供货距离，合理压降单价。基准价下浮32.5%，我方签订合同为35.5% ，增加利润3%，按同期C30泵送混凝土计算，每方混凝土可节省18.05元。</t>
  </si>
  <si>
    <t>盘扣根据股份联采价格，结合项目实际情况，合理压降价格以及修正合同条款减少损失风险。1、根据股份华南区域联采价格，比对供货距离，合理压降价格，同期股份价格为125元/t/月，我方签订合同85元/t/月，节省租金40元/t/月
2、合同签订时规避春节放假闲置无利用风险，签订春节期间当月不计算租期，根据同期计算，节省租金2万余元</t>
  </si>
  <si>
    <t>真石漆供应策划</t>
  </si>
  <si>
    <t>根据业主品牌库，结合市场行情，选择低价品牌且要求分包单位现金代购，降低成本，每kg较公司自主采购集采价可降低1元材料费，每m2用量约6.8kg（含合理损耗），合同形式以专业分包的模式按照平米价包干签订，超耗量由分包单位承担，减少材料超耗带来的损失</t>
  </si>
  <si>
    <t>瓷砖品牌策划</t>
  </si>
  <si>
    <t>根据业主品牌库，结合市场行情，推进品牌替代创效益。</t>
  </si>
  <si>
    <t>重计量及签证索赔策划</t>
  </si>
  <si>
    <t>砖胎膜及抹灰缺项</t>
  </si>
  <si>
    <t>图纸砖胎膜厚度为200mm，业主清单为120mm砖胎膜且业主清单缺失砖胎膜抹灰单价，此为清单缺项</t>
  </si>
  <si>
    <t>钢筋连接方式套筒变更</t>
  </si>
  <si>
    <t>深圳市规定不允许工程使用电渣压力焊，将电渣压力焊改为套筒</t>
  </si>
  <si>
    <t>梁板顶架缺项</t>
  </si>
  <si>
    <t>地下室清单梁板顶架缺项</t>
  </si>
  <si>
    <t>土方开挖价差</t>
  </si>
  <si>
    <t>向业主申请增加坡道挖土，增加施工范围，根据分包与业主清单价差增加效益</t>
  </si>
  <si>
    <t>止水螺杆量差</t>
  </si>
  <si>
    <t>止水螺杆量工程量增加</t>
  </si>
  <si>
    <t>重计量谈判效益</t>
  </si>
  <si>
    <t>重计量对接咨询及业主成本，获取效益率1.5%</t>
  </si>
  <si>
    <t>混凝土管控及精算收益</t>
  </si>
  <si>
    <t>混凝土管控及精算收益率为3%，混凝土总量23296.47*3%</t>
  </si>
  <si>
    <t>钢筋精算收益</t>
  </si>
  <si>
    <t>钢筋精算收益率为5%，钢筋总量3262*5%</t>
  </si>
  <si>
    <t>桩基检测配合费</t>
  </si>
  <si>
    <t>合同虽约定我方需配合桩基检测，但未约定配合地基承载力试验，在业主进行压板试验时，由于场地限制，检测单位提供的吊车吊重不满足现场需求，我方为加快工期进度，配合业主提供吊车，此费用需办理签证</t>
  </si>
  <si>
    <t>绿建验收</t>
  </si>
  <si>
    <t>合同约定我方负责绿建验收，且包含在合同价款里，但绿建验收单位按住建局规定应由建设单位直接委托，且与施工图纸的合理性（设计单位）关系密切，可与业主协商由建设方直接委托或由设计单位牵头，我方负责配合，减少验收过程中的成本支出</t>
  </si>
  <si>
    <t>正式路口开设</t>
  </si>
  <si>
    <t>合同约定我方负责正式路口的报批报建，本项目路口开设属于清单缺项，需重新批价，与业主工程及成本协商施工许可证办理时开办费按实计取，支出记录取得业主专业工程师签字认可，批价时将此费用计入</t>
  </si>
  <si>
    <t>总承包服务费</t>
  </si>
  <si>
    <t>投标时总承包配合费89.5万为不可竞争费，但我方投标时并不知晓各专业分包工程暂估合同额，且本项目我方积极配合业主协调各方事宜，故申请参考深圳市1.5%~3.5%费率取3.5%总承包服务费</t>
  </si>
  <si>
    <t>优质工程费计取</t>
  </si>
  <si>
    <t>本项目合同要求需获得深圳市优质结构工程奖，按照深圳市工程计价费率标准含税合同额1%~1.5%创优奖励取1.5%创优费用</t>
  </si>
  <si>
    <t>工期奖励</t>
  </si>
  <si>
    <t>按照业主内控节点，我司需制定赶工方案，上报业主，争取工期奖励，非承包人原因合延误一天补偿3000元，我方提前竣工申请每天3000元的奖金，工期压缩率为15%，即压缩144天</t>
  </si>
  <si>
    <t>前期工期补偿</t>
  </si>
  <si>
    <t>业主要求我司进场后，开工令下发滞后且桩基检测未按时移交导致人工窝工，房屋租金增加，此项费用需给予补偿</t>
  </si>
  <si>
    <t>超合同约定费用支出补偿</t>
  </si>
  <si>
    <t>合同约定我方向监理单位提供食堂场所，但未明确提供餐食，按照60元/人/天标准计入结算金额，监理平均管理人数为8人，参考合同工期958天，需补偿费用459840元</t>
  </si>
  <si>
    <t>合同策划</t>
  </si>
  <si>
    <t>资金策划</t>
  </si>
  <si>
    <t>项目为监管账户，公司无法挪用项目资金，但项目可通过钢筋调出的形式替代其他项目付款，将钢筋逾期利息作为项目的收入，项目可提供500万的钢筋调拨额度，周转2年，钢筋逾期利息年化利率为6%</t>
  </si>
  <si>
    <t>质保金策划</t>
  </si>
  <si>
    <t>保函抵质保金，提前回收质保金，减少资金占用费，质保金462万，按照LPR利率3.95%计算，占用2年，即462*3.95%*2=36.5万元</t>
  </si>
  <si>
    <t>税务筹划</t>
  </si>
  <si>
    <t>1.进项发票应取尽取，按照结算值取得进项发票。分包结算一定要早于总包结算，避免出现分包结算晚于总包结算进而导致进项税额不能抵扣，从而导致抵扣不充分。
2.不含税价相同时，机械租赁选择不配备操作人员，按照“有形动产租赁”缴纳增值税，增值税税率为13%，机械租赁可增加4%进项税额
3.合同签订价税分离，同一凭证，因载有两个或者两个以上经济事项而适用不同税目税率，如分别记载金额的，应分别计算应纳税额，相加后按合计税额贴花；如未分别记载金额的，按税率高的计税贴花。
4.将门窗、栏杆、防火门等材料占比较大的专业分包工程以物资采购方式签订合同，要求其开具13%的增值税专票，可多取得4%的进项税</t>
  </si>
  <si>
    <t>总承包管理费</t>
  </si>
  <si>
    <t>以收取水电费、安全文明押金、场地租赁费、过账管理费等名义同甲指分包进行商谈，包干收取不低于3%的分包合同额的总包管理费</t>
  </si>
  <si>
    <t>目前项目施工阶段处于1#、2#塔楼主体施工阶段，地下室处于砌筑阶段，预测6月30日之前主体封顶；</t>
    <phoneticPr fontId="76" type="noConversion"/>
  </si>
  <si>
    <t>工程项目人工费计算表</t>
    <phoneticPr fontId="76" type="noConversion"/>
  </si>
  <si>
    <t>工程项目专业分包费计算表</t>
    <phoneticPr fontId="76" type="noConversion"/>
  </si>
  <si>
    <t>工程项目机械费计算表</t>
    <phoneticPr fontId="76" type="noConversion"/>
  </si>
  <si>
    <t>工程项目管理费、利润、规费、税金费用表</t>
    <phoneticPr fontId="7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</si>
</sst>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 * #,##0_ ;_ * \-#,##0_ ;_ * &quot;-&quot;_ ;_ @_ "/>
    <numFmt numFmtId="43" formatCode="_ * #,##0.00_ ;_ * \-#,##0.00_ ;_ * &quot;-&quot;??_ ;_ @_ "/>
    <numFmt numFmtId="23" formatCode="\$#,##0_);\(\$#,##0\)"/>
    <numFmt numFmtId="176" formatCode="_-* #,##0.00_-;\-* #,##0.00_-;_-* &quot;-&quot;??_-;_-@_-"/>
    <numFmt numFmtId="177" formatCode="#,##0.00;[Red]&quot;-&quot;#,##0.00"/>
    <numFmt numFmtId="178" formatCode="_ &quot;\&quot;* #,##0_ ;_ &quot;\&quot;* \-#,##0_ ;_ &quot;\&quot;* &quot;-&quot;_ ;_ @_ "/>
    <numFmt numFmtId="179" formatCode="_ * #,##0_ ;_ * 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-#,##0_ ;_ * &quot;-&quot;_ ;_ @_ "/>
    <numFmt numFmtId="180" formatCode="_ * #,##0.00_ ;_ * 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-#,##0.00_ ;_ * &quot;-&quot;??_ ;_ @_ "/>
    <numFmt numFmtId="181" formatCode="&quot;\&quot;#,##0.00;[Red]&quot;\&quot;\-#,##0.00"/>
    <numFmt numFmtId="182" formatCode="&quot;\&quot;#,##0;[Red]&quot;\&quot;\-#,##0"/>
    <numFmt numFmtId="183" formatCode="#,##0;[Red]&quot;-&quot;#,##0"/>
    <numFmt numFmtId="184" formatCode="_ &quot;\&quot;* #,##0.00_ ;_ &quot;\&quot;* \-#,##0.00_ ;_ &quot;\&quot;* &quot;-&quot;??_ ;_ @_ "/>
    <numFmt numFmtId="185" formatCode="[DBNum2][$-804]General"/>
    <numFmt numFmtId="186" formatCode="0_);[Red]\(0\)"/>
    <numFmt numFmtId="187" formatCode="0_ "/>
    <numFmt numFmtId="188" formatCode="0.00_ "/>
    <numFmt numFmtId="189" formatCode="0.0_ "/>
    <numFmt numFmtId="190" formatCode="0.00_ ;[Red]\-0.00\ "/>
  </numFmts>
  <fonts count="99">
    <font>
      <sz val="12"/>
      <name val="宋体"/>
      <charset val="134"/>
    </font>
    <font>
      <b/>
      <sz val="12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仿宋_GB2312"/>
      <family val="3"/>
      <charset val="134"/>
    </font>
    <font>
      <sz val="10"/>
      <color indexed="8"/>
      <name val="仿宋_GB2312"/>
      <family val="3"/>
      <charset val="134"/>
    </font>
    <font>
      <b/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4"/>
      <name val="仿宋_GB2312"/>
      <family val="3"/>
      <charset val="134"/>
    </font>
    <font>
      <b/>
      <sz val="9"/>
      <name val="仿宋_GB2312"/>
      <family val="3"/>
      <charset val="134"/>
    </font>
    <font>
      <sz val="9"/>
      <name val="仿宋_GB2312"/>
      <family val="3"/>
      <charset val="134"/>
    </font>
    <font>
      <b/>
      <sz val="9"/>
      <color indexed="8"/>
      <name val="宋体"/>
      <family val="3"/>
      <charset val="134"/>
    </font>
    <font>
      <sz val="10"/>
      <name val="Times New Roman"/>
      <family val="1"/>
    </font>
    <font>
      <sz val="12"/>
      <name val="Times New Roman"/>
      <family val="1"/>
    </font>
    <font>
      <sz val="10"/>
      <color indexed="10"/>
      <name val="Times New Roman"/>
      <family val="1"/>
    </font>
    <font>
      <b/>
      <sz val="10"/>
      <name val="仿宋_GB2312"/>
      <family val="3"/>
      <charset val="134"/>
    </font>
    <font>
      <sz val="12"/>
      <name val="仿宋_GB2312"/>
      <family val="3"/>
      <charset val="134"/>
    </font>
    <font>
      <sz val="10"/>
      <color indexed="10"/>
      <name val="宋体"/>
      <family val="3"/>
      <charset val="134"/>
    </font>
    <font>
      <sz val="14"/>
      <name val="宋体"/>
      <family val="3"/>
      <charset val="134"/>
    </font>
    <font>
      <sz val="9"/>
      <color indexed="8"/>
      <name val="仿宋_GB2312"/>
      <family val="3"/>
      <charset val="134"/>
    </font>
    <font>
      <sz val="11"/>
      <name val="宋体"/>
      <family val="3"/>
      <charset val="134"/>
    </font>
    <font>
      <b/>
      <sz val="9"/>
      <color indexed="0"/>
      <name val="仿宋_GB2312"/>
      <family val="3"/>
      <charset val="134"/>
    </font>
    <font>
      <b/>
      <sz val="9"/>
      <color indexed="8"/>
      <name val="仿宋_GB2312"/>
      <family val="3"/>
      <charset val="134"/>
    </font>
    <font>
      <sz val="14"/>
      <name val="仿宋_GB2312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11"/>
      <name val="仿宋_GB2312"/>
      <family val="3"/>
      <charset val="134"/>
    </font>
    <font>
      <sz val="10"/>
      <color indexed="10"/>
      <name val="仿宋_GB2312"/>
      <family val="3"/>
      <charset val="134"/>
    </font>
    <font>
      <sz val="11"/>
      <color indexed="10"/>
      <name val="Times New Roman"/>
      <family val="1"/>
    </font>
    <font>
      <b/>
      <sz val="11"/>
      <name val="宋体"/>
      <family val="3"/>
      <charset val="134"/>
    </font>
    <font>
      <sz val="16"/>
      <color indexed="8"/>
      <name val="华文隶书"/>
      <family val="3"/>
      <charset val="134"/>
    </font>
    <font>
      <b/>
      <u/>
      <sz val="14"/>
      <name val="仿宋_GB2312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0"/>
      <name val="Arial"/>
      <family val="2"/>
    </font>
    <font>
      <sz val="8"/>
      <name val="Times New Roman"/>
      <family val="1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b/>
      <sz val="8"/>
      <name val="MS Sans Serif"/>
      <family val="2"/>
    </font>
    <font>
      <sz val="10"/>
      <color indexed="8"/>
      <name val="宋体"/>
      <family val="3"/>
      <charset val="134"/>
    </font>
    <font>
      <b/>
      <sz val="12"/>
      <name val="Arial"/>
      <family val="2"/>
    </font>
    <font>
      <sz val="10"/>
      <name val="Helv"/>
      <family val="2"/>
    </font>
    <font>
      <b/>
      <sz val="12"/>
      <name val="Helv"/>
      <family val="2"/>
    </font>
    <font>
      <b/>
      <sz val="8"/>
      <color indexed="8"/>
      <name val="Helv"/>
      <family val="2"/>
    </font>
    <font>
      <sz val="12"/>
      <name val="夥鰻羹"/>
      <charset val="134"/>
    </font>
    <font>
      <b/>
      <sz val="10"/>
      <name val="MS Sans Serif"/>
      <family val="2"/>
    </font>
    <font>
      <sz val="10"/>
      <name val="¿¬Ìå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MS Serif"/>
      <family val="1"/>
    </font>
    <font>
      <b/>
      <sz val="11"/>
      <name val="Helv"/>
      <family val="2"/>
    </font>
    <font>
      <sz val="8"/>
      <name val="MS Sans Serif"/>
      <family val="2"/>
    </font>
    <font>
      <u/>
      <sz val="12"/>
      <color indexed="12"/>
      <name val="宋体"/>
      <family val="3"/>
      <charset val="134"/>
    </font>
    <font>
      <sz val="12"/>
      <name val="官帕眉"/>
      <charset val="134"/>
    </font>
    <font>
      <sz val="12"/>
      <name val="柧挬"/>
      <charset val="134"/>
    </font>
    <font>
      <sz val="9"/>
      <color indexed="10"/>
      <name val="宋体"/>
      <family val="3"/>
      <charset val="134"/>
    </font>
    <font>
      <b/>
      <sz val="9"/>
      <name val="Tahoma"/>
      <family val="2"/>
      <charset val="134"/>
    </font>
    <font>
      <sz val="9"/>
      <name val="Tahoma"/>
      <family val="2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  <charset val="134"/>
    </font>
    <font>
      <sz val="18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rgb="FF000000"/>
      <name val="宋体"/>
      <family val="3"/>
      <charset val="134"/>
    </font>
    <font>
      <b/>
      <sz val="12"/>
      <color rgb="FF000000"/>
      <name val="宋体"/>
      <family val="3"/>
      <charset val="134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4"/>
      <color rgb="FF000000"/>
      <name val="宋体"/>
      <family val="3"/>
      <charset val="134"/>
      <scheme val="minor"/>
    </font>
    <font>
      <sz val="14"/>
      <name val="宋体"/>
      <family val="3"/>
      <charset val="134"/>
      <scheme val="minor"/>
    </font>
    <font>
      <sz val="18"/>
      <color rgb="FF00000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rgb="FFFF0000"/>
      <name val="仿宋_GB2312"/>
      <family val="3"/>
      <charset val="134"/>
    </font>
    <font>
      <sz val="9"/>
      <color rgb="FF000000"/>
      <name val="宋体"/>
      <family val="3"/>
      <charset val="134"/>
    </font>
    <font>
      <sz val="10"/>
      <name val="宋体"/>
      <family val="3"/>
      <charset val="134"/>
      <scheme val="minor"/>
    </font>
    <font>
      <b/>
      <sz val="18"/>
      <color rgb="FF00000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652">
    <xf numFmtId="0" fontId="0" fillId="0" borderId="0"/>
    <xf numFmtId="176" fontId="75" fillId="0" borderId="0" applyFon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56" fillId="0" borderId="0"/>
    <xf numFmtId="0" fontId="51" fillId="0" borderId="0"/>
    <xf numFmtId="0" fontId="51" fillId="0" borderId="0"/>
    <xf numFmtId="0" fontId="51" fillId="0" borderId="0"/>
    <xf numFmtId="0" fontId="56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8" fillId="0" borderId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0" fillId="0" borderId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63" fillId="0" borderId="0"/>
    <xf numFmtId="0" fontId="52" fillId="0" borderId="0">
      <alignment horizontal="center" wrapText="1"/>
      <protection locked="0"/>
    </xf>
    <xf numFmtId="179" fontId="16" fillId="0" borderId="0" applyFill="0" applyBorder="0" applyAlignment="0"/>
    <xf numFmtId="0" fontId="62" fillId="0" borderId="0" applyNumberFormat="0" applyFill="0" applyBorder="0" applyAlignment="0" applyProtection="0"/>
    <xf numFmtId="0" fontId="64" fillId="0" borderId="1">
      <alignment horizontal="center"/>
    </xf>
    <xf numFmtId="0" fontId="66" fillId="0" borderId="0" applyNumberFormat="0" applyAlignment="0">
      <alignment horizontal="left"/>
    </xf>
    <xf numFmtId="0" fontId="54" fillId="0" borderId="0" applyNumberFormat="0" applyAlignment="0">
      <alignment horizontal="left"/>
    </xf>
    <xf numFmtId="0" fontId="65" fillId="16" borderId="0" applyNumberFormat="0" applyBorder="0" applyAlignment="0" applyProtection="0"/>
    <xf numFmtId="0" fontId="59" fillId="0" borderId="0">
      <alignment horizontal="left"/>
    </xf>
    <xf numFmtId="0" fontId="57" fillId="0" borderId="2" applyNumberFormat="0" applyAlignment="0" applyProtection="0">
      <alignment horizontal="left" vertical="center"/>
    </xf>
    <xf numFmtId="0" fontId="57" fillId="0" borderId="3">
      <alignment horizontal="left" vertical="center"/>
    </xf>
    <xf numFmtId="0" fontId="55" fillId="0" borderId="4">
      <alignment horizontal="center"/>
    </xf>
    <xf numFmtId="0" fontId="55" fillId="0" borderId="0">
      <alignment horizontal="center"/>
    </xf>
    <xf numFmtId="0" fontId="65" fillId="17" borderId="5" applyNumberFormat="0" applyBorder="0" applyAlignment="0" applyProtection="0"/>
    <xf numFmtId="0" fontId="67" fillId="0" borderId="4"/>
    <xf numFmtId="180" fontId="16" fillId="0" borderId="0"/>
    <xf numFmtId="0" fontId="51" fillId="0" borderId="0"/>
    <xf numFmtId="14" fontId="52" fillId="0" borderId="0">
      <alignment horizontal="center" wrapText="1"/>
      <protection locked="0"/>
    </xf>
    <xf numFmtId="10" fontId="75" fillId="0" borderId="0" applyFont="0" applyFill="0" applyBorder="0" applyAlignment="0" applyProtection="0"/>
    <xf numFmtId="0" fontId="75" fillId="18" borderId="0" applyNumberFormat="0" applyFont="0" applyBorder="0" applyAlignment="0">
      <alignment horizontal="center"/>
    </xf>
    <xf numFmtId="0" fontId="16" fillId="0" borderId="0" applyNumberFormat="0" applyFill="0" applyBorder="0" applyAlignment="0" applyProtection="0">
      <alignment horizontal="left"/>
    </xf>
    <xf numFmtId="0" fontId="62" fillId="0" borderId="0" applyNumberFormat="0" applyFill="0" applyBorder="0" applyAlignment="0" applyProtection="0"/>
    <xf numFmtId="0" fontId="53" fillId="19" borderId="0">
      <alignment horizontal="left" vertical="center"/>
    </xf>
    <xf numFmtId="0" fontId="75" fillId="1" borderId="3" applyNumberFormat="0" applyFont="0" applyAlignment="0">
      <alignment horizontal="center"/>
    </xf>
    <xf numFmtId="0" fontId="68" fillId="0" borderId="0" applyNumberFormat="0" applyFill="0" applyBorder="0" applyAlignment="0">
      <alignment horizontal="center"/>
    </xf>
    <xf numFmtId="0" fontId="67" fillId="0" borderId="0"/>
    <xf numFmtId="40" fontId="60" fillId="0" borderId="0" applyBorder="0">
      <alignment horizontal="right"/>
    </xf>
    <xf numFmtId="0" fontId="61" fillId="0" borderId="0"/>
    <xf numFmtId="9" fontId="75" fillId="0" borderId="0" applyFont="0" applyFill="0" applyBorder="0" applyAlignment="0" applyProtection="0">
      <alignment vertical="center"/>
    </xf>
    <xf numFmtId="9" fontId="75" fillId="0" borderId="0" applyFont="0" applyFill="0" applyBorder="0" applyAlignment="0" applyProtection="0"/>
    <xf numFmtId="9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8" fillId="0" borderId="6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39" fillId="0" borderId="7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8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7" fillId="0" borderId="0">
      <alignment vertical="center"/>
    </xf>
    <xf numFmtId="0" fontId="10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5" fillId="0" borderId="0">
      <alignment vertical="center"/>
    </xf>
    <xf numFmtId="0" fontId="7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185" fontId="78" fillId="0" borderId="0"/>
    <xf numFmtId="185" fontId="78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6" fillId="0" borderId="0"/>
    <xf numFmtId="0" fontId="6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1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10" fillId="0" borderId="0">
      <alignment vertical="center"/>
    </xf>
    <xf numFmtId="0" fontId="10" fillId="0" borderId="0">
      <alignment vertical="center"/>
    </xf>
    <xf numFmtId="0" fontId="58" fillId="0" borderId="0"/>
    <xf numFmtId="0" fontId="75" fillId="0" borderId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3" fillId="16" borderId="10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44" fillId="20" borderId="11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9" fontId="61" fillId="0" borderId="0" applyFont="0" applyFill="0" applyBorder="0" applyAlignment="0" applyProtection="0"/>
    <xf numFmtId="0" fontId="70" fillId="0" borderId="0"/>
    <xf numFmtId="183" fontId="75" fillId="0" borderId="0" applyFont="0" applyFill="0" applyBorder="0" applyAlignment="0" applyProtection="0"/>
    <xf numFmtId="177" fontId="75" fillId="0" borderId="0" applyFont="0" applyFill="0" applyBorder="0" applyAlignment="0" applyProtection="0"/>
    <xf numFmtId="181" fontId="75" fillId="0" borderId="0" applyFont="0" applyFill="0" applyBorder="0" applyAlignment="0" applyProtection="0"/>
    <xf numFmtId="182" fontId="75" fillId="0" borderId="0" applyFont="0" applyFill="0" applyBorder="0" applyAlignment="0" applyProtection="0"/>
    <xf numFmtId="0" fontId="16" fillId="0" borderId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>
      <alignment vertical="center"/>
    </xf>
    <xf numFmtId="43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0" fontId="51" fillId="0" borderId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78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2" fillId="16" borderId="13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0" fontId="41" fillId="7" borderId="10" applyNumberFormat="0" applyAlignment="0" applyProtection="0">
      <alignment vertical="center"/>
    </xf>
    <xf numFmtId="41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58" fillId="0" borderId="0"/>
    <xf numFmtId="0" fontId="51" fillId="0" borderId="0"/>
    <xf numFmtId="0" fontId="51" fillId="0" borderId="0"/>
    <xf numFmtId="0" fontId="51" fillId="0" borderId="0"/>
    <xf numFmtId="0" fontId="58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6" fillId="0" borderId="0"/>
    <xf numFmtId="0" fontId="71" fillId="0" borderId="0"/>
    <xf numFmtId="40" fontId="75" fillId="0" borderId="0" applyFont="0" applyFill="0" applyBorder="0" applyAlignment="0" applyProtection="0"/>
    <xf numFmtId="38" fontId="75" fillId="0" borderId="0" applyFont="0" applyFill="0" applyBorder="0" applyAlignment="0" applyProtection="0"/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  <xf numFmtId="0" fontId="75" fillId="17" borderId="14" applyNumberFormat="0" applyFont="0" applyAlignment="0" applyProtection="0">
      <alignment vertical="center"/>
    </xf>
  </cellStyleXfs>
  <cellXfs count="519">
    <xf numFmtId="0" fontId="0" fillId="0" borderId="0" xfId="0" applyAlignment="1">
      <alignment vertical="center"/>
    </xf>
    <xf numFmtId="0" fontId="79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0" fontId="81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82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83" fillId="0" borderId="0" xfId="0" applyFont="1" applyAlignment="1">
      <alignment horizontal="center" vertical="center"/>
    </xf>
    <xf numFmtId="0" fontId="83" fillId="0" borderId="0" xfId="0" applyFont="1" applyAlignment="1">
      <alignment horizontal="left" vertical="center" wrapText="1"/>
    </xf>
    <xf numFmtId="0" fontId="84" fillId="0" borderId="43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 wrapText="1"/>
    </xf>
    <xf numFmtId="0" fontId="84" fillId="0" borderId="43" xfId="0" applyFont="1" applyBorder="1" applyAlignment="1">
      <alignment horizontal="center" vertical="center"/>
    </xf>
    <xf numFmtId="0" fontId="85" fillId="0" borderId="43" xfId="0" applyFont="1" applyBorder="1" applyAlignment="1">
      <alignment horizontal="center" vertical="center" wrapText="1"/>
    </xf>
    <xf numFmtId="0" fontId="85" fillId="0" borderId="15" xfId="0" applyFont="1" applyBorder="1" applyAlignment="1">
      <alignment horizontal="center" vertical="center" wrapText="1"/>
    </xf>
    <xf numFmtId="0" fontId="85" fillId="0" borderId="5" xfId="0" applyFont="1" applyBorder="1" applyAlignment="1">
      <alignment horizontal="center" vertical="center" wrapText="1"/>
    </xf>
    <xf numFmtId="186" fontId="85" fillId="0" borderId="44" xfId="0" applyNumberFormat="1" applyFont="1" applyBorder="1" applyAlignment="1">
      <alignment horizontal="center" vertical="center" wrapText="1"/>
    </xf>
    <xf numFmtId="186" fontId="85" fillId="0" borderId="5" xfId="0" applyNumberFormat="1" applyFont="1" applyBorder="1" applyAlignment="1">
      <alignment horizontal="center" vertical="center" wrapText="1"/>
    </xf>
    <xf numFmtId="0" fontId="86" fillId="0" borderId="43" xfId="0" applyFont="1" applyBorder="1" applyAlignment="1">
      <alignment horizontal="center" vertical="center" wrapText="1"/>
    </xf>
    <xf numFmtId="0" fontId="87" fillId="0" borderId="5" xfId="0" applyFont="1" applyBorder="1" applyAlignment="1">
      <alignment horizontal="center" vertical="center" wrapText="1"/>
    </xf>
    <xf numFmtId="0" fontId="87" fillId="0" borderId="5" xfId="0" applyFont="1" applyBorder="1" applyAlignment="1">
      <alignment horizontal="left" vertical="center" wrapText="1"/>
    </xf>
    <xf numFmtId="186" fontId="86" fillId="0" borderId="44" xfId="0" applyNumberFormat="1" applyFont="1" applyBorder="1" applyAlignment="1">
      <alignment horizontal="center" vertical="center" wrapText="1"/>
    </xf>
    <xf numFmtId="186" fontId="86" fillId="0" borderId="44" xfId="0" applyNumberFormat="1" applyFont="1" applyBorder="1" applyAlignment="1">
      <alignment horizontal="center" vertical="center"/>
    </xf>
    <xf numFmtId="186" fontId="86" fillId="0" borderId="5" xfId="0" applyNumberFormat="1" applyFont="1" applyBorder="1" applyAlignment="1">
      <alignment horizontal="center" vertical="center" wrapText="1"/>
    </xf>
    <xf numFmtId="186" fontId="86" fillId="0" borderId="5" xfId="0" applyNumberFormat="1" applyFont="1" applyBorder="1" applyAlignment="1">
      <alignment horizontal="center" vertical="center"/>
    </xf>
    <xf numFmtId="0" fontId="77" fillId="0" borderId="5" xfId="0" applyFont="1" applyBorder="1" applyAlignment="1">
      <alignment horizontal="center" vertical="center" wrapText="1"/>
    </xf>
    <xf numFmtId="186" fontId="86" fillId="0" borderId="43" xfId="0" applyNumberFormat="1" applyFont="1" applyBorder="1" applyAlignment="1">
      <alignment horizontal="center" vertical="center" wrapText="1"/>
    </xf>
    <xf numFmtId="186" fontId="86" fillId="0" borderId="43" xfId="0" applyNumberFormat="1" applyFont="1" applyBorder="1" applyAlignment="1">
      <alignment horizontal="center" vertical="center"/>
    </xf>
    <xf numFmtId="186" fontId="85" fillId="0" borderId="5" xfId="0" applyNumberFormat="1" applyFont="1" applyBorder="1" applyAlignment="1">
      <alignment horizontal="center" vertical="center"/>
    </xf>
    <xf numFmtId="186" fontId="86" fillId="0" borderId="16" xfId="0" applyNumberFormat="1" applyFont="1" applyBorder="1" applyAlignment="1">
      <alignment horizontal="center" vertical="center" wrapText="1"/>
    </xf>
    <xf numFmtId="0" fontId="77" fillId="0" borderId="17" xfId="0" applyFont="1" applyBorder="1" applyAlignment="1">
      <alignment horizontal="center" vertical="center" wrapText="1"/>
    </xf>
    <xf numFmtId="186" fontId="86" fillId="0" borderId="1" xfId="0" applyNumberFormat="1" applyFont="1" applyBorder="1" applyAlignment="1">
      <alignment horizontal="center" vertical="center" wrapText="1"/>
    </xf>
    <xf numFmtId="186" fontId="86" fillId="0" borderId="1" xfId="0" applyNumberFormat="1" applyFont="1" applyBorder="1" applyAlignment="1">
      <alignment horizontal="center" vertical="center"/>
    </xf>
    <xf numFmtId="0" fontId="81" fillId="0" borderId="5" xfId="0" applyFont="1" applyBorder="1" applyAlignment="1">
      <alignment horizontal="center" vertical="center" wrapText="1"/>
    </xf>
    <xf numFmtId="0" fontId="88" fillId="0" borderId="5" xfId="0" applyFont="1" applyBorder="1" applyAlignment="1">
      <alignment horizontal="center" vertical="center" wrapText="1"/>
    </xf>
    <xf numFmtId="0" fontId="89" fillId="0" borderId="43" xfId="0" applyFont="1" applyBorder="1" applyAlignment="1">
      <alignment horizontal="center" vertical="center" wrapText="1"/>
    </xf>
    <xf numFmtId="186" fontId="89" fillId="0" borderId="5" xfId="0" applyNumberFormat="1" applyFont="1" applyBorder="1" applyAlignment="1">
      <alignment horizontal="center" vertical="center" wrapText="1"/>
    </xf>
    <xf numFmtId="186" fontId="89" fillId="0" borderId="5" xfId="0" applyNumberFormat="1" applyFont="1" applyBorder="1" applyAlignment="1">
      <alignment horizontal="center" vertical="center"/>
    </xf>
    <xf numFmtId="0" fontId="86" fillId="0" borderId="5" xfId="0" applyFont="1" applyBorder="1" applyAlignment="1">
      <alignment horizontal="center" vertical="center"/>
    </xf>
    <xf numFmtId="0" fontId="85" fillId="0" borderId="5" xfId="0" applyFont="1" applyBorder="1" applyAlignment="1">
      <alignment horizontal="center" vertical="center"/>
    </xf>
    <xf numFmtId="0" fontId="77" fillId="0" borderId="1" xfId="0" applyFont="1" applyBorder="1" applyAlignment="1">
      <alignment horizontal="center" vertical="center" wrapText="1"/>
    </xf>
    <xf numFmtId="186" fontId="87" fillId="0" borderId="5" xfId="0" applyNumberFormat="1" applyFont="1" applyBorder="1" applyAlignment="1">
      <alignment horizontal="center" vertical="center"/>
    </xf>
    <xf numFmtId="186" fontId="90" fillId="0" borderId="5" xfId="0" applyNumberFormat="1" applyFont="1" applyBorder="1" applyAlignment="1">
      <alignment horizontal="center" vertical="center"/>
    </xf>
    <xf numFmtId="186" fontId="87" fillId="0" borderId="1" xfId="0" applyNumberFormat="1" applyFont="1" applyBorder="1" applyAlignment="1">
      <alignment horizontal="center" vertical="center"/>
    </xf>
    <xf numFmtId="186" fontId="86" fillId="0" borderId="45" xfId="0" applyNumberFormat="1" applyFont="1" applyBorder="1" applyAlignment="1">
      <alignment horizontal="center" vertical="center"/>
    </xf>
    <xf numFmtId="186" fontId="85" fillId="0" borderId="45" xfId="0" applyNumberFormat="1" applyFont="1" applyBorder="1" applyAlignment="1">
      <alignment horizontal="center" vertical="center"/>
    </xf>
    <xf numFmtId="186" fontId="77" fillId="0" borderId="1" xfId="0" applyNumberFormat="1" applyFont="1" applyBorder="1" applyAlignment="1">
      <alignment horizontal="center" vertical="center"/>
    </xf>
    <xf numFmtId="186" fontId="86" fillId="0" borderId="46" xfId="0" applyNumberFormat="1" applyFont="1" applyBorder="1" applyAlignment="1">
      <alignment horizontal="center" vertical="center"/>
    </xf>
    <xf numFmtId="0" fontId="91" fillId="0" borderId="0" xfId="0" applyFont="1" applyAlignment="1">
      <alignment vertical="center"/>
    </xf>
    <xf numFmtId="0" fontId="84" fillId="0" borderId="0" xfId="0" applyFont="1" applyAlignment="1">
      <alignment vertical="center"/>
    </xf>
    <xf numFmtId="0" fontId="85" fillId="0" borderId="0" xfId="0" applyFont="1" applyAlignment="1">
      <alignment vertical="center"/>
    </xf>
    <xf numFmtId="0" fontId="86" fillId="0" borderId="0" xfId="0" applyFont="1" applyAlignment="1">
      <alignment vertical="center"/>
    </xf>
    <xf numFmtId="0" fontId="89" fillId="0" borderId="0" xfId="0" applyFont="1" applyAlignment="1">
      <alignment vertical="center"/>
    </xf>
    <xf numFmtId="0" fontId="92" fillId="0" borderId="0" xfId="0" applyFont="1" applyAlignment="1">
      <alignment vertical="center"/>
    </xf>
    <xf numFmtId="0" fontId="86" fillId="0" borderId="5" xfId="0" applyFont="1" applyBorder="1" applyAlignment="1">
      <alignment horizontal="center" vertical="center" wrapText="1"/>
    </xf>
    <xf numFmtId="0" fontId="85" fillId="0" borderId="5" xfId="0" applyFont="1" applyBorder="1" applyAlignment="1">
      <alignment horizontal="left" vertical="center" wrapText="1"/>
    </xf>
    <xf numFmtId="0" fontId="85" fillId="0" borderId="5" xfId="0" applyFont="1" applyBorder="1" applyAlignment="1">
      <alignment vertical="center"/>
    </xf>
    <xf numFmtId="187" fontId="83" fillId="0" borderId="0" xfId="0" applyNumberFormat="1" applyFont="1" applyAlignment="1">
      <alignment horizontal="center" vertical="center"/>
    </xf>
    <xf numFmtId="9" fontId="83" fillId="0" borderId="0" xfId="418" applyFont="1" applyFill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8" fontId="0" fillId="0" borderId="0" xfId="0" applyNumberFormat="1" applyAlignment="1">
      <alignment vertical="center"/>
    </xf>
    <xf numFmtId="1" fontId="3" fillId="0" borderId="0" xfId="1256" applyNumberFormat="1" applyFont="1" applyAlignment="1">
      <alignment horizontal="center" vertical="center"/>
    </xf>
    <xf numFmtId="0" fontId="4" fillId="0" borderId="5" xfId="1256" applyFont="1" applyBorder="1" applyAlignment="1">
      <alignment horizontal="center" vertical="center" wrapText="1"/>
    </xf>
    <xf numFmtId="188" fontId="4" fillId="0" borderId="5" xfId="1256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963" applyFont="1" applyBorder="1" applyAlignment="1">
      <alignment horizontal="left" vertical="center" wrapText="1"/>
    </xf>
    <xf numFmtId="0" fontId="6" fillId="0" borderId="5" xfId="963" applyFont="1" applyBorder="1" applyAlignment="1">
      <alignment horizontal="center" vertical="center" wrapText="1"/>
    </xf>
    <xf numFmtId="0" fontId="5" fillId="0" borderId="18" xfId="1256" applyFont="1" applyBorder="1" applyAlignment="1">
      <alignment horizontal="center" vertical="center" wrapText="1"/>
    </xf>
    <xf numFmtId="189" fontId="5" fillId="0" borderId="5" xfId="1256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189" fontId="6" fillId="0" borderId="5" xfId="0" applyNumberFormat="1" applyFont="1" applyBorder="1" applyAlignment="1">
      <alignment horizontal="center" vertical="center"/>
    </xf>
    <xf numFmtId="189" fontId="6" fillId="0" borderId="5" xfId="1135" applyNumberFormat="1" applyFont="1" applyBorder="1" applyAlignment="1">
      <alignment horizontal="center" vertical="center"/>
    </xf>
    <xf numFmtId="0" fontId="6" fillId="0" borderId="5" xfId="720" applyFont="1" applyBorder="1" applyAlignment="1">
      <alignment vertical="center"/>
    </xf>
    <xf numFmtId="0" fontId="6" fillId="0" borderId="5" xfId="720" applyFont="1" applyBorder="1" applyAlignment="1">
      <alignment horizontal="center" vertical="center"/>
    </xf>
    <xf numFmtId="189" fontId="6" fillId="0" borderId="5" xfId="720" applyNumberFormat="1" applyFont="1" applyBorder="1" applyAlignment="1">
      <alignment horizontal="center" vertical="center"/>
    </xf>
    <xf numFmtId="189" fontId="5" fillId="0" borderId="5" xfId="1135" applyNumberFormat="1" applyFont="1" applyBorder="1" applyAlignment="1">
      <alignment horizontal="center" vertical="center" wrapText="1"/>
    </xf>
    <xf numFmtId="189" fontId="5" fillId="0" borderId="5" xfId="1256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wrapText="1"/>
    </xf>
    <xf numFmtId="0" fontId="7" fillId="0" borderId="19" xfId="0" applyFont="1" applyBorder="1" applyAlignment="1">
      <alignment horizontal="left" vertical="center" wrapText="1"/>
    </xf>
    <xf numFmtId="0" fontId="6" fillId="0" borderId="18" xfId="72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93" fillId="0" borderId="43" xfId="0" applyFont="1" applyBorder="1" applyAlignment="1">
      <alignment horizontal="justify" vertical="center" wrapText="1"/>
    </xf>
    <xf numFmtId="0" fontId="5" fillId="0" borderId="15" xfId="0" applyFont="1" applyBorder="1" applyAlignment="1">
      <alignment horizontal="center" vertical="center" wrapText="1"/>
    </xf>
    <xf numFmtId="0" fontId="6" fillId="0" borderId="15" xfId="720" applyFont="1" applyBorder="1" applyAlignment="1">
      <alignment vertical="center"/>
    </xf>
    <xf numFmtId="1" fontId="9" fillId="0" borderId="15" xfId="1256" applyNumberFormat="1" applyFont="1" applyBorder="1" applyAlignment="1">
      <alignment vertical="center" wrapText="1"/>
    </xf>
    <xf numFmtId="1" fontId="9" fillId="0" borderId="15" xfId="1256" applyNumberFormat="1" applyFont="1" applyBorder="1" applyAlignment="1">
      <alignment horizontal="center" vertical="center" wrapText="1"/>
    </xf>
    <xf numFmtId="1" fontId="9" fillId="0" borderId="18" xfId="1256" applyNumberFormat="1" applyFont="1" applyBorder="1" applyAlignment="1">
      <alignment vertical="center" wrapText="1"/>
    </xf>
    <xf numFmtId="0" fontId="9" fillId="0" borderId="5" xfId="783" applyFont="1" applyBorder="1" applyAlignment="1">
      <alignment horizontal="center" vertical="center" wrapText="1"/>
    </xf>
    <xf numFmtId="189" fontId="9" fillId="0" borderId="5" xfId="1256" applyNumberFormat="1" applyFont="1" applyBorder="1" applyAlignment="1">
      <alignment horizontal="center" vertical="center" wrapText="1"/>
    </xf>
    <xf numFmtId="0" fontId="5" fillId="0" borderId="0" xfId="1256" applyFont="1"/>
    <xf numFmtId="0" fontId="5" fillId="0" borderId="0" xfId="1256" applyFont="1" applyAlignment="1">
      <alignment wrapText="1"/>
    </xf>
    <xf numFmtId="0" fontId="5" fillId="0" borderId="0" xfId="1256" applyFont="1" applyAlignment="1">
      <alignment horizontal="center"/>
    </xf>
    <xf numFmtId="188" fontId="5" fillId="0" borderId="0" xfId="1256" applyNumberFormat="1" applyFont="1" applyAlignment="1">
      <alignment horizontal="right"/>
    </xf>
    <xf numFmtId="187" fontId="5" fillId="0" borderId="0" xfId="1256" applyNumberFormat="1" applyFont="1" applyAlignment="1">
      <alignment horizontal="right"/>
    </xf>
    <xf numFmtId="0" fontId="5" fillId="0" borderId="0" xfId="1256" applyFont="1" applyAlignment="1">
      <alignment horizontal="right"/>
    </xf>
    <xf numFmtId="188" fontId="5" fillId="0" borderId="5" xfId="1256" applyNumberFormat="1" applyFont="1" applyBorder="1" applyAlignment="1">
      <alignment horizontal="center" vertical="center" wrapText="1"/>
    </xf>
    <xf numFmtId="189" fontId="5" fillId="0" borderId="5" xfId="783" applyNumberFormat="1" applyFont="1" applyBorder="1" applyAlignment="1">
      <alignment horizontal="center" vertical="center" wrapText="1"/>
    </xf>
    <xf numFmtId="0" fontId="94" fillId="0" borderId="5" xfId="0" applyFont="1" applyBorder="1" applyAlignment="1">
      <alignment horizontal="center" vertical="center" shrinkToFit="1"/>
    </xf>
    <xf numFmtId="188" fontId="5" fillId="0" borderId="5" xfId="783" applyNumberFormat="1" applyFont="1" applyBorder="1" applyAlignment="1">
      <alignment horizontal="center" vertical="center" wrapText="1"/>
    </xf>
    <xf numFmtId="188" fontId="5" fillId="0" borderId="5" xfId="1256" applyNumberFormat="1" applyFont="1" applyBorder="1" applyAlignment="1">
      <alignment horizontal="center" vertical="center"/>
    </xf>
    <xf numFmtId="189" fontId="9" fillId="0" borderId="5" xfId="783" applyNumberFormat="1" applyFont="1" applyBorder="1" applyAlignment="1">
      <alignment horizontal="center" vertical="center" wrapText="1"/>
    </xf>
    <xf numFmtId="188" fontId="9" fillId="0" borderId="5" xfId="1256" applyNumberFormat="1" applyFont="1" applyBorder="1" applyAlignment="1">
      <alignment horizontal="center" vertical="center" wrapText="1"/>
    </xf>
    <xf numFmtId="0" fontId="5" fillId="0" borderId="0" xfId="783" applyFont="1" applyAlignment="1">
      <alignment vertical="center" wrapText="1"/>
    </xf>
    <xf numFmtId="188" fontId="10" fillId="0" borderId="0" xfId="1254" applyNumberFormat="1">
      <alignment vertical="center"/>
    </xf>
    <xf numFmtId="0" fontId="10" fillId="0" borderId="0" xfId="1254">
      <alignment vertical="center"/>
    </xf>
    <xf numFmtId="0" fontId="5" fillId="0" borderId="5" xfId="783" applyFont="1" applyBorder="1" applyAlignment="1">
      <alignment horizontal="center" vertical="center" wrapText="1"/>
    </xf>
    <xf numFmtId="189" fontId="5" fillId="0" borderId="18" xfId="783" applyNumberFormat="1" applyFont="1" applyBorder="1" applyAlignment="1">
      <alignment horizontal="center" vertical="center" wrapText="1"/>
    </xf>
    <xf numFmtId="189" fontId="6" fillId="27" borderId="5" xfId="1254" applyNumberFormat="1" applyFont="1" applyFill="1" applyBorder="1">
      <alignment vertical="center"/>
    </xf>
    <xf numFmtId="189" fontId="6" fillId="0" borderId="5" xfId="1254" applyNumberFormat="1" applyFont="1" applyBorder="1">
      <alignment vertical="center"/>
    </xf>
    <xf numFmtId="1" fontId="11" fillId="0" borderId="0" xfId="1256" applyNumberFormat="1" applyFont="1" applyAlignment="1">
      <alignment horizontal="center" vertical="center"/>
    </xf>
    <xf numFmtId="0" fontId="7" fillId="0" borderId="5" xfId="1256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88" fontId="7" fillId="0" borderId="5" xfId="1256" applyNumberFormat="1" applyFont="1" applyBorder="1" applyAlignment="1">
      <alignment horizontal="center" vertical="center" wrapText="1"/>
    </xf>
    <xf numFmtId="57" fontId="7" fillId="0" borderId="15" xfId="1256" applyNumberFormat="1" applyFont="1" applyBorder="1" applyAlignment="1">
      <alignment vertical="center" wrapText="1"/>
    </xf>
    <xf numFmtId="187" fontId="7" fillId="0" borderId="5" xfId="1256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57" fontId="5" fillId="0" borderId="5" xfId="1256" applyNumberFormat="1" applyFont="1" applyBorder="1" applyAlignment="1">
      <alignment horizontal="center" vertical="center" wrapText="1"/>
    </xf>
    <xf numFmtId="0" fontId="12" fillId="0" borderId="5" xfId="1256" applyFont="1" applyBorder="1" applyAlignment="1">
      <alignment horizontal="center" vertical="center" wrapText="1"/>
    </xf>
    <xf numFmtId="0" fontId="13" fillId="0" borderId="5" xfId="1256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5" fillId="0" borderId="5" xfId="1256" applyFont="1" applyBorder="1" applyAlignment="1">
      <alignment horizontal="center" vertical="center" wrapText="1"/>
    </xf>
    <xf numFmtId="0" fontId="13" fillId="0" borderId="5" xfId="783" applyFont="1" applyBorder="1" applyAlignment="1">
      <alignment horizontal="center" vertical="center" wrapText="1"/>
    </xf>
    <xf numFmtId="0" fontId="6" fillId="0" borderId="5" xfId="720" applyFont="1" applyBorder="1" applyAlignment="1">
      <alignment vertical="center" wrapText="1"/>
    </xf>
    <xf numFmtId="57" fontId="5" fillId="0" borderId="18" xfId="1256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" fontId="5" fillId="0" borderId="5" xfId="1256" applyNumberFormat="1" applyFont="1" applyBorder="1" applyAlignment="1">
      <alignment vertical="center" wrapText="1"/>
    </xf>
    <xf numFmtId="0" fontId="13" fillId="0" borderId="0" xfId="1256" applyFont="1"/>
    <xf numFmtId="0" fontId="13" fillId="0" borderId="0" xfId="1256" applyFont="1" applyAlignment="1">
      <alignment wrapText="1"/>
    </xf>
    <xf numFmtId="0" fontId="13" fillId="0" borderId="0" xfId="1256" applyFont="1" applyAlignment="1">
      <alignment horizontal="center"/>
    </xf>
    <xf numFmtId="188" fontId="13" fillId="0" borderId="0" xfId="1256" applyNumberFormat="1" applyFont="1" applyAlignment="1">
      <alignment horizontal="right"/>
    </xf>
    <xf numFmtId="187" fontId="13" fillId="0" borderId="0" xfId="1256" applyNumberFormat="1" applyFont="1" applyAlignment="1">
      <alignment horizontal="right"/>
    </xf>
    <xf numFmtId="0" fontId="13" fillId="0" borderId="0" xfId="1256" applyFont="1" applyAlignment="1">
      <alignment horizontal="right"/>
    </xf>
    <xf numFmtId="0" fontId="5" fillId="0" borderId="0" xfId="783" applyFont="1">
      <alignment vertical="center"/>
    </xf>
    <xf numFmtId="0" fontId="5" fillId="0" borderId="0" xfId="783" applyFont="1" applyAlignment="1">
      <alignment horizontal="center" vertical="center" wrapText="1"/>
    </xf>
    <xf numFmtId="0" fontId="7" fillId="0" borderId="5" xfId="783" applyFont="1" applyBorder="1" applyAlignment="1">
      <alignment horizontal="center" vertical="center" wrapText="1"/>
    </xf>
    <xf numFmtId="0" fontId="12" fillId="0" borderId="5" xfId="783" applyFont="1" applyBorder="1" applyAlignment="1">
      <alignment horizontal="center" vertical="center" wrapText="1"/>
    </xf>
    <xf numFmtId="0" fontId="13" fillId="0" borderId="0" xfId="783" applyFont="1" applyAlignment="1">
      <alignment vertical="center" wrapText="1"/>
    </xf>
    <xf numFmtId="0" fontId="10" fillId="0" borderId="0" xfId="1254" applyAlignment="1">
      <alignment horizontal="center" vertical="center" wrapText="1"/>
    </xf>
    <xf numFmtId="0" fontId="75" fillId="0" borderId="0" xfId="623" applyAlignment="1">
      <alignment horizontal="center" vertical="center" wrapText="1"/>
    </xf>
    <xf numFmtId="0" fontId="2" fillId="0" borderId="0" xfId="623" applyFont="1" applyAlignment="1">
      <alignment horizontal="center" vertical="center" wrapText="1"/>
    </xf>
    <xf numFmtId="0" fontId="75" fillId="0" borderId="0" xfId="623" applyAlignment="1">
      <alignment vertical="center"/>
    </xf>
    <xf numFmtId="188" fontId="75" fillId="0" borderId="0" xfId="623" applyNumberFormat="1" applyAlignment="1">
      <alignment vertical="center"/>
    </xf>
    <xf numFmtId="0" fontId="4" fillId="0" borderId="5" xfId="623" applyFont="1" applyBorder="1" applyAlignment="1">
      <alignment horizontal="center" vertical="center" wrapText="1"/>
    </xf>
    <xf numFmtId="187" fontId="4" fillId="0" borderId="5" xfId="1256" applyNumberFormat="1" applyFont="1" applyBorder="1" applyAlignment="1">
      <alignment horizontal="center" vertical="center" wrapText="1"/>
    </xf>
    <xf numFmtId="1" fontId="9" fillId="0" borderId="5" xfId="1256" applyNumberFormat="1" applyFont="1" applyBorder="1" applyAlignment="1">
      <alignment horizontal="center" vertical="center" wrapText="1"/>
    </xf>
    <xf numFmtId="0" fontId="9" fillId="0" borderId="5" xfId="1256" applyFont="1" applyBorder="1" applyAlignment="1">
      <alignment horizontal="center" vertical="center" wrapText="1"/>
    </xf>
    <xf numFmtId="57" fontId="9" fillId="0" borderId="5" xfId="1256" applyNumberFormat="1" applyFont="1" applyBorder="1" applyAlignment="1">
      <alignment horizontal="center" vertical="center" wrapText="1"/>
    </xf>
    <xf numFmtId="1" fontId="5" fillId="0" borderId="5" xfId="1256" applyNumberFormat="1" applyFont="1" applyBorder="1" applyAlignment="1">
      <alignment horizontal="center" vertical="center" wrapText="1"/>
    </xf>
    <xf numFmtId="49" fontId="14" fillId="0" borderId="5" xfId="1254" applyNumberFormat="1" applyFont="1" applyBorder="1" applyAlignment="1">
      <alignment horizontal="center" vertical="center" wrapText="1"/>
    </xf>
    <xf numFmtId="49" fontId="6" fillId="0" borderId="5" xfId="1254" applyNumberFormat="1" applyFont="1" applyBorder="1" applyAlignment="1">
      <alignment horizontal="center" vertical="center" wrapText="1"/>
    </xf>
    <xf numFmtId="188" fontId="4" fillId="0" borderId="15" xfId="1256" applyNumberFormat="1" applyFont="1" applyBorder="1" applyAlignment="1">
      <alignment vertical="center" wrapText="1"/>
    </xf>
    <xf numFmtId="188" fontId="9" fillId="0" borderId="5" xfId="783" applyNumberFormat="1" applyFont="1" applyBorder="1" applyAlignment="1">
      <alignment horizontal="center" vertical="center" wrapText="1"/>
    </xf>
    <xf numFmtId="0" fontId="9" fillId="0" borderId="0" xfId="783" applyFont="1" applyAlignment="1">
      <alignment horizontal="center" vertical="center" wrapText="1"/>
    </xf>
    <xf numFmtId="1" fontId="5" fillId="0" borderId="15" xfId="1256" applyNumberFormat="1" applyFont="1" applyBorder="1" applyAlignment="1">
      <alignment vertical="center" wrapText="1"/>
    </xf>
    <xf numFmtId="1" fontId="5" fillId="0" borderId="15" xfId="1256" applyNumberFormat="1" applyFont="1" applyBorder="1" applyAlignment="1">
      <alignment horizontal="center" vertical="center" wrapText="1"/>
    </xf>
    <xf numFmtId="1" fontId="5" fillId="0" borderId="18" xfId="1256" applyNumberFormat="1" applyFont="1" applyBorder="1" applyAlignment="1">
      <alignment vertical="center" wrapText="1"/>
    </xf>
    <xf numFmtId="57" fontId="4" fillId="0" borderId="15" xfId="1256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188" fontId="16" fillId="0" borderId="0" xfId="0" applyNumberFormat="1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88" fontId="7" fillId="0" borderId="5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88" fontId="7" fillId="0" borderId="5" xfId="0" applyNumberFormat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188" fontId="18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188" fontId="19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188" fontId="15" fillId="0" borderId="0" xfId="0" applyNumberFormat="1" applyFont="1" applyAlignment="1">
      <alignment vertical="center" wrapText="1"/>
    </xf>
    <xf numFmtId="0" fontId="21" fillId="0" borderId="0" xfId="623" applyFont="1"/>
    <xf numFmtId="0" fontId="5" fillId="0" borderId="0" xfId="623" applyFont="1" applyAlignment="1">
      <alignment vertical="center" wrapText="1"/>
    </xf>
    <xf numFmtId="0" fontId="5" fillId="0" borderId="0" xfId="623" applyFont="1"/>
    <xf numFmtId="0" fontId="8" fillId="0" borderId="5" xfId="623" applyFont="1" applyBorder="1" applyAlignment="1">
      <alignment horizontal="center" vertical="center" wrapText="1"/>
    </xf>
    <xf numFmtId="188" fontId="8" fillId="0" borderId="5" xfId="780" applyNumberFormat="1" applyFont="1" applyBorder="1" applyAlignment="1">
      <alignment horizontal="center" vertical="center" wrapText="1"/>
    </xf>
    <xf numFmtId="0" fontId="8" fillId="0" borderId="5" xfId="623" applyFont="1" applyBorder="1" applyAlignment="1">
      <alignment vertical="center" wrapText="1"/>
    </xf>
    <xf numFmtId="188" fontId="8" fillId="0" borderId="5" xfId="623" applyNumberFormat="1" applyFont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7" fillId="0" borderId="5" xfId="1252" applyFont="1" applyBorder="1" applyAlignment="1">
      <alignment vertical="center"/>
    </xf>
    <xf numFmtId="0" fontId="8" fillId="19" borderId="5" xfId="623" applyFont="1" applyFill="1" applyBorder="1" applyAlignment="1">
      <alignment horizontal="center" vertical="center" wrapText="1"/>
    </xf>
    <xf numFmtId="188" fontId="5" fillId="0" borderId="0" xfId="623" applyNumberFormat="1" applyFont="1" applyAlignment="1">
      <alignment vertical="center" wrapText="1"/>
    </xf>
    <xf numFmtId="0" fontId="5" fillId="0" borderId="20" xfId="623" applyFont="1" applyBorder="1" applyAlignment="1">
      <alignment wrapText="1"/>
    </xf>
    <xf numFmtId="0" fontId="5" fillId="0" borderId="20" xfId="623" applyFont="1" applyBorder="1" applyAlignment="1">
      <alignment horizontal="center" wrapText="1"/>
    </xf>
    <xf numFmtId="0" fontId="5" fillId="0" borderId="0" xfId="623" applyFont="1" applyAlignment="1">
      <alignment horizontal="center"/>
    </xf>
    <xf numFmtId="0" fontId="5" fillId="0" borderId="5" xfId="623" applyFont="1" applyBorder="1" applyAlignment="1">
      <alignment horizontal="center" vertical="center" wrapText="1"/>
    </xf>
    <xf numFmtId="188" fontId="5" fillId="0" borderId="5" xfId="623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57" fontId="13" fillId="0" borderId="5" xfId="1256" applyNumberFormat="1" applyFont="1" applyBorder="1" applyAlignment="1">
      <alignment horizontal="center" vertical="center" wrapText="1"/>
    </xf>
    <xf numFmtId="1" fontId="13" fillId="0" borderId="15" xfId="1256" applyNumberFormat="1" applyFont="1" applyBorder="1" applyAlignment="1">
      <alignment vertical="center" wrapText="1"/>
    </xf>
    <xf numFmtId="1" fontId="13" fillId="0" borderId="15" xfId="1256" applyNumberFormat="1" applyFont="1" applyBorder="1" applyAlignment="1">
      <alignment horizontal="center" vertical="center" wrapText="1"/>
    </xf>
    <xf numFmtId="1" fontId="13" fillId="0" borderId="18" xfId="1256" applyNumberFormat="1" applyFont="1" applyBorder="1" applyAlignment="1">
      <alignment vertical="center" wrapText="1"/>
    </xf>
    <xf numFmtId="188" fontId="11" fillId="0" borderId="0" xfId="1256" applyNumberFormat="1" applyFont="1" applyAlignment="1">
      <alignment horizontal="center" vertical="center"/>
    </xf>
    <xf numFmtId="188" fontId="13" fillId="0" borderId="5" xfId="1256" applyNumberFormat="1" applyFont="1" applyBorder="1" applyAlignment="1">
      <alignment horizontal="center" vertical="center" wrapText="1"/>
    </xf>
    <xf numFmtId="188" fontId="13" fillId="28" borderId="5" xfId="783" applyNumberFormat="1" applyFont="1" applyFill="1" applyBorder="1" applyAlignment="1">
      <alignment horizontal="center" vertical="center" wrapText="1"/>
    </xf>
    <xf numFmtId="188" fontId="13" fillId="0" borderId="5" xfId="783" applyNumberFormat="1" applyFont="1" applyBorder="1" applyAlignment="1">
      <alignment horizontal="center" vertical="center" wrapText="1"/>
    </xf>
    <xf numFmtId="188" fontId="5" fillId="0" borderId="0" xfId="783" applyNumberFormat="1" applyFont="1">
      <alignment vertical="center"/>
    </xf>
    <xf numFmtId="1" fontId="7" fillId="0" borderId="0" xfId="1256" applyNumberFormat="1" applyFont="1" applyAlignment="1">
      <alignment horizontal="left" vertical="center" wrapText="1"/>
    </xf>
    <xf numFmtId="188" fontId="5" fillId="0" borderId="0" xfId="783" applyNumberFormat="1" applyFont="1" applyAlignment="1">
      <alignment horizontal="center" vertical="center" wrapText="1"/>
    </xf>
    <xf numFmtId="0" fontId="7" fillId="0" borderId="0" xfId="783" applyFont="1" applyAlignment="1">
      <alignment horizontal="center" vertical="center" wrapText="1"/>
    </xf>
    <xf numFmtId="0" fontId="12" fillId="0" borderId="0" xfId="783" applyFont="1" applyAlignment="1">
      <alignment horizontal="center" vertical="center" wrapText="1"/>
    </xf>
    <xf numFmtId="188" fontId="5" fillId="28" borderId="5" xfId="783" applyNumberFormat="1" applyFont="1" applyFill="1" applyBorder="1" applyAlignment="1">
      <alignment horizontal="center" vertical="center" wrapText="1"/>
    </xf>
    <xf numFmtId="0" fontId="13" fillId="0" borderId="0" xfId="783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88" fontId="12" fillId="0" borderId="5" xfId="1256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88" fontId="9" fillId="0" borderId="5" xfId="1256" applyNumberFormat="1" applyFont="1" applyBorder="1" applyAlignment="1">
      <alignment horizontal="center" vertical="center"/>
    </xf>
    <xf numFmtId="0" fontId="9" fillId="0" borderId="5" xfId="1256" applyFont="1" applyBorder="1" applyAlignment="1">
      <alignment horizontal="center" vertical="center"/>
    </xf>
    <xf numFmtId="0" fontId="13" fillId="28" borderId="5" xfId="783" applyFont="1" applyFill="1" applyBorder="1" applyAlignment="1">
      <alignment horizontal="center" vertical="center" wrapText="1"/>
    </xf>
    <xf numFmtId="188" fontId="12" fillId="0" borderId="5" xfId="783" applyNumberFormat="1" applyFont="1" applyBorder="1" applyAlignment="1">
      <alignment horizontal="center" vertical="center" wrapText="1"/>
    </xf>
    <xf numFmtId="0" fontId="5" fillId="0" borderId="5" xfId="1256" applyFont="1" applyBorder="1" applyAlignment="1">
      <alignment horizontal="center" vertical="center"/>
    </xf>
    <xf numFmtId="0" fontId="10" fillId="0" borderId="0" xfId="1254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center" vertical="center"/>
    </xf>
    <xf numFmtId="188" fontId="7" fillId="0" borderId="15" xfId="0" applyNumberFormat="1" applyFont="1" applyBorder="1" applyAlignment="1">
      <alignment horizontal="center" vertical="center" wrapText="1"/>
    </xf>
    <xf numFmtId="188" fontId="13" fillId="27" borderId="5" xfId="783" applyNumberFormat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left" vertical="center" wrapText="1"/>
    </xf>
    <xf numFmtId="0" fontId="13" fillId="0" borderId="0" xfId="1256" applyFont="1" applyAlignment="1">
      <alignment vertical="center"/>
    </xf>
    <xf numFmtId="0" fontId="13" fillId="0" borderId="0" xfId="1256" applyFont="1" applyAlignment="1">
      <alignment vertical="center" wrapText="1"/>
    </xf>
    <xf numFmtId="0" fontId="13" fillId="0" borderId="0" xfId="1256" applyFont="1" applyAlignment="1">
      <alignment horizontal="left" vertical="center" wrapText="1"/>
    </xf>
    <xf numFmtId="0" fontId="13" fillId="0" borderId="0" xfId="1256" applyFont="1" applyAlignment="1">
      <alignment horizontal="center" vertical="center"/>
    </xf>
    <xf numFmtId="188" fontId="13" fillId="0" borderId="0" xfId="1256" applyNumberFormat="1" applyFont="1" applyAlignment="1">
      <alignment horizontal="right" vertical="center"/>
    </xf>
    <xf numFmtId="187" fontId="13" fillId="0" borderId="0" xfId="1256" applyNumberFormat="1" applyFont="1" applyAlignment="1">
      <alignment horizontal="right" vertical="center"/>
    </xf>
    <xf numFmtId="0" fontId="5" fillId="0" borderId="0" xfId="1256" applyFont="1" applyAlignment="1">
      <alignment vertical="center"/>
    </xf>
    <xf numFmtId="0" fontId="5" fillId="0" borderId="0" xfId="1256" applyFont="1" applyAlignment="1">
      <alignment vertical="center" wrapText="1"/>
    </xf>
    <xf numFmtId="0" fontId="5" fillId="0" borderId="0" xfId="1256" applyFont="1" applyAlignment="1">
      <alignment horizontal="left" vertical="center" wrapText="1"/>
    </xf>
    <xf numFmtId="0" fontId="5" fillId="0" borderId="0" xfId="1256" applyFont="1" applyAlignment="1">
      <alignment horizontal="center" vertical="center"/>
    </xf>
    <xf numFmtId="188" fontId="5" fillId="0" borderId="0" xfId="1256" applyNumberFormat="1" applyFont="1" applyAlignment="1">
      <alignment horizontal="right" vertical="center"/>
    </xf>
    <xf numFmtId="187" fontId="5" fillId="0" borderId="0" xfId="1256" applyNumberFormat="1" applyFont="1" applyAlignment="1">
      <alignment horizontal="right" vertical="center"/>
    </xf>
    <xf numFmtId="188" fontId="12" fillId="28" borderId="5" xfId="783" applyNumberFormat="1" applyFont="1" applyFill="1" applyBorder="1" applyAlignment="1">
      <alignment horizontal="center" vertical="center" wrapText="1"/>
    </xf>
    <xf numFmtId="0" fontId="23" fillId="0" borderId="0" xfId="1254" applyFont="1">
      <alignment vertical="center"/>
    </xf>
    <xf numFmtId="188" fontId="5" fillId="0" borderId="0" xfId="0" applyNumberFormat="1" applyFont="1" applyAlignment="1">
      <alignment vertical="center"/>
    </xf>
    <xf numFmtId="0" fontId="12" fillId="0" borderId="15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186" fontId="12" fillId="0" borderId="5" xfId="1253" applyNumberFormat="1" applyFont="1" applyBorder="1" applyAlignment="1">
      <alignment horizontal="center" vertical="center"/>
    </xf>
    <xf numFmtId="23" fontId="6" fillId="26" borderId="5" xfId="0" applyNumberFormat="1" applyFont="1" applyFill="1" applyBorder="1" applyAlignment="1">
      <alignment horizontal="center" vertical="center" wrapText="1"/>
    </xf>
    <xf numFmtId="186" fontId="13" fillId="0" borderId="5" xfId="1253" applyNumberFormat="1" applyFont="1" applyBorder="1" applyAlignment="1">
      <alignment horizontal="center" vertical="center"/>
    </xf>
    <xf numFmtId="188" fontId="12" fillId="0" borderId="1" xfId="0" applyNumberFormat="1" applyFont="1" applyBorder="1" applyAlignment="1">
      <alignment horizontal="center" vertical="center" wrapText="1"/>
    </xf>
    <xf numFmtId="188" fontId="13" fillId="0" borderId="1" xfId="0" applyNumberFormat="1" applyFont="1" applyBorder="1" applyAlignment="1">
      <alignment horizontal="center" vertical="center" wrapText="1"/>
    </xf>
    <xf numFmtId="188" fontId="12" fillId="0" borderId="5" xfId="0" applyNumberFormat="1" applyFont="1" applyBorder="1" applyAlignment="1">
      <alignment horizontal="center" vertical="center"/>
    </xf>
    <xf numFmtId="188" fontId="13" fillId="0" borderId="5" xfId="0" applyNumberFormat="1" applyFont="1" applyBorder="1" applyAlignment="1">
      <alignment horizontal="center" vertical="center"/>
    </xf>
    <xf numFmtId="188" fontId="12" fillId="0" borderId="5" xfId="0" applyNumberFormat="1" applyFont="1" applyBorder="1" applyAlignment="1">
      <alignment horizontal="center" vertical="center" wrapText="1"/>
    </xf>
    <xf numFmtId="188" fontId="13" fillId="0" borderId="5" xfId="0" applyNumberFormat="1" applyFont="1" applyBorder="1" applyAlignment="1">
      <alignment horizontal="center" vertical="center" wrapText="1"/>
    </xf>
    <xf numFmtId="188" fontId="5" fillId="0" borderId="0" xfId="0" applyNumberFormat="1" applyFont="1" applyAlignment="1">
      <alignment horizontal="center" vertical="center" wrapText="1"/>
    </xf>
    <xf numFmtId="188" fontId="9" fillId="0" borderId="0" xfId="0" applyNumberFormat="1" applyFont="1" applyAlignment="1">
      <alignment horizontal="center" vertical="center" wrapText="1"/>
    </xf>
    <xf numFmtId="188" fontId="0" fillId="0" borderId="0" xfId="0" applyNumberFormat="1" applyAlignment="1">
      <alignment horizontal="center" vertical="center" wrapText="1"/>
    </xf>
    <xf numFmtId="188" fontId="9" fillId="0" borderId="0" xfId="0" applyNumberFormat="1" applyFont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188" fontId="13" fillId="28" borderId="5" xfId="0" applyNumberFormat="1" applyFont="1" applyFill="1" applyBorder="1" applyAlignment="1">
      <alignment horizontal="center" vertical="center" wrapText="1"/>
    </xf>
    <xf numFmtId="23" fontId="14" fillId="0" borderId="5" xfId="0" applyNumberFormat="1" applyFont="1" applyBorder="1" applyAlignment="1">
      <alignment horizontal="center" vertical="center" wrapText="1"/>
    </xf>
    <xf numFmtId="23" fontId="6" fillId="0" borderId="5" xfId="0" applyNumberFormat="1" applyFont="1" applyBorder="1" applyAlignment="1">
      <alignment horizontal="center" vertical="center" wrapText="1"/>
    </xf>
    <xf numFmtId="188" fontId="95" fillId="0" borderId="5" xfId="783" applyNumberFormat="1" applyFont="1" applyBorder="1" applyAlignment="1">
      <alignment horizontal="center" vertical="center" wrapText="1"/>
    </xf>
    <xf numFmtId="23" fontId="96" fillId="0" borderId="5" xfId="0" applyNumberFormat="1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188" fontId="22" fillId="0" borderId="5" xfId="0" applyNumberFormat="1" applyFont="1" applyBorder="1" applyAlignment="1">
      <alignment horizontal="center" vertical="center" wrapText="1"/>
    </xf>
    <xf numFmtId="188" fontId="25" fillId="0" borderId="5" xfId="0" applyNumberFormat="1" applyFont="1" applyBorder="1" applyAlignment="1">
      <alignment horizontal="center" vertical="center" wrapText="1"/>
    </xf>
    <xf numFmtId="188" fontId="9" fillId="0" borderId="5" xfId="0" applyNumberFormat="1" applyFont="1" applyBorder="1" applyAlignment="1">
      <alignment horizontal="center" vertical="center" wrapText="1"/>
    </xf>
    <xf numFmtId="1" fontId="12" fillId="0" borderId="5" xfId="1256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188" fontId="0" fillId="0" borderId="0" xfId="0" applyNumberFormat="1" applyAlignment="1">
      <alignment horizontal="center" vertical="center"/>
    </xf>
    <xf numFmtId="49" fontId="12" fillId="0" borderId="5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188" fontId="5" fillId="0" borderId="5" xfId="1256" applyNumberFormat="1" applyFont="1" applyBorder="1" applyAlignment="1">
      <alignment horizontal="right"/>
    </xf>
    <xf numFmtId="49" fontId="5" fillId="0" borderId="0" xfId="1256" applyNumberFormat="1" applyFont="1"/>
    <xf numFmtId="188" fontId="5" fillId="0" borderId="0" xfId="1256" applyNumberFormat="1" applyFont="1" applyAlignment="1">
      <alignment wrapText="1"/>
    </xf>
    <xf numFmtId="188" fontId="5" fillId="0" borderId="0" xfId="1256" applyNumberFormat="1" applyFont="1" applyAlignment="1">
      <alignment horizontal="center"/>
    </xf>
    <xf numFmtId="188" fontId="5" fillId="0" borderId="0" xfId="1256" applyNumberFormat="1" applyFont="1" applyAlignment="1">
      <alignment horizontal="center" vertical="center"/>
    </xf>
    <xf numFmtId="188" fontId="13" fillId="29" borderId="5" xfId="783" applyNumberFormat="1" applyFont="1" applyFill="1" applyBorder="1" applyAlignment="1">
      <alignment horizontal="center" vertical="center" wrapText="1"/>
    </xf>
    <xf numFmtId="188" fontId="13" fillId="30" borderId="5" xfId="783" applyNumberFormat="1" applyFont="1" applyFill="1" applyBorder="1" applyAlignment="1">
      <alignment horizontal="center" vertical="center" wrapText="1"/>
    </xf>
    <xf numFmtId="188" fontId="5" fillId="0" borderId="5" xfId="783" applyNumberFormat="1" applyFont="1" applyBorder="1" applyAlignment="1">
      <alignment vertical="center" wrapText="1"/>
    </xf>
    <xf numFmtId="188" fontId="12" fillId="28" borderId="5" xfId="1256" applyNumberFormat="1" applyFont="1" applyFill="1" applyBorder="1" applyAlignment="1">
      <alignment horizontal="center" vertical="center" wrapText="1"/>
    </xf>
    <xf numFmtId="188" fontId="5" fillId="0" borderId="0" xfId="783" applyNumberFormat="1" applyFont="1" applyAlignment="1">
      <alignment vertical="center" wrapText="1"/>
    </xf>
    <xf numFmtId="188" fontId="7" fillId="0" borderId="0" xfId="1256" applyNumberFormat="1" applyFont="1" applyAlignment="1">
      <alignment horizontal="left" vertical="center" wrapText="1"/>
    </xf>
    <xf numFmtId="188" fontId="10" fillId="0" borderId="0" xfId="1254" applyNumberFormat="1" applyAlignment="1">
      <alignment horizontal="center" vertical="center" wrapText="1"/>
    </xf>
    <xf numFmtId="188" fontId="7" fillId="0" borderId="0" xfId="783" applyNumberFormat="1" applyFont="1" applyAlignment="1">
      <alignment horizontal="center" vertical="center" wrapText="1"/>
    </xf>
    <xf numFmtId="188" fontId="12" fillId="0" borderId="0" xfId="783" applyNumberFormat="1" applyFont="1" applyAlignment="1">
      <alignment horizontal="center" vertical="center" wrapText="1"/>
    </xf>
    <xf numFmtId="188" fontId="13" fillId="0" borderId="0" xfId="783" applyNumberFormat="1" applyFont="1" applyAlignment="1">
      <alignment horizontal="center" vertical="center" wrapText="1"/>
    </xf>
    <xf numFmtId="0" fontId="75" fillId="0" borderId="0" xfId="660" applyAlignment="1">
      <alignment horizontal="center" vertical="center" wrapText="1"/>
    </xf>
    <xf numFmtId="0" fontId="5" fillId="0" borderId="0" xfId="660" applyFont="1" applyAlignment="1">
      <alignment horizontal="center" vertical="center" wrapText="1"/>
    </xf>
    <xf numFmtId="0" fontId="9" fillId="0" borderId="0" xfId="660" applyFont="1" applyAlignment="1">
      <alignment horizontal="center" vertical="center" wrapText="1"/>
    </xf>
    <xf numFmtId="0" fontId="5" fillId="0" borderId="0" xfId="660" applyFont="1" applyAlignment="1">
      <alignment horizontal="center" vertical="center"/>
    </xf>
    <xf numFmtId="0" fontId="75" fillId="0" borderId="0" xfId="660" applyAlignment="1">
      <alignment horizontal="center" vertical="center"/>
    </xf>
    <xf numFmtId="190" fontId="75" fillId="0" borderId="0" xfId="660" applyNumberFormat="1" applyAlignment="1">
      <alignment horizontal="left" vertical="center"/>
    </xf>
    <xf numFmtId="190" fontId="75" fillId="0" borderId="0" xfId="660" applyNumberFormat="1" applyAlignment="1">
      <alignment horizontal="center" vertical="center"/>
    </xf>
    <xf numFmtId="188" fontId="75" fillId="0" borderId="0" xfId="660" applyNumberFormat="1" applyAlignment="1">
      <alignment horizontal="center" vertical="center"/>
    </xf>
    <xf numFmtId="188" fontId="75" fillId="0" borderId="0" xfId="660" applyNumberFormat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23" fontId="14" fillId="26" borderId="5" xfId="0" applyNumberFormat="1" applyFont="1" applyFill="1" applyBorder="1" applyAlignment="1">
      <alignment horizontal="center" vertical="center" wrapText="1"/>
    </xf>
    <xf numFmtId="1" fontId="4" fillId="0" borderId="0" xfId="1256" applyNumberFormat="1" applyFont="1" applyAlignment="1">
      <alignment horizontal="left" vertical="center" wrapText="1"/>
    </xf>
    <xf numFmtId="188" fontId="4" fillId="0" borderId="0" xfId="825" applyNumberFormat="1" applyFont="1" applyAlignment="1">
      <alignment horizontal="center" vertical="center" wrapText="1"/>
    </xf>
    <xf numFmtId="0" fontId="13" fillId="27" borderId="5" xfId="783" applyFont="1" applyFill="1" applyBorder="1" applyAlignment="1">
      <alignment horizontal="center" vertical="center" wrapText="1"/>
    </xf>
    <xf numFmtId="0" fontId="13" fillId="27" borderId="21" xfId="783" applyFont="1" applyFill="1" applyBorder="1" applyAlignment="1">
      <alignment horizontal="center" vertical="center" wrapText="1"/>
    </xf>
    <xf numFmtId="0" fontId="5" fillId="27" borderId="21" xfId="660" applyFont="1" applyFill="1" applyBorder="1" applyAlignment="1">
      <alignment horizontal="center" vertical="center" wrapText="1"/>
    </xf>
    <xf numFmtId="188" fontId="13" fillId="27" borderId="5" xfId="1256" applyNumberFormat="1" applyFont="1" applyFill="1" applyBorder="1" applyAlignment="1">
      <alignment horizontal="center" vertical="center" wrapText="1"/>
    </xf>
    <xf numFmtId="188" fontId="13" fillId="28" borderId="5" xfId="1256" applyNumberFormat="1" applyFont="1" applyFill="1" applyBorder="1" applyAlignment="1">
      <alignment horizontal="center" vertical="center" wrapText="1"/>
    </xf>
    <xf numFmtId="0" fontId="5" fillId="0" borderId="0" xfId="825" applyFont="1" applyAlignment="1">
      <alignment horizontal="center" vertical="center"/>
    </xf>
    <xf numFmtId="0" fontId="5" fillId="0" borderId="0" xfId="825" applyFont="1" applyAlignment="1">
      <alignment horizontal="center" vertical="center" wrapText="1"/>
    </xf>
    <xf numFmtId="188" fontId="4" fillId="0" borderId="16" xfId="1256" applyNumberFormat="1" applyFont="1" applyBorder="1" applyAlignment="1">
      <alignment horizontal="center" vertical="center" wrapText="1"/>
    </xf>
    <xf numFmtId="188" fontId="5" fillId="28" borderId="5" xfId="1256" applyNumberFormat="1" applyFont="1" applyFill="1" applyBorder="1" applyAlignment="1">
      <alignment horizontal="center" vertical="center" wrapText="1"/>
    </xf>
    <xf numFmtId="188" fontId="5" fillId="0" borderId="5" xfId="825" applyNumberFormat="1" applyFont="1" applyBorder="1" applyAlignment="1">
      <alignment horizontal="center" vertical="center" wrapText="1"/>
    </xf>
    <xf numFmtId="188" fontId="5" fillId="0" borderId="5" xfId="660" applyNumberFormat="1" applyFont="1" applyBorder="1" applyAlignment="1">
      <alignment horizontal="center" vertical="center"/>
    </xf>
    <xf numFmtId="188" fontId="9" fillId="0" borderId="5" xfId="825" applyNumberFormat="1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90" fontId="5" fillId="0" borderId="0" xfId="1256" applyNumberFormat="1" applyFont="1" applyAlignment="1">
      <alignment horizontal="left" vertical="center" wrapText="1"/>
    </xf>
    <xf numFmtId="190" fontId="5" fillId="0" borderId="0" xfId="1256" applyNumberFormat="1" applyFont="1" applyAlignment="1">
      <alignment horizontal="center" vertical="center" wrapText="1"/>
    </xf>
    <xf numFmtId="190" fontId="5" fillId="0" borderId="0" xfId="1256" applyNumberFormat="1" applyFont="1" applyAlignment="1">
      <alignment horizontal="center" vertical="center"/>
    </xf>
    <xf numFmtId="188" fontId="10" fillId="0" borderId="0" xfId="1255" applyNumberFormat="1" applyAlignment="1">
      <alignment horizontal="left" vertical="center"/>
    </xf>
    <xf numFmtId="0" fontId="10" fillId="0" borderId="0" xfId="1255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188" fontId="13" fillId="0" borderId="22" xfId="0" applyNumberFormat="1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23" fontId="14" fillId="26" borderId="22" xfId="0" applyNumberFormat="1" applyFont="1" applyFill="1" applyBorder="1" applyAlignment="1">
      <alignment horizontal="center" vertical="center" wrapText="1"/>
    </xf>
    <xf numFmtId="23" fontId="6" fillId="26" borderId="22" xfId="0" applyNumberFormat="1" applyFont="1" applyFill="1" applyBorder="1" applyAlignment="1">
      <alignment horizontal="center" vertical="center" wrapText="1"/>
    </xf>
    <xf numFmtId="23" fontId="6" fillId="26" borderId="16" xfId="0" applyNumberFormat="1" applyFont="1" applyFill="1" applyBorder="1" applyAlignment="1">
      <alignment horizontal="center" vertical="center" wrapText="1"/>
    </xf>
    <xf numFmtId="188" fontId="22" fillId="0" borderId="1" xfId="0" applyNumberFormat="1" applyFont="1" applyBorder="1" applyAlignment="1">
      <alignment horizontal="center" vertical="center" wrapText="1"/>
    </xf>
    <xf numFmtId="188" fontId="5" fillId="28" borderId="5" xfId="0" applyNumberFormat="1" applyFont="1" applyFill="1" applyBorder="1" applyAlignment="1">
      <alignment horizontal="center" vertical="center" wrapText="1"/>
    </xf>
    <xf numFmtId="188" fontId="5" fillId="0" borderId="5" xfId="0" applyNumberFormat="1" applyFont="1" applyBorder="1" applyAlignment="1">
      <alignment horizontal="center" vertical="center" wrapText="1"/>
    </xf>
    <xf numFmtId="188" fontId="13" fillId="0" borderId="15" xfId="0" applyNumberFormat="1" applyFont="1" applyBorder="1" applyAlignment="1">
      <alignment horizontal="center" vertical="center" wrapText="1"/>
    </xf>
    <xf numFmtId="23" fontId="14" fillId="26" borderId="16" xfId="0" applyNumberFormat="1" applyFont="1" applyFill="1" applyBorder="1" applyAlignment="1">
      <alignment horizontal="center" vertical="center" wrapText="1"/>
    </xf>
    <xf numFmtId="23" fontId="6" fillId="0" borderId="1" xfId="0" applyNumberFormat="1" applyFont="1" applyBorder="1" applyAlignment="1">
      <alignment horizontal="center" vertical="center" wrapText="1"/>
    </xf>
    <xf numFmtId="23" fontId="6" fillId="0" borderId="22" xfId="0" applyNumberFormat="1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wrapText="1"/>
    </xf>
    <xf numFmtId="0" fontId="22" fillId="0" borderId="22" xfId="0" applyFont="1" applyBorder="1" applyAlignment="1">
      <alignment horizontal="center" vertical="center" wrapText="1"/>
    </xf>
    <xf numFmtId="188" fontId="25" fillId="0" borderId="1" xfId="0" applyNumberFormat="1" applyFont="1" applyBorder="1" applyAlignment="1">
      <alignment horizontal="center" vertical="center" wrapText="1"/>
    </xf>
    <xf numFmtId="188" fontId="13" fillId="0" borderId="1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188" fontId="28" fillId="0" borderId="0" xfId="0" applyNumberFormat="1" applyFont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188" fontId="27" fillId="0" borderId="0" xfId="0" applyNumberFormat="1" applyFont="1" applyAlignment="1">
      <alignment horizontal="center" vertical="center" wrapText="1"/>
    </xf>
    <xf numFmtId="188" fontId="27" fillId="0" borderId="0" xfId="1256" applyNumberFormat="1" applyFont="1" applyAlignment="1">
      <alignment horizontal="center" vertical="center"/>
    </xf>
    <xf numFmtId="0" fontId="27" fillId="0" borderId="27" xfId="0" applyFont="1" applyBorder="1" applyAlignment="1">
      <alignment horizontal="center" vertical="center" wrapText="1"/>
    </xf>
    <xf numFmtId="0" fontId="27" fillId="0" borderId="0" xfId="1256" applyFont="1" applyAlignment="1">
      <alignment wrapText="1"/>
    </xf>
    <xf numFmtId="0" fontId="27" fillId="0" borderId="0" xfId="0" applyFont="1" applyAlignment="1">
      <alignment horizontal="center" vertical="center" wrapText="1"/>
    </xf>
    <xf numFmtId="188" fontId="12" fillId="0" borderId="5" xfId="0" applyNumberFormat="1" applyFont="1" applyBorder="1" applyAlignment="1">
      <alignment horizontal="right" vertical="center" wrapText="1"/>
    </xf>
    <xf numFmtId="188" fontId="12" fillId="0" borderId="1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8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23" fillId="0" borderId="0" xfId="0" applyFont="1" applyAlignment="1">
      <alignment vertical="center" wrapText="1"/>
    </xf>
    <xf numFmtId="0" fontId="8" fillId="27" borderId="5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97" fillId="31" borderId="0" xfId="0" applyFont="1" applyFill="1" applyAlignment="1">
      <alignment vertical="center"/>
    </xf>
    <xf numFmtId="188" fontId="23" fillId="0" borderId="0" xfId="0" applyNumberFormat="1" applyFont="1" applyAlignment="1">
      <alignment vertical="center" wrapText="1"/>
    </xf>
    <xf numFmtId="188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0" fontId="7" fillId="0" borderId="5" xfId="0" applyNumberFormat="1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188" fontId="32" fillId="0" borderId="5" xfId="0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188" fontId="23" fillId="0" borderId="5" xfId="0" applyNumberFormat="1" applyFont="1" applyBorder="1" applyAlignment="1">
      <alignment horizontal="center" vertical="center" wrapText="1"/>
    </xf>
    <xf numFmtId="0" fontId="0" fillId="27" borderId="0" xfId="0" applyFill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9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33" fillId="0" borderId="30" xfId="0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33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14" fontId="26" fillId="0" borderId="0" xfId="0" applyNumberFormat="1" applyFont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188" fontId="26" fillId="0" borderId="0" xfId="0" applyNumberFormat="1" applyFont="1" applyAlignment="1">
      <alignment horizontal="center" vertical="center" wrapText="1"/>
    </xf>
    <xf numFmtId="188" fontId="26" fillId="0" borderId="33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27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7" fillId="0" borderId="38" xfId="0" applyFont="1" applyBorder="1" applyAlignment="1">
      <alignment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" fontId="11" fillId="0" borderId="0" xfId="1256" applyNumberFormat="1" applyFont="1" applyAlignment="1">
      <alignment horizontal="center" vertical="center"/>
    </xf>
    <xf numFmtId="188" fontId="11" fillId="0" borderId="0" xfId="1256" applyNumberFormat="1" applyFont="1" applyAlignment="1">
      <alignment horizontal="center" vertical="center"/>
    </xf>
    <xf numFmtId="188" fontId="26" fillId="0" borderId="0" xfId="1256" applyNumberFormat="1" applyFont="1" applyAlignment="1">
      <alignment horizontal="center" vertical="center"/>
    </xf>
    <xf numFmtId="1" fontId="7" fillId="0" borderId="38" xfId="1256" applyNumberFormat="1" applyFont="1" applyBorder="1" applyAlignment="1">
      <alignment horizontal="left" vertical="center" wrapText="1"/>
    </xf>
    <xf numFmtId="188" fontId="7" fillId="0" borderId="38" xfId="1256" applyNumberFormat="1" applyFont="1" applyBorder="1" applyAlignment="1">
      <alignment horizontal="left" vertical="center" wrapText="1"/>
    </xf>
    <xf numFmtId="188" fontId="7" fillId="0" borderId="5" xfId="1256" applyNumberFormat="1" applyFont="1" applyBorder="1" applyAlignment="1">
      <alignment horizontal="center" vertical="center" wrapText="1"/>
    </xf>
    <xf numFmtId="188" fontId="7" fillId="0" borderId="5" xfId="0" applyNumberFormat="1" applyFont="1" applyBorder="1" applyAlignment="1">
      <alignment horizontal="center" vertical="center" wrapText="1"/>
    </xf>
    <xf numFmtId="0" fontId="7" fillId="0" borderId="0" xfId="1256" applyFont="1" applyAlignment="1">
      <alignment horizontal="left" vertical="center" wrapText="1"/>
    </xf>
    <xf numFmtId="188" fontId="7" fillId="0" borderId="0" xfId="1256" applyNumberFormat="1" applyFont="1" applyAlignment="1">
      <alignment horizontal="left" vertical="center" wrapText="1"/>
    </xf>
    <xf numFmtId="0" fontId="5" fillId="32" borderId="0" xfId="1256" applyFont="1" applyFill="1" applyAlignment="1">
      <alignment horizontal="left" vertical="center" wrapText="1"/>
    </xf>
    <xf numFmtId="188" fontId="5" fillId="32" borderId="0" xfId="1256" applyNumberFormat="1" applyFont="1" applyFill="1" applyAlignment="1">
      <alignment horizontal="left" vertical="center" wrapText="1"/>
    </xf>
    <xf numFmtId="188" fontId="5" fillId="0" borderId="0" xfId="1256" applyNumberFormat="1" applyFont="1" applyAlignment="1">
      <alignment horizontal="left" vertical="center" wrapText="1"/>
    </xf>
    <xf numFmtId="188" fontId="27" fillId="0" borderId="39" xfId="1256" applyNumberFormat="1" applyFont="1" applyBorder="1" applyAlignment="1">
      <alignment horizontal="center" vertical="center"/>
    </xf>
    <xf numFmtId="188" fontId="27" fillId="0" borderId="40" xfId="1256" applyNumberFormat="1" applyFont="1" applyBorder="1" applyAlignment="1">
      <alignment horizontal="center" vertical="center"/>
    </xf>
    <xf numFmtId="188" fontId="27" fillId="0" borderId="25" xfId="0" applyNumberFormat="1" applyFont="1" applyBorder="1" applyAlignment="1">
      <alignment horizontal="center" vertical="center" wrapText="1"/>
    </xf>
    <xf numFmtId="188" fontId="27" fillId="0" borderId="39" xfId="0" applyNumberFormat="1" applyFont="1" applyBorder="1" applyAlignment="1">
      <alignment horizontal="center" vertical="center" wrapText="1"/>
    </xf>
    <xf numFmtId="188" fontId="27" fillId="0" borderId="40" xfId="0" applyNumberFormat="1" applyFont="1" applyBorder="1" applyAlignment="1">
      <alignment horizontal="center" vertical="center" wrapText="1"/>
    </xf>
    <xf numFmtId="188" fontId="27" fillId="0" borderId="5" xfId="0" applyNumberFormat="1" applyFont="1" applyBorder="1" applyAlignment="1">
      <alignment horizontal="center" vertical="center" wrapText="1"/>
    </xf>
    <xf numFmtId="188" fontId="27" fillId="0" borderId="21" xfId="0" applyNumberFormat="1" applyFont="1" applyBorder="1" applyAlignment="1">
      <alignment horizontal="center" vertical="center" wrapText="1"/>
    </xf>
    <xf numFmtId="188" fontId="27" fillId="0" borderId="5" xfId="1256" applyNumberFormat="1" applyFont="1" applyBorder="1" applyAlignment="1">
      <alignment horizontal="center" vertical="center"/>
    </xf>
    <xf numFmtId="188" fontId="27" fillId="0" borderId="21" xfId="1256" applyNumberFormat="1" applyFont="1" applyBorder="1" applyAlignment="1">
      <alignment horizontal="center" vertical="center"/>
    </xf>
    <xf numFmtId="188" fontId="27" fillId="0" borderId="26" xfId="0" applyNumberFormat="1" applyFont="1" applyBorder="1" applyAlignment="1">
      <alignment horizontal="center" vertical="center" wrapText="1"/>
    </xf>
    <xf numFmtId="0" fontId="7" fillId="0" borderId="5" xfId="783" applyFont="1" applyBorder="1" applyAlignment="1">
      <alignment horizontal="center" vertical="center" wrapText="1"/>
    </xf>
    <xf numFmtId="188" fontId="27" fillId="0" borderId="41" xfId="1256" applyNumberFormat="1" applyFont="1" applyBorder="1" applyAlignment="1">
      <alignment horizontal="center" vertical="center"/>
    </xf>
    <xf numFmtId="188" fontId="27" fillId="0" borderId="42" xfId="1256" applyNumberFormat="1" applyFont="1" applyBorder="1" applyAlignment="1">
      <alignment horizontal="center" vertical="center"/>
    </xf>
    <xf numFmtId="188" fontId="27" fillId="0" borderId="27" xfId="0" applyNumberFormat="1" applyFont="1" applyBorder="1" applyAlignment="1">
      <alignment horizontal="center" vertical="center" wrapText="1"/>
    </xf>
    <xf numFmtId="188" fontId="27" fillId="0" borderId="41" xfId="0" applyNumberFormat="1" applyFont="1" applyBorder="1" applyAlignment="1">
      <alignment horizontal="center" vertical="center" wrapText="1"/>
    </xf>
    <xf numFmtId="188" fontId="27" fillId="0" borderId="42" xfId="0" applyNumberFormat="1" applyFont="1" applyBorder="1" applyAlignment="1">
      <alignment horizontal="center" vertical="center" wrapText="1"/>
    </xf>
    <xf numFmtId="1" fontId="7" fillId="0" borderId="5" xfId="1256" applyNumberFormat="1" applyFont="1" applyBorder="1" applyAlignment="1">
      <alignment horizontal="center" vertical="center" wrapText="1"/>
    </xf>
    <xf numFmtId="0" fontId="7" fillId="0" borderId="5" xfId="1256" applyFont="1" applyBorder="1" applyAlignment="1">
      <alignment horizontal="center" vertical="center" wrapText="1"/>
    </xf>
    <xf numFmtId="0" fontId="4" fillId="0" borderId="5" xfId="1256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57" fontId="7" fillId="0" borderId="5" xfId="1256" applyNumberFormat="1" applyFont="1" applyBorder="1" applyAlignment="1">
      <alignment horizontal="center" vertical="center" wrapText="1"/>
    </xf>
    <xf numFmtId="188" fontId="4" fillId="0" borderId="5" xfId="1256" applyNumberFormat="1" applyFont="1" applyBorder="1" applyAlignment="1">
      <alignment horizontal="center" vertical="center" wrapText="1"/>
    </xf>
    <xf numFmtId="1" fontId="3" fillId="0" borderId="5" xfId="1256" applyNumberFormat="1" applyFont="1" applyBorder="1" applyAlignment="1">
      <alignment horizontal="center" vertical="center"/>
    </xf>
    <xf numFmtId="1" fontId="4" fillId="0" borderId="5" xfId="1256" applyNumberFormat="1" applyFont="1" applyBorder="1" applyAlignment="1">
      <alignment horizontal="left" vertical="center" wrapText="1"/>
    </xf>
    <xf numFmtId="1" fontId="4" fillId="0" borderId="5" xfId="1256" applyNumberFormat="1" applyFont="1" applyBorder="1" applyAlignment="1">
      <alignment horizontal="center" vertical="center" wrapText="1"/>
    </xf>
    <xf numFmtId="0" fontId="4" fillId="0" borderId="5" xfId="660" applyFont="1" applyBorder="1" applyAlignment="1">
      <alignment horizontal="center" vertical="center" wrapText="1"/>
    </xf>
    <xf numFmtId="190" fontId="4" fillId="0" borderId="5" xfId="1256" applyNumberFormat="1" applyFont="1" applyBorder="1" applyAlignment="1">
      <alignment horizontal="center" vertical="center" wrapText="1"/>
    </xf>
    <xf numFmtId="190" fontId="4" fillId="0" borderId="5" xfId="660" applyNumberFormat="1" applyFont="1" applyBorder="1" applyAlignment="1">
      <alignment horizontal="center" vertical="center" wrapText="1"/>
    </xf>
    <xf numFmtId="188" fontId="4" fillId="0" borderId="5" xfId="825" applyNumberFormat="1" applyFont="1" applyBorder="1" applyAlignment="1">
      <alignment horizontal="center" vertical="center" wrapText="1"/>
    </xf>
    <xf numFmtId="49" fontId="11" fillId="0" borderId="0" xfId="1256" applyNumberFormat="1" applyFont="1" applyAlignment="1">
      <alignment horizontal="center" vertical="center"/>
    </xf>
    <xf numFmtId="49" fontId="7" fillId="0" borderId="38" xfId="1256" applyNumberFormat="1" applyFont="1" applyBorder="1" applyAlignment="1">
      <alignment horizontal="left" vertical="center" wrapText="1"/>
    </xf>
    <xf numFmtId="188" fontId="7" fillId="0" borderId="38" xfId="1256" applyNumberFormat="1" applyFont="1" applyBorder="1" applyAlignment="1">
      <alignment horizontal="center" vertical="center" wrapText="1"/>
    </xf>
    <xf numFmtId="49" fontId="7" fillId="0" borderId="5" xfId="1256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188" fontId="7" fillId="0" borderId="5" xfId="783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1" fontId="11" fillId="0" borderId="0" xfId="1256" applyNumberFormat="1" applyFont="1" applyAlignment="1">
      <alignment horizontal="left" vertical="center"/>
    </xf>
    <xf numFmtId="188" fontId="7" fillId="0" borderId="15" xfId="1256" applyNumberFormat="1" applyFont="1" applyBorder="1" applyAlignment="1">
      <alignment horizontal="center" vertical="center" wrapText="1"/>
    </xf>
    <xf numFmtId="188" fontId="7" fillId="0" borderId="3" xfId="1256" applyNumberFormat="1" applyFont="1" applyBorder="1" applyAlignment="1">
      <alignment horizontal="center" vertical="center" wrapText="1"/>
    </xf>
    <xf numFmtId="188" fontId="7" fillId="0" borderId="18" xfId="1256" applyNumberFormat="1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18" xfId="0" applyFont="1" applyBorder="1" applyAlignment="1">
      <alignment horizontal="center" vertical="center"/>
    </xf>
    <xf numFmtId="1" fontId="7" fillId="0" borderId="15" xfId="1256" applyNumberFormat="1" applyFont="1" applyBorder="1" applyAlignment="1">
      <alignment horizontal="center" vertical="center" wrapText="1"/>
    </xf>
    <xf numFmtId="1" fontId="7" fillId="0" borderId="3" xfId="1256" applyNumberFormat="1" applyFont="1" applyBorder="1" applyAlignment="1">
      <alignment horizontal="center" vertical="center" wrapText="1"/>
    </xf>
    <xf numFmtId="1" fontId="7" fillId="0" borderId="18" xfId="1256" applyNumberFormat="1" applyFont="1" applyBorder="1" applyAlignment="1">
      <alignment horizontal="center" vertical="center" wrapText="1"/>
    </xf>
    <xf numFmtId="0" fontId="11" fillId="0" borderId="0" xfId="1257" applyFont="1" applyAlignment="1">
      <alignment horizontal="center" vertical="center"/>
    </xf>
    <xf numFmtId="0" fontId="7" fillId="0" borderId="38" xfId="1257" applyFont="1" applyBorder="1" applyAlignment="1">
      <alignment horizontal="left" vertical="center"/>
    </xf>
    <xf numFmtId="0" fontId="8" fillId="0" borderId="5" xfId="623" applyFont="1" applyBorder="1" applyAlignment="1">
      <alignment horizontal="center" vertical="center" wrapText="1"/>
    </xf>
    <xf numFmtId="188" fontId="11" fillId="0" borderId="0" xfId="0" applyNumberFormat="1" applyFont="1" applyAlignment="1">
      <alignment horizontal="center" vertical="center" wrapText="1"/>
    </xf>
    <xf numFmtId="0" fontId="7" fillId="0" borderId="38" xfId="0" applyFont="1" applyBorder="1" applyAlignment="1">
      <alignment horizontal="left" vertical="center" wrapText="1"/>
    </xf>
    <xf numFmtId="188" fontId="7" fillId="0" borderId="38" xfId="0" applyNumberFormat="1" applyFont="1" applyBorder="1" applyAlignment="1">
      <alignment horizontal="left" vertical="center" wrapText="1"/>
    </xf>
    <xf numFmtId="0" fontId="4" fillId="0" borderId="5" xfId="623" applyFont="1" applyBorder="1" applyAlignment="1">
      <alignment horizontal="center" vertical="center" wrapText="1"/>
    </xf>
    <xf numFmtId="57" fontId="4" fillId="0" borderId="5" xfId="1256" applyNumberFormat="1" applyFont="1" applyBorder="1" applyAlignment="1">
      <alignment horizontal="center" vertical="center" wrapText="1"/>
    </xf>
    <xf numFmtId="0" fontId="4" fillId="0" borderId="5" xfId="783" applyFont="1" applyBorder="1" applyAlignment="1">
      <alignment horizontal="center" vertical="center" wrapText="1"/>
    </xf>
    <xf numFmtId="1" fontId="3" fillId="0" borderId="0" xfId="1256" applyNumberFormat="1" applyFont="1" applyAlignment="1">
      <alignment horizontal="center" vertical="center"/>
    </xf>
    <xf numFmtId="1" fontId="4" fillId="0" borderId="38" xfId="1256" applyNumberFormat="1" applyFont="1" applyBorder="1" applyAlignment="1">
      <alignment horizontal="left" vertical="center" wrapText="1"/>
    </xf>
    <xf numFmtId="188" fontId="3" fillId="0" borderId="0" xfId="1256" applyNumberFormat="1" applyFont="1" applyAlignment="1">
      <alignment horizontal="center" vertical="center"/>
    </xf>
    <xf numFmtId="188" fontId="4" fillId="0" borderId="38" xfId="1256" applyNumberFormat="1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57" fontId="4" fillId="0" borderId="15" xfId="1256" applyNumberFormat="1" applyFont="1" applyBorder="1" applyAlignment="1">
      <alignment horizontal="center" vertical="center" wrapText="1"/>
    </xf>
    <xf numFmtId="188" fontId="4" fillId="0" borderId="3" xfId="1256" applyNumberFormat="1" applyFont="1" applyBorder="1" applyAlignment="1">
      <alignment horizontal="center" vertical="center" wrapText="1"/>
    </xf>
    <xf numFmtId="57" fontId="4" fillId="0" borderId="18" xfId="1256" applyNumberFormat="1" applyFont="1" applyBorder="1" applyAlignment="1">
      <alignment horizontal="center" vertical="center" wrapText="1"/>
    </xf>
    <xf numFmtId="57" fontId="4" fillId="0" borderId="3" xfId="1256" applyNumberFormat="1" applyFont="1" applyBorder="1" applyAlignment="1">
      <alignment horizontal="center" vertical="center" wrapText="1"/>
    </xf>
    <xf numFmtId="0" fontId="84" fillId="0" borderId="48" xfId="0" applyFont="1" applyBorder="1" applyAlignment="1">
      <alignment horizontal="center" vertical="center"/>
    </xf>
    <xf numFmtId="0" fontId="84" fillId="0" borderId="49" xfId="0" applyFont="1" applyBorder="1" applyAlignment="1">
      <alignment horizontal="center" vertical="center"/>
    </xf>
    <xf numFmtId="0" fontId="84" fillId="0" borderId="45" xfId="0" applyFont="1" applyBorder="1" applyAlignment="1">
      <alignment horizontal="center" vertical="center"/>
    </xf>
    <xf numFmtId="0" fontId="85" fillId="0" borderId="15" xfId="0" applyFont="1" applyBorder="1" applyAlignment="1">
      <alignment horizontal="center" vertical="center"/>
    </xf>
    <xf numFmtId="0" fontId="85" fillId="0" borderId="18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 wrapText="1"/>
    </xf>
    <xf numFmtId="0" fontId="84" fillId="0" borderId="47" xfId="0" applyFont="1" applyBorder="1" applyAlignment="1">
      <alignment horizontal="center" vertical="center" wrapText="1"/>
    </xf>
    <xf numFmtId="0" fontId="91" fillId="0" borderId="43" xfId="0" applyFont="1" applyBorder="1" applyAlignment="1">
      <alignment vertical="center" wrapText="1"/>
    </xf>
    <xf numFmtId="0" fontId="91" fillId="0" borderId="48" xfId="0" applyFont="1" applyBorder="1" applyAlignment="1">
      <alignment horizontal="center" vertical="center" wrapText="1"/>
    </xf>
    <xf numFmtId="0" fontId="98" fillId="0" borderId="5" xfId="0" applyFont="1" applyBorder="1" applyAlignment="1">
      <alignment horizontal="center" vertical="center" wrapText="1"/>
    </xf>
    <xf numFmtId="0" fontId="98" fillId="0" borderId="5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 wrapText="1"/>
    </xf>
    <xf numFmtId="0" fontId="84" fillId="0" borderId="47" xfId="0" applyFont="1" applyBorder="1" applyAlignment="1">
      <alignment horizontal="left" vertical="center" wrapText="1"/>
    </xf>
    <xf numFmtId="0" fontId="84" fillId="0" borderId="47" xfId="0" applyFont="1" applyBorder="1" applyAlignment="1">
      <alignment horizontal="center" vertical="center"/>
    </xf>
  </cellXfs>
  <cellStyles count="1652">
    <cellStyle name="??|?Revenuenuesy L" xfId="1" xr:uid="{5B3B228B-7DD6-4D32-9986-08865BD76E5B}"/>
    <cellStyle name="@ET_Style?@font-face" xfId="2" xr:uid="{EAF9CAB2-407C-44C0-9E68-5AB1A4DE2087}"/>
    <cellStyle name="_ET_STYLE_NoName_00_" xfId="3" xr:uid="{5A93B8DE-8078-4E08-8F5E-2FD1E9395C98}"/>
    <cellStyle name="_ET_STYLE_NoName_00_ 10" xfId="4" xr:uid="{FA80AA24-FCE3-4662-B286-716AD9B46280}"/>
    <cellStyle name="_ET_STYLE_NoName_00_ 11" xfId="5" xr:uid="{17BE3FFD-FDDF-40C1-89C0-C14358A38EB1}"/>
    <cellStyle name="_ET_STYLE_NoName_00_ 12" xfId="6" xr:uid="{C0D536D1-188F-4E36-BBED-8FEEDE0F7808}"/>
    <cellStyle name="_ET_STYLE_NoName_00_ 2" xfId="7" xr:uid="{48990478-DDE9-49B6-B0A8-44988D3CA1C6}"/>
    <cellStyle name="_ET_STYLE_NoName_00_ 3" xfId="8" xr:uid="{8EEDD365-BDE5-4144-84B5-CE16554FF238}"/>
    <cellStyle name="_ET_STYLE_NoName_00_ 4" xfId="9" xr:uid="{B4CF9262-B620-4581-8076-A830B0133754}"/>
    <cellStyle name="_ET_STYLE_NoName_00_ 5" xfId="10" xr:uid="{4539D377-0B5E-400D-A883-292429F93393}"/>
    <cellStyle name="_ET_STYLE_NoName_00_ 6" xfId="11" xr:uid="{70EE14A4-2F1A-40B1-962F-1286E0DA54C8}"/>
    <cellStyle name="_ET_STYLE_NoName_00_ 7" xfId="12" xr:uid="{80EEEC29-DA85-433E-9FA4-BB875E69A1C2}"/>
    <cellStyle name="_ET_STYLE_NoName_00_ 8" xfId="13" xr:uid="{686EE98B-BCC3-4F4F-BEDB-A8677F8440BE}"/>
    <cellStyle name="_ET_STYLE_NoName_00_ 9" xfId="14" xr:uid="{13FF7D9F-98DE-4C20-AE4A-0FD56EC8B6DF}"/>
    <cellStyle name="_ET_STYLE_NoName_00__预计现场经费" xfId="15" xr:uid="{0D0FB486-7B41-4CE6-A06D-7A28D583BA4E}"/>
    <cellStyle name="0,0_x000d__x000a_NA_x000d__x000a_" xfId="16" xr:uid="{CC2AD2D0-AE8B-40D9-905D-1A7CAA49E403}"/>
    <cellStyle name="0,0_x000d__x000a_NA_x000d__x000a_ 10" xfId="17" xr:uid="{9925B007-B03D-49D1-A927-B33935279525}"/>
    <cellStyle name="0,0_x000d__x000a_NA_x000d__x000a_ 11" xfId="18" xr:uid="{8FF0D932-DCDE-483C-9969-9885DA5CC7EB}"/>
    <cellStyle name="0,0_x000d__x000a_NA_x000d__x000a_ 12" xfId="19" xr:uid="{405E873B-86C7-4490-A045-EE92FA36A4E4}"/>
    <cellStyle name="0,0_x000d__x000a_NA_x000d__x000a_ 2" xfId="20" xr:uid="{400A1CF7-DEFA-47FD-A0DF-194A0651D0E1}"/>
    <cellStyle name="0,0_x000d__x000a_NA_x000d__x000a_ 3" xfId="21" xr:uid="{5DA9250B-064A-4A98-9F64-D992D51DE6E2}"/>
    <cellStyle name="0,0_x000d__x000a_NA_x000d__x000a_ 4" xfId="22" xr:uid="{1B901BA2-9935-441D-96BA-A0DD4384C503}"/>
    <cellStyle name="0,0_x000d__x000a_NA_x000d__x000a_ 5" xfId="23" xr:uid="{15116CC4-7791-403E-A06E-911BD50C875B}"/>
    <cellStyle name="0,0_x000d__x000a_NA_x000d__x000a_ 6" xfId="24" xr:uid="{88DD03DE-43B8-44D7-8045-216C3AB4BEF7}"/>
    <cellStyle name="0,0_x000d__x000a_NA_x000d__x000a_ 7" xfId="25" xr:uid="{EA8EBFEE-17BC-4958-AF9A-148C62182A9E}"/>
    <cellStyle name="0,0_x000d__x000a_NA_x000d__x000a_ 8" xfId="26" xr:uid="{06C634BB-4930-46B8-B6DC-91FF70E22B15}"/>
    <cellStyle name="0,0_x000d__x000a_NA_x000d__x000a_ 9" xfId="27" xr:uid="{E12F9014-5574-4481-AD71-81333BDB56ED}"/>
    <cellStyle name="0,0_x000d__x000a_NA_x000d__x000a__2012年5月三算”对比表（珠江新城F1-1)1(1)" xfId="28" xr:uid="{02C41698-B453-4119-B1A7-ABBC36D4425B}"/>
    <cellStyle name="0,0_x005f_x000d__x005f_x000a_NA_x005f_x000d__x005f_x000a_" xfId="29" xr:uid="{45EC3106-EE21-4426-917E-E1B3A534D3EE}"/>
    <cellStyle name="20% - 强调文字颜色 1 10" xfId="30" xr:uid="{307F9BAF-A356-4FC2-8A68-22489A8FB289}"/>
    <cellStyle name="20% - 强调文字颜色 1 11" xfId="31" xr:uid="{26D152A2-AE87-4029-95E3-852B9BD864A2}"/>
    <cellStyle name="20% - 强调文字颜色 1 2" xfId="32" xr:uid="{472D691D-BC2A-40DA-AB67-59CF10D31D59}"/>
    <cellStyle name="20% - 强调文字颜色 1 2 10" xfId="33" xr:uid="{AE2C64F4-009B-46E1-86FB-9AD9987B8F5B}"/>
    <cellStyle name="20% - 强调文字颜色 1 2 11" xfId="34" xr:uid="{949B4412-0B6B-4884-9E11-110CA14DF0EA}"/>
    <cellStyle name="20% - 强调文字颜色 1 2 2" xfId="35" xr:uid="{2D70328B-82F3-4A35-A1BA-6299BB95B318}"/>
    <cellStyle name="20% - 强调文字颜色 1 2 3" xfId="36" xr:uid="{C970EC9B-A789-4688-9642-EDF63159A2CE}"/>
    <cellStyle name="20% - 强调文字颜色 1 2 4" xfId="37" xr:uid="{38C581D6-CCE2-49F0-A18A-A30F351D12A1}"/>
    <cellStyle name="20% - 强调文字颜色 1 2 5" xfId="38" xr:uid="{868B7F2B-32E5-403A-BDE5-CAA7A9AF3568}"/>
    <cellStyle name="20% - 强调文字颜色 1 2 6" xfId="39" xr:uid="{E69C8600-0BF6-42D6-A689-5D614F0FC004}"/>
    <cellStyle name="20% - 强调文字颜色 1 2 7" xfId="40" xr:uid="{6D1D38AB-0C6F-4DCC-84AD-F5A3EFAB7C79}"/>
    <cellStyle name="20% - 强调文字颜色 1 2 8" xfId="41" xr:uid="{0D88CD8F-AB0A-4663-87B0-6D5522E4EB1C}"/>
    <cellStyle name="20% - 强调文字颜色 1 2 9" xfId="42" xr:uid="{037AB4BB-BD52-41C7-AEEC-3EA989FFD374}"/>
    <cellStyle name="20% - 强调文字颜色 1 3" xfId="43" xr:uid="{F0714471-A3C1-4969-940D-43ED338C3648}"/>
    <cellStyle name="20% - 强调文字颜色 1 4" xfId="44" xr:uid="{0817AB2F-F5D4-4518-80C8-3F6EBE6EFABD}"/>
    <cellStyle name="20% - 强调文字颜色 1 5" xfId="45" xr:uid="{147A987B-2D5A-48EE-95E2-6111D5BF1990}"/>
    <cellStyle name="20% - 强调文字颜色 1 6" xfId="46" xr:uid="{0DE6F54C-B283-42D1-9764-0B2A6CE65FC6}"/>
    <cellStyle name="20% - 强调文字颜色 1 7" xfId="47" xr:uid="{030E6701-5981-4228-B6C8-28977B380291}"/>
    <cellStyle name="20% - 强调文字颜色 1 8" xfId="48" xr:uid="{FC3839CC-8C91-47DB-A7CC-7F9015A55500}"/>
    <cellStyle name="20% - 强调文字颜色 1 9" xfId="49" xr:uid="{6E346201-EBAD-4D93-91CC-64962E343F3F}"/>
    <cellStyle name="20% - 强调文字颜色 2 10" xfId="50" xr:uid="{A812A42C-B0B8-44E5-AECB-5E0D78FDEC73}"/>
    <cellStyle name="20% - 强调文字颜色 2 11" xfId="51" xr:uid="{B80F3CE8-3C4F-46A3-B26C-C7D71EFA4866}"/>
    <cellStyle name="20% - 强调文字颜色 2 2" xfId="52" xr:uid="{7C8691D6-FF76-4251-B42D-261FCC386A5A}"/>
    <cellStyle name="20% - 强调文字颜色 2 2 10" xfId="53" xr:uid="{45F2AF46-690E-41BC-A095-6B99E8DF8D57}"/>
    <cellStyle name="20% - 强调文字颜色 2 2 11" xfId="54" xr:uid="{5FC36575-902E-43B6-990B-771D5AC40801}"/>
    <cellStyle name="20% - 强调文字颜色 2 2 2" xfId="55" xr:uid="{8A3586D9-48FF-424C-A8B3-CFC700A81A55}"/>
    <cellStyle name="20% - 强调文字颜色 2 2 3" xfId="56" xr:uid="{D45BAAAA-1D0B-465F-9A4C-5D44D15DD815}"/>
    <cellStyle name="20% - 强调文字颜色 2 2 4" xfId="57" xr:uid="{61BF550A-6AF8-407B-A08A-2882123C8CFB}"/>
    <cellStyle name="20% - 强调文字颜色 2 2 5" xfId="58" xr:uid="{3E44F445-AFA9-4315-882F-ED711308A27B}"/>
    <cellStyle name="20% - 强调文字颜色 2 2 6" xfId="59" xr:uid="{8F8CEA5B-2ED8-43A6-859F-DAF2A114BDDE}"/>
    <cellStyle name="20% - 强调文字颜色 2 2 7" xfId="60" xr:uid="{1E72531F-04A0-45F8-89D9-2DE8D2797917}"/>
    <cellStyle name="20% - 强调文字颜色 2 2 8" xfId="61" xr:uid="{A2220930-6931-4957-BE11-DA507A3B231F}"/>
    <cellStyle name="20% - 强调文字颜色 2 2 9" xfId="62" xr:uid="{B4CD4EEE-D71E-413F-8212-2E115BAE9B7F}"/>
    <cellStyle name="20% - 强调文字颜色 2 3" xfId="63" xr:uid="{70ACA574-C963-4A34-90A2-E5E3A6BA6BCC}"/>
    <cellStyle name="20% - 强调文字颜色 2 4" xfId="64" xr:uid="{3D9315E0-8FDF-49AD-887D-B3148E011B06}"/>
    <cellStyle name="20% - 强调文字颜色 2 5" xfId="65" xr:uid="{E6C51569-B282-454E-A186-17C5A5A71737}"/>
    <cellStyle name="20% - 强调文字颜色 2 6" xfId="66" xr:uid="{8F5894D4-0099-4A9E-9290-4A688D4606A6}"/>
    <cellStyle name="20% - 强调文字颜色 2 7" xfId="67" xr:uid="{3881AFE5-683E-4A7F-9471-828FD24221EB}"/>
    <cellStyle name="20% - 强调文字颜色 2 8" xfId="68" xr:uid="{5E42AF03-08E7-43EE-9668-8140AF55381B}"/>
    <cellStyle name="20% - 强调文字颜色 2 9" xfId="69" xr:uid="{58FA463E-AED0-4439-ADD3-82C69DF75B2A}"/>
    <cellStyle name="20% - 强调文字颜色 3 10" xfId="70" xr:uid="{DDCD6417-D6DC-4CDE-9D8A-FC2FF871EF65}"/>
    <cellStyle name="20% - 强调文字颜色 3 11" xfId="71" xr:uid="{40CB446F-0715-4214-9076-164F07C03F4E}"/>
    <cellStyle name="20% - 强调文字颜色 3 2" xfId="72" xr:uid="{A6E71538-A514-4CB3-9BA5-98199D0CBAEA}"/>
    <cellStyle name="20% - 强调文字颜色 3 2 10" xfId="73" xr:uid="{E6A25183-5F05-4D25-9887-848DB75E3343}"/>
    <cellStyle name="20% - 强调文字颜色 3 2 11" xfId="74" xr:uid="{766B885C-1C95-4EB8-85B9-69D567CAEB70}"/>
    <cellStyle name="20% - 强调文字颜色 3 2 2" xfId="75" xr:uid="{86625D69-8905-42FC-A238-629E30F89813}"/>
    <cellStyle name="20% - 强调文字颜色 3 2 3" xfId="76" xr:uid="{CA14B670-8FA0-4E4E-A0CC-ABB82EBBB036}"/>
    <cellStyle name="20% - 强调文字颜色 3 2 4" xfId="77" xr:uid="{F5663B4D-8FEC-4F0C-9D0D-ED7832DB81CF}"/>
    <cellStyle name="20% - 强调文字颜色 3 2 5" xfId="78" xr:uid="{D532DA2F-88E1-4839-AABC-396D799FBA9D}"/>
    <cellStyle name="20% - 强调文字颜色 3 2 6" xfId="79" xr:uid="{7872F38A-C405-4045-B69C-C1D329ACA1D4}"/>
    <cellStyle name="20% - 强调文字颜色 3 2 7" xfId="80" xr:uid="{8EAEFEEF-1A46-4DCE-BBDE-42D2D54E26DC}"/>
    <cellStyle name="20% - 强调文字颜色 3 2 8" xfId="81" xr:uid="{2F0AB4E1-F4B1-47C9-BE1B-1096482D82BA}"/>
    <cellStyle name="20% - 强调文字颜色 3 2 9" xfId="82" xr:uid="{C54B5058-1F3E-4E67-8C58-E14952D59567}"/>
    <cellStyle name="20% - 强调文字颜色 3 3" xfId="83" xr:uid="{70EBB1BB-0830-47EE-A0C6-9AE8501B6B77}"/>
    <cellStyle name="20% - 强调文字颜色 3 4" xfId="84" xr:uid="{9ED5CFEB-0673-4F67-B0A9-E266A193A7FA}"/>
    <cellStyle name="20% - 强调文字颜色 3 5" xfId="85" xr:uid="{E8973ABD-AA27-4EE5-B660-BE1239D6BB81}"/>
    <cellStyle name="20% - 强调文字颜色 3 6" xfId="86" xr:uid="{069E01A7-4D10-4B23-BB95-04C138380B22}"/>
    <cellStyle name="20% - 强调文字颜色 3 7" xfId="87" xr:uid="{378393BB-7089-45B7-BA88-71488352CF8A}"/>
    <cellStyle name="20% - 强调文字颜色 3 8" xfId="88" xr:uid="{D70C906F-202E-4775-898A-F7381234EF2B}"/>
    <cellStyle name="20% - 强调文字颜色 3 9" xfId="89" xr:uid="{C8D5300B-4A8D-422B-AA60-EBDE46B7EF52}"/>
    <cellStyle name="20% - 强调文字颜色 4 10" xfId="90" xr:uid="{2AE9751A-215B-4BE6-900C-4F58A06590AA}"/>
    <cellStyle name="20% - 强调文字颜色 4 11" xfId="91" xr:uid="{22CB237C-81F9-440F-80B1-B88FD664B187}"/>
    <cellStyle name="20% - 强调文字颜色 4 2" xfId="92" xr:uid="{9595CD87-34F4-42BE-BD4B-163B011DD9F1}"/>
    <cellStyle name="20% - 强调文字颜色 4 2 10" xfId="93" xr:uid="{F42206FA-3432-439F-9DA9-86F33D27F9CB}"/>
    <cellStyle name="20% - 强调文字颜色 4 2 11" xfId="94" xr:uid="{1FB1AD89-228F-4783-B571-A3E6646A04E9}"/>
    <cellStyle name="20% - 强调文字颜色 4 2 2" xfId="95" xr:uid="{A10EE529-1946-4104-872F-9A08DBFE5CA8}"/>
    <cellStyle name="20% - 强调文字颜色 4 2 3" xfId="96" xr:uid="{114FB531-628F-4884-9D9D-50597E7F7383}"/>
    <cellStyle name="20% - 强调文字颜色 4 2 4" xfId="97" xr:uid="{B51EB3EF-2C08-4CE0-AD0D-B5D5E9A861BC}"/>
    <cellStyle name="20% - 强调文字颜色 4 2 5" xfId="98" xr:uid="{85E9380B-D45E-41E6-9D7B-EBF54954AE1D}"/>
    <cellStyle name="20% - 强调文字颜色 4 2 6" xfId="99" xr:uid="{4A50FFCF-1B3C-49CA-A3C8-31F503E4BE27}"/>
    <cellStyle name="20% - 强调文字颜色 4 2 7" xfId="100" xr:uid="{70C9003E-BFE7-42EC-BA9C-A1BDC60A284F}"/>
    <cellStyle name="20% - 强调文字颜色 4 2 8" xfId="101" xr:uid="{280F3AEA-0E21-4B8A-ABB2-4411CD335043}"/>
    <cellStyle name="20% - 强调文字颜色 4 2 9" xfId="102" xr:uid="{E0982A13-09C8-44DC-BC46-7BF0A7E92FE2}"/>
    <cellStyle name="20% - 强调文字颜色 4 3" xfId="103" xr:uid="{C342805E-6BBB-477B-82B3-BA06190D0AAC}"/>
    <cellStyle name="20% - 强调文字颜色 4 4" xfId="104" xr:uid="{4AA7FE18-F06A-4C1C-8BE2-F038DE2D2F88}"/>
    <cellStyle name="20% - 强调文字颜色 4 5" xfId="105" xr:uid="{E57E29E8-A1F4-44EF-90B5-E12ABF6087B7}"/>
    <cellStyle name="20% - 强调文字颜色 4 6" xfId="106" xr:uid="{1EB3479A-07B0-4E23-BB96-61EB1229C30A}"/>
    <cellStyle name="20% - 强调文字颜色 4 7" xfId="107" xr:uid="{1CF2EF40-0C73-4D20-8388-707BF4B05353}"/>
    <cellStyle name="20% - 强调文字颜色 4 8" xfId="108" xr:uid="{ACC61127-0D4A-49A6-AEC3-A10D5039308B}"/>
    <cellStyle name="20% - 强调文字颜色 4 9" xfId="109" xr:uid="{EAA353AE-25C4-4E15-A916-628C598913AB}"/>
    <cellStyle name="20% - 强调文字颜色 5 10" xfId="110" xr:uid="{FC666AD1-0E8E-4E33-9067-FB493BA5087B}"/>
    <cellStyle name="20% - 强调文字颜色 5 11" xfId="111" xr:uid="{D3BB20B9-57E3-41C7-8130-2C8897DDD352}"/>
    <cellStyle name="20% - 强调文字颜色 5 2" xfId="112" xr:uid="{F6C92A92-B4C4-4E27-AAC4-0620254F8C0E}"/>
    <cellStyle name="20% - 强调文字颜色 5 2 10" xfId="113" xr:uid="{8E8B5E28-8D5A-467E-94EC-A6A89E0CC644}"/>
    <cellStyle name="20% - 强调文字颜色 5 2 11" xfId="114" xr:uid="{13AAFDA2-3F4E-4E5D-B756-46A25212BC21}"/>
    <cellStyle name="20% - 强调文字颜色 5 2 2" xfId="115" xr:uid="{7B932158-824F-4A62-ACE2-CBDBAD84EF2B}"/>
    <cellStyle name="20% - 强调文字颜色 5 2 3" xfId="116" xr:uid="{B73CBA8C-3190-4B76-924B-564987BDAE43}"/>
    <cellStyle name="20% - 强调文字颜色 5 2 4" xfId="117" xr:uid="{B5A012A1-553F-4FD2-BE29-0E66B1ABB5C4}"/>
    <cellStyle name="20% - 强调文字颜色 5 2 5" xfId="118" xr:uid="{74A7C3ED-1563-4B1F-A02E-77C31830C61D}"/>
    <cellStyle name="20% - 强调文字颜色 5 2 6" xfId="119" xr:uid="{34157716-F870-45EB-A32B-20F1B3BF3C55}"/>
    <cellStyle name="20% - 强调文字颜色 5 2 7" xfId="120" xr:uid="{8A74C171-C7FA-4067-95C9-A831A229C702}"/>
    <cellStyle name="20% - 强调文字颜色 5 2 8" xfId="121" xr:uid="{E259C1F8-F21D-4B7E-AEFF-970DF36CD741}"/>
    <cellStyle name="20% - 强调文字颜色 5 2 9" xfId="122" xr:uid="{89F14644-AF63-4649-9105-8D21892F90BB}"/>
    <cellStyle name="20% - 强调文字颜色 5 3" xfId="123" xr:uid="{E4235CAB-B7D8-4402-B2D7-8DF44276B020}"/>
    <cellStyle name="20% - 强调文字颜色 5 4" xfId="124" xr:uid="{C01E56CB-B8EB-43AF-A61E-2A1E7DACB539}"/>
    <cellStyle name="20% - 强调文字颜色 5 5" xfId="125" xr:uid="{ACE87D84-F95B-4BE1-AE1E-B150F58B1AED}"/>
    <cellStyle name="20% - 强调文字颜色 5 6" xfId="126" xr:uid="{6FC74BFF-1EA6-42E4-9B69-69C0B37A0A16}"/>
    <cellStyle name="20% - 强调文字颜色 5 7" xfId="127" xr:uid="{CA3A8AA4-63A6-46AD-84C1-3DF856871D0D}"/>
    <cellStyle name="20% - 强调文字颜色 5 8" xfId="128" xr:uid="{57165A87-7EC3-447F-8CE0-B7D66E03CA49}"/>
    <cellStyle name="20% - 强调文字颜色 5 9" xfId="129" xr:uid="{FCECD1E7-6335-4BE0-AD77-3C555411E4EF}"/>
    <cellStyle name="20% - 强调文字颜色 6 10" xfId="130" xr:uid="{2C1971E2-825B-44D3-92DE-41DD98467413}"/>
    <cellStyle name="20% - 强调文字颜色 6 11" xfId="131" xr:uid="{F6BE79F3-B04C-433F-B4FF-8CE885637CD5}"/>
    <cellStyle name="20% - 强调文字颜色 6 2" xfId="132" xr:uid="{BA545328-7FC4-48A5-B995-B7457AE18B6B}"/>
    <cellStyle name="20% - 强调文字颜色 6 2 10" xfId="133" xr:uid="{D24FC3E4-71BF-4330-B748-7DFBAFCE66CD}"/>
    <cellStyle name="20% - 强调文字颜色 6 2 11" xfId="134" xr:uid="{C7E7C4AA-38ED-4AE6-9E6A-BE1C7F24D1B5}"/>
    <cellStyle name="20% - 强调文字颜色 6 2 2" xfId="135" xr:uid="{E3BFF668-3E5A-41B2-87C3-4C49D6A5E831}"/>
    <cellStyle name="20% - 强调文字颜色 6 2 3" xfId="136" xr:uid="{B78F4C7C-A3D8-419A-9944-D38F9F47196F}"/>
    <cellStyle name="20% - 强调文字颜色 6 2 4" xfId="137" xr:uid="{EEA5A36A-F224-42D1-B7B4-7051A051194F}"/>
    <cellStyle name="20% - 强调文字颜色 6 2 5" xfId="138" xr:uid="{5FF3B11C-FF6F-4FCD-95F0-D5C42D0BA2C9}"/>
    <cellStyle name="20% - 强调文字颜色 6 2 6" xfId="139" xr:uid="{D1BA1B05-1682-4676-90F7-9B6C4563441A}"/>
    <cellStyle name="20% - 强调文字颜色 6 2 7" xfId="140" xr:uid="{A7BD91FF-1B14-43D9-BE34-540BBF3B6F17}"/>
    <cellStyle name="20% - 强调文字颜色 6 2 8" xfId="141" xr:uid="{E5B10185-B0A4-40AA-90DD-B06E345650D5}"/>
    <cellStyle name="20% - 强调文字颜色 6 2 9" xfId="142" xr:uid="{1626BBE6-82BF-4CC4-9E62-7A43234E36F3}"/>
    <cellStyle name="20% - 强调文字颜色 6 3" xfId="143" xr:uid="{B5FA1E0E-9C23-46A3-A7E7-496D743ECA7A}"/>
    <cellStyle name="20% - 强调文字颜色 6 4" xfId="144" xr:uid="{036946A9-E248-4CD6-8D63-C6AF6C9A4AE7}"/>
    <cellStyle name="20% - 强调文字颜色 6 5" xfId="145" xr:uid="{AF56D293-5F27-48D7-9EFF-8CCCCCF5817D}"/>
    <cellStyle name="20% - 强调文字颜色 6 6" xfId="146" xr:uid="{887B3DAD-6BC6-463A-8870-C26BC10C3CE1}"/>
    <cellStyle name="20% - 强调文字颜色 6 7" xfId="147" xr:uid="{09F5D1B3-68EA-452C-BD7B-A83964CE11A8}"/>
    <cellStyle name="20% - 强调文字颜色 6 8" xfId="148" xr:uid="{430CE2BC-85EB-4E2C-9B0B-1D362DBBF62D}"/>
    <cellStyle name="20% - 强调文字颜色 6 9" xfId="149" xr:uid="{604B5E2A-8201-41FF-AF44-3CF34A1BC55C}"/>
    <cellStyle name="40% - 强调文字颜色 1 10" xfId="150" xr:uid="{FD926A01-00BD-4041-8ACF-4C41FDF6B397}"/>
    <cellStyle name="40% - 强调文字颜色 1 11" xfId="151" xr:uid="{B7052663-5F7D-439F-91F1-A4955BB3CD18}"/>
    <cellStyle name="40% - 强调文字颜色 1 2" xfId="152" xr:uid="{0768AB82-4D49-484D-AB86-D5C8C560A49D}"/>
    <cellStyle name="40% - 强调文字颜色 1 2 10" xfId="153" xr:uid="{DC444D54-E336-40D7-9439-5C66C7E7D8C4}"/>
    <cellStyle name="40% - 强调文字颜色 1 2 11" xfId="154" xr:uid="{E133F081-3811-4CE3-9E8D-FC217CD92F45}"/>
    <cellStyle name="40% - 强调文字颜色 1 2 2" xfId="155" xr:uid="{ABAFF83B-0EAA-43BD-94F7-E5775D33D7B7}"/>
    <cellStyle name="40% - 强调文字颜色 1 2 3" xfId="156" xr:uid="{E23E7B1D-80C7-418C-ABFF-A62E32307323}"/>
    <cellStyle name="40% - 强调文字颜色 1 2 4" xfId="157" xr:uid="{EF5B8577-A80D-4478-9E75-9BCDF0658214}"/>
    <cellStyle name="40% - 强调文字颜色 1 2 5" xfId="158" xr:uid="{85CE018C-1F33-4B25-B364-1EB7EB039F9F}"/>
    <cellStyle name="40% - 强调文字颜色 1 2 6" xfId="159" xr:uid="{63726921-3190-43A7-AF2F-A63391C15F44}"/>
    <cellStyle name="40% - 强调文字颜色 1 2 7" xfId="160" xr:uid="{D7D9BA5F-C410-433C-8495-46434DE9C78A}"/>
    <cellStyle name="40% - 强调文字颜色 1 2 8" xfId="161" xr:uid="{5B62D2D6-208C-4586-942D-599D9B02E5CB}"/>
    <cellStyle name="40% - 强调文字颜色 1 2 9" xfId="162" xr:uid="{7B7999A8-B89B-4856-B023-93753D450DB8}"/>
    <cellStyle name="40% - 强调文字颜色 1 3" xfId="163" xr:uid="{54DBBF8C-579F-4FB6-8B38-D3BE6D271B9C}"/>
    <cellStyle name="40% - 强调文字颜色 1 4" xfId="164" xr:uid="{BED52C64-8C8A-420D-A29A-8E96A4C854E6}"/>
    <cellStyle name="40% - 强调文字颜色 1 5" xfId="165" xr:uid="{0B34E2F1-B4A7-42E5-8D15-B94EDA8125B0}"/>
    <cellStyle name="40% - 强调文字颜色 1 6" xfId="166" xr:uid="{2E92562B-F281-4ADA-A0AD-E044895FFF68}"/>
    <cellStyle name="40% - 强调文字颜色 1 7" xfId="167" xr:uid="{B9825ABE-E590-4ECA-B208-A77246C9D2F8}"/>
    <cellStyle name="40% - 强调文字颜色 1 8" xfId="168" xr:uid="{9B204BF0-F67D-46A7-808D-B03EBA411459}"/>
    <cellStyle name="40% - 强调文字颜色 1 9" xfId="169" xr:uid="{22F69115-CB78-4567-B101-F5DDB6E87E53}"/>
    <cellStyle name="40% - 强调文字颜色 2 10" xfId="170" xr:uid="{7B90CD93-BDC6-4E1B-B7AC-D0BD27D3E056}"/>
    <cellStyle name="40% - 强调文字颜色 2 11" xfId="171" xr:uid="{F2DBEBD4-6879-4A66-8ED5-B9E0808FCC45}"/>
    <cellStyle name="40% - 强调文字颜色 2 2" xfId="172" xr:uid="{2EC993CB-CACC-457D-A068-E7A39E648A54}"/>
    <cellStyle name="40% - 强调文字颜色 2 2 10" xfId="173" xr:uid="{6EB15A7C-6635-46E8-BCF7-F89AD9592FDC}"/>
    <cellStyle name="40% - 强调文字颜色 2 2 11" xfId="174" xr:uid="{168BCC92-F1B9-41D8-84AB-3960B98315A8}"/>
    <cellStyle name="40% - 强调文字颜色 2 2 2" xfId="175" xr:uid="{81ECC895-F3BE-4764-AC85-B623BAC3440B}"/>
    <cellStyle name="40% - 强调文字颜色 2 2 3" xfId="176" xr:uid="{3EE4C59F-269B-4DB7-94FB-ADFBCB23E214}"/>
    <cellStyle name="40% - 强调文字颜色 2 2 4" xfId="177" xr:uid="{0056278D-3751-4B7B-AB3D-64FC326F8CCA}"/>
    <cellStyle name="40% - 强调文字颜色 2 2 5" xfId="178" xr:uid="{7537881F-FB9A-44A8-B708-C79033B1D8B9}"/>
    <cellStyle name="40% - 强调文字颜色 2 2 6" xfId="179" xr:uid="{E648BD25-9FA6-4F49-BB3D-D721849A84DA}"/>
    <cellStyle name="40% - 强调文字颜色 2 2 7" xfId="180" xr:uid="{EA7D7A44-6A8D-404F-8DCC-6016FA735F74}"/>
    <cellStyle name="40% - 强调文字颜色 2 2 8" xfId="181" xr:uid="{284C48F7-779D-48C1-A8C3-97E0219E053C}"/>
    <cellStyle name="40% - 强调文字颜色 2 2 9" xfId="182" xr:uid="{6DD203A0-818F-453B-A0CC-351B617277E9}"/>
    <cellStyle name="40% - 强调文字颜色 2 3" xfId="183" xr:uid="{68B6B571-D9D3-4598-B524-03171F48AAF2}"/>
    <cellStyle name="40% - 强调文字颜色 2 4" xfId="184" xr:uid="{6C895221-ED5D-4015-AE0B-86BE405BEF85}"/>
    <cellStyle name="40% - 强调文字颜色 2 5" xfId="185" xr:uid="{B90AD4D9-1213-4167-9734-BDCF80727F73}"/>
    <cellStyle name="40% - 强调文字颜色 2 6" xfId="186" xr:uid="{494C1581-C7A7-4815-84FA-ACCDF58DB8CF}"/>
    <cellStyle name="40% - 强调文字颜色 2 7" xfId="187" xr:uid="{1DC7876D-513C-49A0-9FF2-8AE1AF90C081}"/>
    <cellStyle name="40% - 强调文字颜色 2 8" xfId="188" xr:uid="{5AD8CA01-B79C-46CF-8E1D-777274B60F0B}"/>
    <cellStyle name="40% - 强调文字颜色 2 9" xfId="189" xr:uid="{33056F86-5B4C-4741-88EE-47B626615442}"/>
    <cellStyle name="40% - 强调文字颜色 3 10" xfId="190" xr:uid="{16AFAC3F-D55A-4F3C-965F-572F1D351557}"/>
    <cellStyle name="40% - 强调文字颜色 3 11" xfId="191" xr:uid="{DC5EF295-EB82-4E09-9D5F-4C6A4D42827F}"/>
    <cellStyle name="40% - 强调文字颜色 3 2" xfId="192" xr:uid="{691FA14B-F614-4968-BCB1-B4D49BDABD6E}"/>
    <cellStyle name="40% - 强调文字颜色 3 2 10" xfId="193" xr:uid="{6A76DDCF-738A-4B5A-B0DA-232FC9CD9E49}"/>
    <cellStyle name="40% - 强调文字颜色 3 2 11" xfId="194" xr:uid="{4368921E-E4DB-4EAD-858C-37F41FA1992E}"/>
    <cellStyle name="40% - 强调文字颜色 3 2 2" xfId="195" xr:uid="{151A2A5E-0E64-44C9-B983-2C3B2FF0AA0C}"/>
    <cellStyle name="40% - 强调文字颜色 3 2 3" xfId="196" xr:uid="{58A6EC33-1AB0-48AD-AF62-8010126610BB}"/>
    <cellStyle name="40% - 强调文字颜色 3 2 4" xfId="197" xr:uid="{FB8DFE95-4C17-423E-9188-D87AF1B9E651}"/>
    <cellStyle name="40% - 强调文字颜色 3 2 5" xfId="198" xr:uid="{31326B1B-A297-43B7-9C8A-184C24B78924}"/>
    <cellStyle name="40% - 强调文字颜色 3 2 6" xfId="199" xr:uid="{09E76166-093B-4785-9AF2-51611517DBA8}"/>
    <cellStyle name="40% - 强调文字颜色 3 2 7" xfId="200" xr:uid="{52C11FBE-1D03-4B1C-B483-98C72E39A29F}"/>
    <cellStyle name="40% - 强调文字颜色 3 2 8" xfId="201" xr:uid="{E417E0C5-4483-4BBA-BD62-EBF2D54CA00B}"/>
    <cellStyle name="40% - 强调文字颜色 3 2 9" xfId="202" xr:uid="{C6F3C976-BE9F-4BAB-ACA4-80E833E4AB40}"/>
    <cellStyle name="40% - 强调文字颜色 3 3" xfId="203" xr:uid="{37D7FC3F-F270-457B-BBD9-5C3D8B10B3D3}"/>
    <cellStyle name="40% - 强调文字颜色 3 4" xfId="204" xr:uid="{7DFB56A9-3A66-4634-B09B-8096ED246FE1}"/>
    <cellStyle name="40% - 强调文字颜色 3 5" xfId="205" xr:uid="{945FE816-05ED-4C1C-874E-1D42F75724DF}"/>
    <cellStyle name="40% - 强调文字颜色 3 6" xfId="206" xr:uid="{A0759C2B-3AB9-4212-8BCF-4D0EB7294BE0}"/>
    <cellStyle name="40% - 强调文字颜色 3 7" xfId="207" xr:uid="{405E0302-A2F2-4AE2-A5C1-ABFAA2E5A280}"/>
    <cellStyle name="40% - 强调文字颜色 3 8" xfId="208" xr:uid="{75ABEF73-935E-44DB-9062-0B86D16578CE}"/>
    <cellStyle name="40% - 强调文字颜色 3 9" xfId="209" xr:uid="{4DFEFB15-1D28-4D48-8BE6-F62CF5F7811D}"/>
    <cellStyle name="40% - 强调文字颜色 4 10" xfId="210" xr:uid="{C9A886F2-BD57-4A90-B55B-0678D50D5773}"/>
    <cellStyle name="40% - 强调文字颜色 4 11" xfId="211" xr:uid="{CD6AB7B2-F93C-4885-BD8F-82DDB49CFED2}"/>
    <cellStyle name="40% - 强调文字颜色 4 2" xfId="212" xr:uid="{69357E9E-591E-4B5B-9F21-BD2B1F94578E}"/>
    <cellStyle name="40% - 强调文字颜色 4 2 10" xfId="213" xr:uid="{234061EE-FEF1-40DE-BCE5-9EC33D75F08D}"/>
    <cellStyle name="40% - 强调文字颜色 4 2 11" xfId="214" xr:uid="{DE7C77F3-134E-4DBB-ABBF-F845E6649DF6}"/>
    <cellStyle name="40% - 强调文字颜色 4 2 2" xfId="215" xr:uid="{A691B6E6-13A0-487B-A7F8-2767A06E4642}"/>
    <cellStyle name="40% - 强调文字颜色 4 2 3" xfId="216" xr:uid="{0576CBAD-41F1-4C2D-913B-C4A904D2B217}"/>
    <cellStyle name="40% - 强调文字颜色 4 2 4" xfId="217" xr:uid="{E8F2169B-EE74-483F-9753-81461ED8ECFD}"/>
    <cellStyle name="40% - 强调文字颜色 4 2 5" xfId="218" xr:uid="{53551953-04E0-4FF9-BF4B-2B5DF5B55A07}"/>
    <cellStyle name="40% - 强调文字颜色 4 2 6" xfId="219" xr:uid="{25A67FB2-07B9-4E17-A551-F376B8E47726}"/>
    <cellStyle name="40% - 强调文字颜色 4 2 7" xfId="220" xr:uid="{F4D82A59-413D-47B0-9412-778AE131D26F}"/>
    <cellStyle name="40% - 强调文字颜色 4 2 8" xfId="221" xr:uid="{C4FA8473-3295-4D0D-8D6F-4581BEDA94FE}"/>
    <cellStyle name="40% - 强调文字颜色 4 2 9" xfId="222" xr:uid="{22C2EBE4-A132-4830-9C52-9CCB31B80113}"/>
    <cellStyle name="40% - 强调文字颜色 4 3" xfId="223" xr:uid="{E952931C-623D-4EE2-843D-5FBFAF2E74DE}"/>
    <cellStyle name="40% - 强调文字颜色 4 4" xfId="224" xr:uid="{8FDB8FF2-55A8-448A-ABC6-832640227AB6}"/>
    <cellStyle name="40% - 强调文字颜色 4 5" xfId="225" xr:uid="{2C1B2CC5-0D76-4E37-BD95-B62F7C09F556}"/>
    <cellStyle name="40% - 强调文字颜色 4 6" xfId="226" xr:uid="{26EF869E-2270-438F-9BAC-2765946BA419}"/>
    <cellStyle name="40% - 强调文字颜色 4 7" xfId="227" xr:uid="{B102C795-3B43-4823-A767-1604A45EBA16}"/>
    <cellStyle name="40% - 强调文字颜色 4 8" xfId="228" xr:uid="{F22D2D4B-5452-417F-A187-176BD1A5473E}"/>
    <cellStyle name="40% - 强调文字颜色 4 9" xfId="229" xr:uid="{2F4EBBD5-0ECD-475F-AB78-E89CCADC9393}"/>
    <cellStyle name="40% - 强调文字颜色 5 10" xfId="230" xr:uid="{CCFC04E3-874B-442B-8298-5FD699E9BE9F}"/>
    <cellStyle name="40% - 强调文字颜色 5 11" xfId="231" xr:uid="{70C8FA7F-D430-4F72-8AE2-B0BF2424AC11}"/>
    <cellStyle name="40% - 强调文字颜色 5 2" xfId="232" xr:uid="{8515D905-5457-465B-9556-DA31F1C92235}"/>
    <cellStyle name="40% - 强调文字颜色 5 2 10" xfId="233" xr:uid="{84736FD0-BAAF-4B9C-8564-004156F05EA9}"/>
    <cellStyle name="40% - 强调文字颜色 5 2 11" xfId="234" xr:uid="{736073AB-1970-481A-A0D2-9AAA2C205B68}"/>
    <cellStyle name="40% - 强调文字颜色 5 2 2" xfId="235" xr:uid="{35C05847-984B-4890-800C-393DF2801550}"/>
    <cellStyle name="40% - 强调文字颜色 5 2 3" xfId="236" xr:uid="{83E79998-4615-4B4F-B8C7-C6335B81DF4F}"/>
    <cellStyle name="40% - 强调文字颜色 5 2 4" xfId="237" xr:uid="{9FCF2C74-C886-4679-AD68-6ADF4645EA26}"/>
    <cellStyle name="40% - 强调文字颜色 5 2 5" xfId="238" xr:uid="{92F8D62A-861E-48E6-9AC4-1743802C18E2}"/>
    <cellStyle name="40% - 强调文字颜色 5 2 6" xfId="239" xr:uid="{4C9E862E-1C01-4698-A45A-DA434577710C}"/>
    <cellStyle name="40% - 强调文字颜色 5 2 7" xfId="240" xr:uid="{C0C72F0A-7340-4E4D-A313-5BD9FCC9AEA5}"/>
    <cellStyle name="40% - 强调文字颜色 5 2 8" xfId="241" xr:uid="{1B28C8AA-7A9E-4029-B94F-27DCD22F5C15}"/>
    <cellStyle name="40% - 强调文字颜色 5 2 9" xfId="242" xr:uid="{C17A8BAB-28B0-47F9-AF79-F078D45241BF}"/>
    <cellStyle name="40% - 强调文字颜色 5 3" xfId="243" xr:uid="{0A4F7B39-B775-4E82-B20E-57B9EBE88E2F}"/>
    <cellStyle name="40% - 强调文字颜色 5 4" xfId="244" xr:uid="{102B251C-1AFA-45C4-A65B-D2FA78E142C1}"/>
    <cellStyle name="40% - 强调文字颜色 5 5" xfId="245" xr:uid="{CCDFB38C-3E44-483A-A591-C09831C04847}"/>
    <cellStyle name="40% - 强调文字颜色 5 6" xfId="246" xr:uid="{C429CBA1-0BA9-47EB-897C-944E7797CCEF}"/>
    <cellStyle name="40% - 强调文字颜色 5 7" xfId="247" xr:uid="{8A6F01B0-ED1E-4E6F-80C9-76E1C28388EA}"/>
    <cellStyle name="40% - 强调文字颜色 5 8" xfId="248" xr:uid="{78D351BF-98A6-46D4-98D2-B21D6260B377}"/>
    <cellStyle name="40% - 强调文字颜色 5 9" xfId="249" xr:uid="{09FCE777-63CA-4676-9A5B-A11801F8D320}"/>
    <cellStyle name="40% - 强调文字颜色 6 10" xfId="250" xr:uid="{89FAEE45-EB8B-46D2-BE8D-AA1E0A0AB3A6}"/>
    <cellStyle name="40% - 强调文字颜色 6 11" xfId="251" xr:uid="{FB57B87A-FF6E-4A69-B720-8FDDD3AE0E4A}"/>
    <cellStyle name="40% - 强调文字颜色 6 2" xfId="252" xr:uid="{99E352F4-7F31-498C-8DF7-27E13404DA74}"/>
    <cellStyle name="40% - 强调文字颜色 6 2 10" xfId="253" xr:uid="{59CA732A-8614-49C9-9AC5-1E07098512CA}"/>
    <cellStyle name="40% - 强调文字颜色 6 2 11" xfId="254" xr:uid="{CF3D08B0-6595-4783-99E3-E5BACA550F95}"/>
    <cellStyle name="40% - 强调文字颜色 6 2 2" xfId="255" xr:uid="{633F590A-8DD4-460A-BD5F-B5423231515F}"/>
    <cellStyle name="40% - 强调文字颜色 6 2 3" xfId="256" xr:uid="{4CF34CFF-25B7-4FDC-9700-4A5F35CF1EBC}"/>
    <cellStyle name="40% - 强调文字颜色 6 2 4" xfId="257" xr:uid="{D2F4D051-A9CF-4976-B57D-D1C80AAB1C94}"/>
    <cellStyle name="40% - 强调文字颜色 6 2 5" xfId="258" xr:uid="{F5927ABB-F356-4132-B756-5B960B55FE55}"/>
    <cellStyle name="40% - 强调文字颜色 6 2 6" xfId="259" xr:uid="{286690C5-A684-4863-9A12-76B67045134D}"/>
    <cellStyle name="40% - 强调文字颜色 6 2 7" xfId="260" xr:uid="{7BCC98DD-70DC-4FF4-8980-3B99D0B995DF}"/>
    <cellStyle name="40% - 强调文字颜色 6 2 8" xfId="261" xr:uid="{D55927CC-36FB-4677-8C84-24A1C9DB53BC}"/>
    <cellStyle name="40% - 强调文字颜色 6 2 9" xfId="262" xr:uid="{60460BD0-8C12-4B47-9A50-155C75EAA08F}"/>
    <cellStyle name="40% - 强调文字颜色 6 3" xfId="263" xr:uid="{B490921B-6477-4142-A047-A88EDAAA25B9}"/>
    <cellStyle name="40% - 强调文字颜色 6 4" xfId="264" xr:uid="{EE8CAE61-E066-4106-A485-6CE73895B2B6}"/>
    <cellStyle name="40% - 强调文字颜色 6 5" xfId="265" xr:uid="{A7C66DB7-B2CE-4B92-8093-09D3307E8B32}"/>
    <cellStyle name="40% - 强调文字颜色 6 6" xfId="266" xr:uid="{FFECC665-8EF7-4D93-AB00-5E728E2D7FB6}"/>
    <cellStyle name="40% - 强调文字颜色 6 7" xfId="267" xr:uid="{A354032A-B6BD-485E-BCDF-A43496B20AA8}"/>
    <cellStyle name="40% - 强调文字颜色 6 8" xfId="268" xr:uid="{73C57D99-9770-45AD-953B-FAE4D73FB190}"/>
    <cellStyle name="40% - 强调文字颜色 6 9" xfId="269" xr:uid="{1185A169-5062-4123-B13E-61FC926DE512}"/>
    <cellStyle name="60% - 强调文字颜色 1 10" xfId="270" xr:uid="{F5D22362-5D13-4C93-80CC-6717D56714CD}"/>
    <cellStyle name="60% - 强调文字颜色 1 11" xfId="271" xr:uid="{249E7F85-856E-4EFE-AE52-1FE2D876ED1B}"/>
    <cellStyle name="60% - 强调文字颜色 1 2" xfId="272" xr:uid="{C20A1185-F86C-4BA7-8CFF-D891F46C1E28}"/>
    <cellStyle name="60% - 强调文字颜色 1 2 10" xfId="273" xr:uid="{8696EE09-F9F9-4F78-A60D-843B75BEFED1}"/>
    <cellStyle name="60% - 强调文字颜色 1 2 11" xfId="274" xr:uid="{B1E26A09-C391-43FB-A76A-F49E9302C9ED}"/>
    <cellStyle name="60% - 强调文字颜色 1 2 2" xfId="275" xr:uid="{5B16A6CF-A95B-4EB2-B196-1B215CD440D5}"/>
    <cellStyle name="60% - 强调文字颜色 1 2 3" xfId="276" xr:uid="{3FA6E036-90E2-45DE-896C-27C2731B586F}"/>
    <cellStyle name="60% - 强调文字颜色 1 2 4" xfId="277" xr:uid="{86A457A9-0C10-465D-BE2D-FE992EF6B1F0}"/>
    <cellStyle name="60% - 强调文字颜色 1 2 5" xfId="278" xr:uid="{CF045A1C-A79E-412F-8AF9-74582DDCB537}"/>
    <cellStyle name="60% - 强调文字颜色 1 2 6" xfId="279" xr:uid="{6D39771C-8F23-4963-93DB-A1A0161E0074}"/>
    <cellStyle name="60% - 强调文字颜色 1 2 7" xfId="280" xr:uid="{A59B6775-A017-4659-8BA6-9FAE822F5F92}"/>
    <cellStyle name="60% - 强调文字颜色 1 2 8" xfId="281" xr:uid="{41A539CE-3950-41C5-8EC0-0A2EC2A9E040}"/>
    <cellStyle name="60% - 强调文字颜色 1 2 9" xfId="282" xr:uid="{C0801C12-E830-4A18-992F-8471A30F7C71}"/>
    <cellStyle name="60% - 强调文字颜色 1 3" xfId="283" xr:uid="{1BBF3B17-1671-4AD0-81F2-8D6540065B18}"/>
    <cellStyle name="60% - 强调文字颜色 1 4" xfId="284" xr:uid="{D5E06CDF-39A7-484C-BEE1-451395E1EBEF}"/>
    <cellStyle name="60% - 强调文字颜色 1 5" xfId="285" xr:uid="{58BC6B91-9409-4122-9D6F-36DDDBD9338B}"/>
    <cellStyle name="60% - 强调文字颜色 1 6" xfId="286" xr:uid="{486FD039-733E-450B-BBEC-F65546C9471B}"/>
    <cellStyle name="60% - 强调文字颜色 1 7" xfId="287" xr:uid="{F57F182F-D043-478A-9A53-E689FB10D4F7}"/>
    <cellStyle name="60% - 强调文字颜色 1 8" xfId="288" xr:uid="{6F8BB6D8-A204-452D-B2B7-BA3E40F204ED}"/>
    <cellStyle name="60% - 强调文字颜色 1 9" xfId="289" xr:uid="{552C946E-9355-499E-A531-1C2C247DB048}"/>
    <cellStyle name="60% - 强调文字颜色 2 10" xfId="290" xr:uid="{D2854A35-9E20-49A0-B380-D24E1AA9EFEC}"/>
    <cellStyle name="60% - 强调文字颜色 2 11" xfId="291" xr:uid="{47604BA3-D5CA-40FB-A8D2-CB7D12A8FFA9}"/>
    <cellStyle name="60% - 强调文字颜色 2 2" xfId="292" xr:uid="{C84AF3D9-B8E8-47EA-A8CF-0244CB77300E}"/>
    <cellStyle name="60% - 强调文字颜色 2 2 10" xfId="293" xr:uid="{70F519F1-9DE5-4ECD-B1AA-D8844B403681}"/>
    <cellStyle name="60% - 强调文字颜色 2 2 11" xfId="294" xr:uid="{B05F0A3F-2708-4220-9F13-24D45FB0E796}"/>
    <cellStyle name="60% - 强调文字颜色 2 2 2" xfId="295" xr:uid="{167E7B50-217B-43A6-BF9D-313352156453}"/>
    <cellStyle name="60% - 强调文字颜色 2 2 3" xfId="296" xr:uid="{64A9B335-504D-43E8-AB95-486AF5DC179A}"/>
    <cellStyle name="60% - 强调文字颜色 2 2 4" xfId="297" xr:uid="{070D7B69-37AB-4F9D-B010-04FFAB81BF5E}"/>
    <cellStyle name="60% - 强调文字颜色 2 2 5" xfId="298" xr:uid="{C08DD648-74AE-4F55-ACAA-DAC855F0D15C}"/>
    <cellStyle name="60% - 强调文字颜色 2 2 6" xfId="299" xr:uid="{CB661CAB-9AC7-4FE7-AEAB-215E9D993086}"/>
    <cellStyle name="60% - 强调文字颜色 2 2 7" xfId="300" xr:uid="{12DDA61D-840E-4681-AF56-412C00824748}"/>
    <cellStyle name="60% - 强调文字颜色 2 2 8" xfId="301" xr:uid="{AC231E14-D7B5-4169-8DE4-0FFD325A8DAD}"/>
    <cellStyle name="60% - 强调文字颜色 2 2 9" xfId="302" xr:uid="{615E5B06-9493-400F-A737-B58A10805F1C}"/>
    <cellStyle name="60% - 强调文字颜色 2 3" xfId="303" xr:uid="{87B1C89C-6AB5-4DF8-995E-5939F33ABC91}"/>
    <cellStyle name="60% - 强调文字颜色 2 4" xfId="304" xr:uid="{577C30F0-F8D2-44CF-BDBD-33892C98614E}"/>
    <cellStyle name="60% - 强调文字颜色 2 5" xfId="305" xr:uid="{2A12F360-1635-4319-AA2E-CB0C61806179}"/>
    <cellStyle name="60% - 强调文字颜色 2 6" xfId="306" xr:uid="{BA616630-5DF8-443E-926E-DEA522B8EF55}"/>
    <cellStyle name="60% - 强调文字颜色 2 7" xfId="307" xr:uid="{6393EEBF-A512-4F2C-9623-6AA4FA55F6AD}"/>
    <cellStyle name="60% - 强调文字颜色 2 8" xfId="308" xr:uid="{1D3F4B34-6A2B-4215-9303-B7A8B378EF23}"/>
    <cellStyle name="60% - 强调文字颜色 2 9" xfId="309" xr:uid="{054C5844-13BE-486A-939F-C756C22E121A}"/>
    <cellStyle name="60% - 强调文字颜色 3 10" xfId="310" xr:uid="{D2A42ADF-84DF-4550-BBF2-A761AA7D8C54}"/>
    <cellStyle name="60% - 强调文字颜色 3 11" xfId="311" xr:uid="{50F35EF1-6671-4988-AB05-4AE6327D1B73}"/>
    <cellStyle name="60% - 强调文字颜色 3 2" xfId="312" xr:uid="{5D5AB978-087E-4710-ABD0-BF1AE4E020FD}"/>
    <cellStyle name="60% - 强调文字颜色 3 2 10" xfId="313" xr:uid="{502C5C8D-793C-421E-BBA9-324F01921D19}"/>
    <cellStyle name="60% - 强调文字颜色 3 2 11" xfId="314" xr:uid="{3FDA822C-E5CF-4944-BA36-7F0106EFAA42}"/>
    <cellStyle name="60% - 强调文字颜色 3 2 2" xfId="315" xr:uid="{9DDF2435-F74E-4BB2-8C89-4DBC1E1DA650}"/>
    <cellStyle name="60% - 强调文字颜色 3 2 3" xfId="316" xr:uid="{42822DD8-B52C-491C-8693-66771498F63A}"/>
    <cellStyle name="60% - 强调文字颜色 3 2 4" xfId="317" xr:uid="{A1F31130-7437-4742-8407-1E108C90F281}"/>
    <cellStyle name="60% - 强调文字颜色 3 2 5" xfId="318" xr:uid="{8ED9EED9-C2CD-4464-B33B-A260C517EB68}"/>
    <cellStyle name="60% - 强调文字颜色 3 2 6" xfId="319" xr:uid="{91AC39F2-312C-4458-8A44-795981C52D87}"/>
    <cellStyle name="60% - 强调文字颜色 3 2 7" xfId="320" xr:uid="{7D90DA33-F90D-4043-9BFC-818CE8D0A523}"/>
    <cellStyle name="60% - 强调文字颜色 3 2 8" xfId="321" xr:uid="{F29EC4D8-A9D1-477E-824E-27D03035DF1D}"/>
    <cellStyle name="60% - 强调文字颜色 3 2 9" xfId="322" xr:uid="{C2F4D37F-4AB9-427A-8F57-BAF347BB6E9B}"/>
    <cellStyle name="60% - 强调文字颜色 3 3" xfId="323" xr:uid="{AE517D6F-ED28-449E-835E-E6612F7CEBD9}"/>
    <cellStyle name="60% - 强调文字颜色 3 4" xfId="324" xr:uid="{43889D47-A979-404C-A585-19EE9F1FF103}"/>
    <cellStyle name="60% - 强调文字颜色 3 5" xfId="325" xr:uid="{E4031E2D-A482-4A61-B0CB-7D593AD74057}"/>
    <cellStyle name="60% - 强调文字颜色 3 6" xfId="326" xr:uid="{3254E915-3993-4CFA-AE0F-DD3375E9F4EF}"/>
    <cellStyle name="60% - 强调文字颜色 3 7" xfId="327" xr:uid="{A7A352BB-4AD9-4F1A-ACC5-733F1383142B}"/>
    <cellStyle name="60% - 强调文字颜色 3 8" xfId="328" xr:uid="{389B420F-AF15-4A7B-950D-7B6BC1CC1E8D}"/>
    <cellStyle name="60% - 强调文字颜色 3 9" xfId="329" xr:uid="{BD37F42D-9AA6-4218-A086-B9B7DF7E8BC9}"/>
    <cellStyle name="60% - 强调文字颜色 4 10" xfId="330" xr:uid="{F6DC5CF6-A865-43B4-B381-130FDFA112C5}"/>
    <cellStyle name="60% - 强调文字颜色 4 11" xfId="331" xr:uid="{1BF9ECDF-E055-4467-BEF5-8C61FB004F40}"/>
    <cellStyle name="60% - 强调文字颜色 4 2" xfId="332" xr:uid="{A1DC9398-ED17-4C81-82D7-4DE323B3F7DC}"/>
    <cellStyle name="60% - 强调文字颜色 4 2 10" xfId="333" xr:uid="{A81F73C6-3C1F-4B06-80F0-81ABEFE84584}"/>
    <cellStyle name="60% - 强调文字颜色 4 2 11" xfId="334" xr:uid="{F62772E9-2909-4706-AD13-CD47CFB79466}"/>
    <cellStyle name="60% - 强调文字颜色 4 2 2" xfId="335" xr:uid="{B68B6B61-0869-496B-BDF2-37727D6A31BE}"/>
    <cellStyle name="60% - 强调文字颜色 4 2 3" xfId="336" xr:uid="{3AE788CD-5E4E-4879-94AA-81CC96A96B41}"/>
    <cellStyle name="60% - 强调文字颜色 4 2 4" xfId="337" xr:uid="{CEE4DFAC-2740-4C52-A193-18FEBB02DDC5}"/>
    <cellStyle name="60% - 强调文字颜色 4 2 5" xfId="338" xr:uid="{513600D3-8AF9-475E-82AF-784837B139D8}"/>
    <cellStyle name="60% - 强调文字颜色 4 2 6" xfId="339" xr:uid="{30184B58-0A78-45D1-92D9-BF2E90BB4918}"/>
    <cellStyle name="60% - 强调文字颜色 4 2 7" xfId="340" xr:uid="{460CB6D7-4F66-4BEC-9009-09CA19DF64C1}"/>
    <cellStyle name="60% - 强调文字颜色 4 2 8" xfId="341" xr:uid="{8C5B823C-D2E8-4EF9-9ABA-05503EF84B49}"/>
    <cellStyle name="60% - 强调文字颜色 4 2 9" xfId="342" xr:uid="{70344ADA-B5E3-4A3B-BD4E-01D62FF281D7}"/>
    <cellStyle name="60% - 强调文字颜色 4 3" xfId="343" xr:uid="{FA7B37F5-54ED-49FB-9BFC-E3983DB7230B}"/>
    <cellStyle name="60% - 强调文字颜色 4 4" xfId="344" xr:uid="{5ED0FC99-5EED-4581-AF31-84F1B7D16E5A}"/>
    <cellStyle name="60% - 强调文字颜色 4 5" xfId="345" xr:uid="{9BA3646D-6F0F-4799-8F89-9792511982EF}"/>
    <cellStyle name="60% - 强调文字颜色 4 6" xfId="346" xr:uid="{0767492E-2078-4550-B81A-4EC2103AE0E3}"/>
    <cellStyle name="60% - 强调文字颜色 4 7" xfId="347" xr:uid="{06844703-63D1-4A54-AA1E-83E815A828FF}"/>
    <cellStyle name="60% - 强调文字颜色 4 8" xfId="348" xr:uid="{D1D27D1A-FC40-42CF-8F45-FD7D79906AD3}"/>
    <cellStyle name="60% - 强调文字颜色 4 9" xfId="349" xr:uid="{06E61C0D-091E-4260-BC58-207E27740548}"/>
    <cellStyle name="60% - 强调文字颜色 5 10" xfId="350" xr:uid="{65E59C8D-6EB6-4EA7-9416-E9058E196A05}"/>
    <cellStyle name="60% - 强调文字颜色 5 11" xfId="351" xr:uid="{98A419B5-4D97-413B-9639-213E65307B04}"/>
    <cellStyle name="60% - 强调文字颜色 5 2" xfId="352" xr:uid="{D0ACAECB-2336-4EE6-A676-9F7BF0723974}"/>
    <cellStyle name="60% - 强调文字颜色 5 2 10" xfId="353" xr:uid="{1E9009D3-5836-41BF-8222-89A187397215}"/>
    <cellStyle name="60% - 强调文字颜色 5 2 11" xfId="354" xr:uid="{C5A7EE3A-B979-4571-9445-647FB93EA487}"/>
    <cellStyle name="60% - 强调文字颜色 5 2 2" xfId="355" xr:uid="{35785CC3-E411-4096-9509-332708BA749E}"/>
    <cellStyle name="60% - 强调文字颜色 5 2 3" xfId="356" xr:uid="{51A2CCED-149C-4197-8ED6-0420486D6B42}"/>
    <cellStyle name="60% - 强调文字颜色 5 2 4" xfId="357" xr:uid="{ECDAE074-37F8-4FFE-A77B-8B5B83034951}"/>
    <cellStyle name="60% - 强调文字颜色 5 2 5" xfId="358" xr:uid="{35DA1D50-5C20-4022-B698-C8832B65FC3C}"/>
    <cellStyle name="60% - 强调文字颜色 5 2 6" xfId="359" xr:uid="{42CA29DF-7264-421E-95B7-64E2945FAFD2}"/>
    <cellStyle name="60% - 强调文字颜色 5 2 7" xfId="360" xr:uid="{2D0B4D6E-CD26-4289-9170-B1F85D9DC127}"/>
    <cellStyle name="60% - 强调文字颜色 5 2 8" xfId="361" xr:uid="{8BE1FB08-CFB3-4D16-B089-62CCB501071C}"/>
    <cellStyle name="60% - 强调文字颜色 5 2 9" xfId="362" xr:uid="{6674C4F3-3E5D-4011-A3FB-9B206E912B5D}"/>
    <cellStyle name="60% - 强调文字颜色 5 3" xfId="363" xr:uid="{E2F132ED-5EEB-41F4-B70F-DDCA5539841D}"/>
    <cellStyle name="60% - 强调文字颜色 5 4" xfId="364" xr:uid="{E81D1898-25A8-43E5-8339-6BCDA681EFB1}"/>
    <cellStyle name="60% - 强调文字颜色 5 5" xfId="365" xr:uid="{517EEC6A-2FEB-40AB-899D-6162A818F305}"/>
    <cellStyle name="60% - 强调文字颜色 5 6" xfId="366" xr:uid="{5EF46E09-D6EB-4D75-8E6D-23F9BE11F8E8}"/>
    <cellStyle name="60% - 强调文字颜色 5 7" xfId="367" xr:uid="{A0B3A48B-EE0A-46B3-AF6A-8173983910E9}"/>
    <cellStyle name="60% - 强调文字颜色 5 8" xfId="368" xr:uid="{28E1D3F5-39E6-42C7-A4E2-B959AFDFA43C}"/>
    <cellStyle name="60% - 强调文字颜色 5 9" xfId="369" xr:uid="{5466AB9E-C4D0-4AE8-9608-1A08C5C90B38}"/>
    <cellStyle name="60% - 强调文字颜色 6 10" xfId="370" xr:uid="{CBE7CB35-2726-44F4-B696-44CB50980DA7}"/>
    <cellStyle name="60% - 强调文字颜色 6 11" xfId="371" xr:uid="{DF3A51BC-2EBF-4363-9F11-E404976702E4}"/>
    <cellStyle name="60% - 强调文字颜色 6 2" xfId="372" xr:uid="{E240A6B1-D8AE-44A5-B307-A378CBA2659A}"/>
    <cellStyle name="60% - 强调文字颜色 6 2 10" xfId="373" xr:uid="{7DCC5C41-0968-4B9D-ACD3-64640DA656A5}"/>
    <cellStyle name="60% - 强调文字颜色 6 2 11" xfId="374" xr:uid="{D6411E55-3C48-4B96-99E0-023EABC5970E}"/>
    <cellStyle name="60% - 强调文字颜色 6 2 2" xfId="375" xr:uid="{EFBA1E0C-E3E4-47BB-A462-049C8869FAC7}"/>
    <cellStyle name="60% - 强调文字颜色 6 2 3" xfId="376" xr:uid="{2EBE32C9-BDBD-4A9F-8193-9070B056ED3A}"/>
    <cellStyle name="60% - 强调文字颜色 6 2 4" xfId="377" xr:uid="{43F5FAF0-9FE0-489E-8FB6-E4EB99C90A2A}"/>
    <cellStyle name="60% - 强调文字颜色 6 2 5" xfId="378" xr:uid="{F394668E-5401-47E1-8AD9-D7486669E785}"/>
    <cellStyle name="60% - 强调文字颜色 6 2 6" xfId="379" xr:uid="{A9921869-3EBC-414B-ABC3-F4B726013888}"/>
    <cellStyle name="60% - 强调文字颜色 6 2 7" xfId="380" xr:uid="{DB901519-7650-430D-BB62-326F1E3B1F95}"/>
    <cellStyle name="60% - 强调文字颜色 6 2 8" xfId="381" xr:uid="{17F2EF14-61B8-482B-99CF-72CD1D43CAD8}"/>
    <cellStyle name="60% - 强调文字颜色 6 2 9" xfId="382" xr:uid="{D264F6BD-252D-48D4-8ACB-4B86F1CDF6C3}"/>
    <cellStyle name="60% - 强调文字颜色 6 3" xfId="383" xr:uid="{E89F9BC0-179A-4525-9555-CADCCAA428F5}"/>
    <cellStyle name="60% - 强调文字颜色 6 4" xfId="384" xr:uid="{C4C26352-6C57-4A3D-9E88-B2AF727E08E9}"/>
    <cellStyle name="60% - 强调文字颜色 6 5" xfId="385" xr:uid="{3E2E7684-40C6-450B-A737-05145D88D3FD}"/>
    <cellStyle name="60% - 强调文字颜色 6 6" xfId="386" xr:uid="{128E55FB-DB43-41BD-9370-8A90C14C4979}"/>
    <cellStyle name="60% - 强调文字颜色 6 7" xfId="387" xr:uid="{324CE88B-F705-4E4D-BA23-6758A3E36521}"/>
    <cellStyle name="60% - 强调文字颜色 6 8" xfId="388" xr:uid="{E086F260-2746-46A8-B7CB-3523C0217BAE}"/>
    <cellStyle name="60% - 强调文字颜色 6 9" xfId="389" xr:uid="{D03305E4-890A-4399-942E-26F719726B42}"/>
    <cellStyle name="ÆÕÍ¨_ÓÊÍøµãÊý" xfId="390" xr:uid="{5C751889-EA34-46A1-AD74-1810E7056109}"/>
    <cellStyle name="args.style" xfId="391" xr:uid="{9892B009-8640-47C0-99D8-7B9FC5B0D2AF}"/>
    <cellStyle name="Calc Currency (0)" xfId="392" xr:uid="{50095288-A959-433A-9942-F3B9982A5BC8}"/>
    <cellStyle name="ColLevel_0" xfId="393" xr:uid="{5AB4F948-63FF-4839-9E70-ED63E8A022D5}"/>
    <cellStyle name="Column_Title" xfId="394" xr:uid="{322E9404-D97F-4C6D-9D89-053D50519F27}"/>
    <cellStyle name="Copied" xfId="395" xr:uid="{6F075B75-CF24-43F4-9107-C8133542D571}"/>
    <cellStyle name="Entered" xfId="396" xr:uid="{2760C5A6-FB61-4FBF-86EA-069A279B5B2B}"/>
    <cellStyle name="Grey" xfId="397" xr:uid="{B1C61C25-D31C-4CF8-8996-FA72CA09CDA2}"/>
    <cellStyle name="HEADER" xfId="398" xr:uid="{4F017C48-0B61-4CFE-BB84-AD77E447E812}"/>
    <cellStyle name="Header1" xfId="399" xr:uid="{2F5A8A0C-88F9-4531-A940-EC910AA39B9F}"/>
    <cellStyle name="Header2" xfId="400" xr:uid="{20D7D1A5-6E30-4A33-B0CE-EAD67F07D202}"/>
    <cellStyle name="HEADINGS" xfId="401" xr:uid="{0F95ED65-3DF2-4038-9B71-5FEA688B69E6}"/>
    <cellStyle name="HEADINGSTOP" xfId="402" xr:uid="{F5EB8CA8-E885-44A6-845B-FA452819D0E5}"/>
    <cellStyle name="Input [yellow]" xfId="403" xr:uid="{6743B29C-00E9-43B5-9416-09EAFD2FCD5B}"/>
    <cellStyle name="Model" xfId="404" xr:uid="{F57DD8F0-523B-4067-AB9B-380A1FD6365B}"/>
    <cellStyle name="Normal - Style1" xfId="405" xr:uid="{FFB1534A-B22A-4648-99ED-C6C532CE0316}"/>
    <cellStyle name="Normal_ SG&amp;A Bridge " xfId="406" xr:uid="{E9C57670-BE49-4C7F-AB70-C307414D758D}"/>
    <cellStyle name="per.style" xfId="407" xr:uid="{B44A799E-CF45-4C7D-BD2D-FE0DA88D8D00}"/>
    <cellStyle name="Percent [2]" xfId="408" xr:uid="{0435B809-C4E0-4833-B631-6130796CBA63}"/>
    <cellStyle name="regstoresfromspecstores" xfId="409" xr:uid="{50EE474F-1176-4E7B-A9F4-29779DB5E0E6}"/>
    <cellStyle name="RevList" xfId="410" xr:uid="{E8FA6318-26CB-4350-9AAA-BC27C4A7C0B5}"/>
    <cellStyle name="RowLevel_0" xfId="411" xr:uid="{55FAA8ED-2153-4AC0-917E-54F38FBD9AAC}"/>
    <cellStyle name="S5" xfId="412" xr:uid="{D8938A52-B410-4E5F-BFDF-D394278DEF62}"/>
    <cellStyle name="SHADEDSTORES" xfId="413" xr:uid="{084265FD-1E14-45C8-997C-F9563907FDF8}"/>
    <cellStyle name="specstores" xfId="414" xr:uid="{4DAE2FE5-BB1A-4010-8C09-32B5D2AA4A97}"/>
    <cellStyle name="subhead" xfId="415" xr:uid="{847D58B9-3566-41E9-B392-CFEBD145FDE5}"/>
    <cellStyle name="Subtotal" xfId="416" xr:uid="{96E10AEF-B507-4B78-A302-092488F1CF5D}"/>
    <cellStyle name="遽_4錯褒瞳" xfId="417" xr:uid="{721017A2-3774-4660-AA60-61757A2E29C6}"/>
    <cellStyle name="百分比" xfId="418" builtinId="5"/>
    <cellStyle name="百分比 2" xfId="419" xr:uid="{A799B614-269A-4B42-9FEA-A98B26A44C44}"/>
    <cellStyle name="百分比 2 2" xfId="420" xr:uid="{27CDF385-1983-4337-8B24-968A10D69377}"/>
    <cellStyle name="捠壿 [0.00]_PRODUCT DETAIL Q1" xfId="421" xr:uid="{F29DE9E1-53D3-4E0A-AA1C-70B4470CAF8F}"/>
    <cellStyle name="捠壿_PRODUCT DETAIL Q1" xfId="422" xr:uid="{0598116E-5964-4311-84CB-9EF6AFEFD17B}"/>
    <cellStyle name="标题 1 10" xfId="423" xr:uid="{7CC85076-B032-46EA-82E8-5C39188A4DAC}"/>
    <cellStyle name="标题 1 11" xfId="424" xr:uid="{1DF64D82-6033-4EEA-A848-8263DC205849}"/>
    <cellStyle name="标题 1 2" xfId="425" xr:uid="{2DD67C0D-C0E8-4153-B3E9-12027EA38463}"/>
    <cellStyle name="标题 1 2 10" xfId="426" xr:uid="{CE911EB7-4A9B-4E67-89C1-E2BDD8CF451E}"/>
    <cellStyle name="标题 1 2 11" xfId="427" xr:uid="{D6AB57C0-A559-4764-97D5-7795ED59CEE2}"/>
    <cellStyle name="标题 1 2 2" xfId="428" xr:uid="{94DB2DD7-BE94-4A24-AED6-0FCD6DABA788}"/>
    <cellStyle name="标题 1 2 3" xfId="429" xr:uid="{9C15C6C3-0C62-4859-9584-2A32D40CBB8F}"/>
    <cellStyle name="标题 1 2 4" xfId="430" xr:uid="{F4375C71-0F69-4D06-B8EC-D4D2AD65C371}"/>
    <cellStyle name="标题 1 2 5" xfId="431" xr:uid="{5BC399B4-E176-45F5-9912-390BEB479C8A}"/>
    <cellStyle name="标题 1 2 6" xfId="432" xr:uid="{16840C88-8DCB-4DEC-9621-41A2C0AC71CD}"/>
    <cellStyle name="标题 1 2 7" xfId="433" xr:uid="{63D32326-99C4-4EDA-B6A3-ACE890451B49}"/>
    <cellStyle name="标题 1 2 8" xfId="434" xr:uid="{64FD9A4D-141C-459A-A5D1-ADE4B36450EE}"/>
    <cellStyle name="标题 1 2 9" xfId="435" xr:uid="{95DF8108-18A6-4664-A782-AC85FA69C1D7}"/>
    <cellStyle name="标题 1 3" xfId="436" xr:uid="{353B4ED9-B785-4FED-8B6E-37A0A6D6E097}"/>
    <cellStyle name="标题 1 4" xfId="437" xr:uid="{B0A6456A-A8F8-4CD1-8E42-4AFFFFCA720C}"/>
    <cellStyle name="标题 1 5" xfId="438" xr:uid="{7ECD34C5-DA92-49D8-83AB-103967ADE5BB}"/>
    <cellStyle name="标题 1 6" xfId="439" xr:uid="{CEFBAC7C-5C5E-4BA5-9E2F-4ED1E2B76D4D}"/>
    <cellStyle name="标题 1 7" xfId="440" xr:uid="{F4133A6A-2844-415A-8D5A-30988E7C3062}"/>
    <cellStyle name="标题 1 8" xfId="441" xr:uid="{04DF03EF-98E3-494E-A299-3BECBD1E4480}"/>
    <cellStyle name="标题 1 9" xfId="442" xr:uid="{C39D31DA-2620-48FB-93BA-3399C66D0116}"/>
    <cellStyle name="标题 10" xfId="443" xr:uid="{60F81E08-48A9-43DF-AFFE-638633240163}"/>
    <cellStyle name="标题 11" xfId="444" xr:uid="{438D05D7-86EB-4C55-A547-136EA9685423}"/>
    <cellStyle name="标题 12" xfId="445" xr:uid="{8A2B5A3D-BA81-4210-BDAE-0D722C5519AE}"/>
    <cellStyle name="标题 13" xfId="446" xr:uid="{38649FA6-ECFC-4E75-BAD4-373781E6A1E1}"/>
    <cellStyle name="标题 14" xfId="447" xr:uid="{FC845CF5-31D8-4242-B031-378E40ACCF93}"/>
    <cellStyle name="标题 2 10" xfId="448" xr:uid="{0F7884AB-9109-4971-9139-6ED11B4ABBFA}"/>
    <cellStyle name="标题 2 11" xfId="449" xr:uid="{848CE362-5B0B-4DC6-8979-2996CA5CEB75}"/>
    <cellStyle name="标题 2 2" xfId="450" xr:uid="{FECE3FF3-2758-4F1C-9634-0524C9161A83}"/>
    <cellStyle name="标题 2 2 10" xfId="451" xr:uid="{7AB6B21F-FB82-426F-8884-5FEA40A14079}"/>
    <cellStyle name="标题 2 2 11" xfId="452" xr:uid="{93DFA7EF-7587-48D4-88A1-B8EB791E9068}"/>
    <cellStyle name="标题 2 2 2" xfId="453" xr:uid="{8F69E9D6-46F6-4D1B-93E8-D2214673ABD9}"/>
    <cellStyle name="标题 2 2 3" xfId="454" xr:uid="{991F8B46-B816-47B2-A2FD-931E591F9600}"/>
    <cellStyle name="标题 2 2 4" xfId="455" xr:uid="{E7FD5582-BB24-49DB-AA31-4649BD65C309}"/>
    <cellStyle name="标题 2 2 5" xfId="456" xr:uid="{FD033635-A711-4049-A884-ABC9611E4389}"/>
    <cellStyle name="标题 2 2 6" xfId="457" xr:uid="{E4B7386C-8831-47B2-931A-E3CC41E2206C}"/>
    <cellStyle name="标题 2 2 7" xfId="458" xr:uid="{0CB37F92-29B4-4110-901E-2F6A50DF2E75}"/>
    <cellStyle name="标题 2 2 8" xfId="459" xr:uid="{A93B48A4-C2CE-49FA-A1C0-696B13F2ACE5}"/>
    <cellStyle name="标题 2 2 9" xfId="460" xr:uid="{48423F71-CD54-4DCB-946E-E580029830F4}"/>
    <cellStyle name="标题 2 3" xfId="461" xr:uid="{EA3401B7-151A-4BCF-9DE8-84B9F9817DBA}"/>
    <cellStyle name="标题 2 4" xfId="462" xr:uid="{739353DB-AD06-4806-B732-93F47E4DB235}"/>
    <cellStyle name="标题 2 5" xfId="463" xr:uid="{3A7B999A-9B0E-4EF2-90C3-45C93B02958A}"/>
    <cellStyle name="标题 2 6" xfId="464" xr:uid="{50687F3E-FB60-4939-8FD1-1203F2DFB8C6}"/>
    <cellStyle name="标题 2 7" xfId="465" xr:uid="{A853AF13-61BA-47BF-B13B-E5C1A2DEE002}"/>
    <cellStyle name="标题 2 8" xfId="466" xr:uid="{0E0D4AF4-52DB-49AE-A01B-3E0DA2B1E3EA}"/>
    <cellStyle name="标题 2 9" xfId="467" xr:uid="{5BD16409-6E20-45BC-8171-E451403FF6E8}"/>
    <cellStyle name="标题 3 10" xfId="468" xr:uid="{E3DDAF24-B7FD-4EB5-A205-6CFB147B0DCE}"/>
    <cellStyle name="标题 3 11" xfId="469" xr:uid="{EDA38988-540F-4DC0-A6E2-00EA8566545D}"/>
    <cellStyle name="标题 3 2" xfId="470" xr:uid="{741B47D8-7F23-4FB5-8171-8C4C51DC2D59}"/>
    <cellStyle name="标题 3 2 10" xfId="471" xr:uid="{23AE6EB4-E63F-468A-8F8D-C0BA0B32E720}"/>
    <cellStyle name="标题 3 2 11" xfId="472" xr:uid="{81C83C5E-12AE-410E-A707-68823793F517}"/>
    <cellStyle name="标题 3 2 2" xfId="473" xr:uid="{E2FFD87D-92BE-495C-9617-B1EE03BBB24D}"/>
    <cellStyle name="标题 3 2 3" xfId="474" xr:uid="{14222572-ECFC-461B-829F-F9C4C7D2F5A0}"/>
    <cellStyle name="标题 3 2 4" xfId="475" xr:uid="{E32AF294-127A-4E96-ABEE-B7B81A1C96AF}"/>
    <cellStyle name="标题 3 2 5" xfId="476" xr:uid="{D8E083EC-13D4-43F3-BDEF-6FF6F44783B3}"/>
    <cellStyle name="标题 3 2 6" xfId="477" xr:uid="{9E155397-123A-4252-BC24-9FE53CE50F85}"/>
    <cellStyle name="标题 3 2 7" xfId="478" xr:uid="{AD3CD02B-98BC-48A3-9B1A-00A6FCC2FD6E}"/>
    <cellStyle name="标题 3 2 8" xfId="479" xr:uid="{31EB1C2D-7742-4F15-9734-BF9F6CBD8A7E}"/>
    <cellStyle name="标题 3 2 9" xfId="480" xr:uid="{FC9E44F6-EC29-4AED-9F5E-F823E351CAD9}"/>
    <cellStyle name="标题 3 3" xfId="481" xr:uid="{A9B902E6-80F6-4610-BDA5-1055E273AC7B}"/>
    <cellStyle name="标题 3 4" xfId="482" xr:uid="{542E9DF8-BD83-4624-86F7-96648BE9CE5B}"/>
    <cellStyle name="标题 3 5" xfId="483" xr:uid="{BE44B305-E211-40AE-BE20-8FEA601859A7}"/>
    <cellStyle name="标题 3 6" xfId="484" xr:uid="{0791B22F-CDA8-4DCA-9284-E1458629D3DB}"/>
    <cellStyle name="标题 3 7" xfId="485" xr:uid="{A710E65C-8F6A-417F-B7D3-AC80A526E03E}"/>
    <cellStyle name="标题 3 8" xfId="486" xr:uid="{9683A765-6F91-463D-8046-435693472BEB}"/>
    <cellStyle name="标题 3 9" xfId="487" xr:uid="{027D6E2C-C89D-4B2E-A91F-5E454286F919}"/>
    <cellStyle name="标题 4 10" xfId="488" xr:uid="{5C4EA8E0-87E4-4A9A-879E-2566E1DC6D5D}"/>
    <cellStyle name="标题 4 11" xfId="489" xr:uid="{2FAC7C10-B5DA-46B7-B9D2-92549D61080C}"/>
    <cellStyle name="标题 4 2" xfId="490" xr:uid="{7485AB2C-8119-45B5-BAFF-700E481E968C}"/>
    <cellStyle name="标题 4 2 10" xfId="491" xr:uid="{47C524A8-2D49-4FED-AD97-4DE5E1173FD0}"/>
    <cellStyle name="标题 4 2 11" xfId="492" xr:uid="{EDE10853-9441-4473-B4FB-3F30611887D3}"/>
    <cellStyle name="标题 4 2 2" xfId="493" xr:uid="{18E8E573-7538-4D8D-A248-5BCDE5C77517}"/>
    <cellStyle name="标题 4 2 3" xfId="494" xr:uid="{BE5ECCEE-30CF-4D17-934A-9D31E9C54386}"/>
    <cellStyle name="标题 4 2 4" xfId="495" xr:uid="{AC3B585E-B7DD-4597-B765-4C36C8715010}"/>
    <cellStyle name="标题 4 2 5" xfId="496" xr:uid="{EE198DB6-C8EB-454F-84B0-70D70596483B}"/>
    <cellStyle name="标题 4 2 6" xfId="497" xr:uid="{6DD5A030-6987-4FB4-9EE3-D74A9F3652A9}"/>
    <cellStyle name="标题 4 2 7" xfId="498" xr:uid="{D26E124B-7945-4F75-B611-0DC452D8A14A}"/>
    <cellStyle name="标题 4 2 8" xfId="499" xr:uid="{70665A0A-2A6B-4B1C-80F4-43CA40E69B96}"/>
    <cellStyle name="标题 4 2 9" xfId="500" xr:uid="{8626C8CB-A7FC-486F-87C9-FC287FC8AD2B}"/>
    <cellStyle name="标题 4 3" xfId="501" xr:uid="{06ECCFBC-4772-4112-8A19-53E0C4575B11}"/>
    <cellStyle name="标题 4 4" xfId="502" xr:uid="{8A3B4344-A493-4648-9C03-B112B11D6992}"/>
    <cellStyle name="标题 4 5" xfId="503" xr:uid="{2D6AA66B-38B7-4B8D-9751-916BC00DDD66}"/>
    <cellStyle name="标题 4 6" xfId="504" xr:uid="{32EE78BD-A8D2-48EA-B933-27620D827BF6}"/>
    <cellStyle name="标题 4 7" xfId="505" xr:uid="{56D52329-B712-4A9C-94E8-9A523388D22D}"/>
    <cellStyle name="标题 4 8" xfId="506" xr:uid="{058DF0CA-9659-46AB-AF6E-062D2335DE0B}"/>
    <cellStyle name="标题 4 9" xfId="507" xr:uid="{A185594E-B543-4E20-91EA-D7AD1342880F}"/>
    <cellStyle name="标题 5" xfId="508" xr:uid="{8A43B76A-7E8E-4382-B17C-F2180EEA9366}"/>
    <cellStyle name="标题 5 10" xfId="509" xr:uid="{B4FCEC15-1CD2-43B9-894E-EAE21B459608}"/>
    <cellStyle name="标题 5 11" xfId="510" xr:uid="{900F6A64-67F9-48BB-9C80-0FD1D5CD931F}"/>
    <cellStyle name="标题 5 2" xfId="511" xr:uid="{15FE10AA-98B2-4A66-B213-047F58F19CBE}"/>
    <cellStyle name="标题 5 3" xfId="512" xr:uid="{019C1A13-4308-4B6E-8CBB-E8973A63BBED}"/>
    <cellStyle name="标题 5 4" xfId="513" xr:uid="{ECED0E81-C260-4C3A-B300-9492FF366B14}"/>
    <cellStyle name="标题 5 5" xfId="514" xr:uid="{1D431B1A-0E54-44C2-B58D-54EC19ED1C84}"/>
    <cellStyle name="标题 5 6" xfId="515" xr:uid="{2AF7999A-6281-4286-B336-F7010C419636}"/>
    <cellStyle name="标题 5 7" xfId="516" xr:uid="{FF1CAAFC-B0C7-4CCB-A7E4-460BE4FD287A}"/>
    <cellStyle name="标题 5 8" xfId="517" xr:uid="{83177F9D-0399-41DA-A044-D4DF19B45030}"/>
    <cellStyle name="标题 5 9" xfId="518" xr:uid="{3EE28D30-CD5D-442B-8884-B6B8771D772A}"/>
    <cellStyle name="标题 6" xfId="519" xr:uid="{F12DED3B-CFAD-463C-94FE-C9F824CCC02A}"/>
    <cellStyle name="标题 7" xfId="520" xr:uid="{B72DA8EC-D0F9-48DB-A820-61429C3E8A86}"/>
    <cellStyle name="标题 8" xfId="521" xr:uid="{42DE041B-D589-494C-945F-99720D114282}"/>
    <cellStyle name="标题 9" xfId="522" xr:uid="{76A61148-DF9F-4DDE-9022-D1AF9360BC26}"/>
    <cellStyle name="差 10" xfId="523" xr:uid="{3BFBE88A-ACB8-42ED-942F-7EB207F5F692}"/>
    <cellStyle name="差 11" xfId="524" xr:uid="{60AF1D06-F8C7-4B17-B9CA-A5B9F40F0EFD}"/>
    <cellStyle name="差 2" xfId="525" xr:uid="{B063B32A-95E5-49A3-AF56-70BB03B1142A}"/>
    <cellStyle name="差 2 10" xfId="526" xr:uid="{ED374997-FFDA-4D1C-8549-C9394B8E2AE2}"/>
    <cellStyle name="差 2 11" xfId="527" xr:uid="{EC7B7BDC-9511-4040-A502-90EB97FD1984}"/>
    <cellStyle name="差 2 2" xfId="528" xr:uid="{B5DD2B12-16FC-4A30-AA52-26A67A1A1136}"/>
    <cellStyle name="差 2 3" xfId="529" xr:uid="{7A631F46-720F-4792-8153-961D6E0C9D06}"/>
    <cellStyle name="差 2 4" xfId="530" xr:uid="{05271EA6-AD0F-4555-BD73-0A28353B9F81}"/>
    <cellStyle name="差 2 5" xfId="531" xr:uid="{C1D1A3E4-647B-4DA0-B5F1-ED3AC5969795}"/>
    <cellStyle name="差 2 6" xfId="532" xr:uid="{131A6923-547E-4D99-AB45-6FE6AA85F9B2}"/>
    <cellStyle name="差 2 7" xfId="533" xr:uid="{6DB452B4-729E-44F0-B03E-1D8CB1768B56}"/>
    <cellStyle name="差 2 8" xfId="534" xr:uid="{9DDB27EC-08DA-49A0-87A5-F370847C58EE}"/>
    <cellStyle name="差 2 9" xfId="535" xr:uid="{7D651F2E-A1F9-4F99-B940-45B084FD70C5}"/>
    <cellStyle name="差 3" xfId="536" xr:uid="{FE73CF1C-3182-4A21-885E-B64D68EF47E7}"/>
    <cellStyle name="差 4" xfId="537" xr:uid="{3911AC73-1A6E-47E5-925F-B51B6025677C}"/>
    <cellStyle name="差 5" xfId="538" xr:uid="{BE4BC6F0-886B-4E3F-99C8-62637C21699A}"/>
    <cellStyle name="差 6" xfId="539" xr:uid="{89C8DE88-C721-4E85-88E4-D101B1E847A5}"/>
    <cellStyle name="差 7" xfId="540" xr:uid="{5759AC3C-E376-4623-ACC5-29F1298524BC}"/>
    <cellStyle name="差 8" xfId="541" xr:uid="{590ACFCE-5CDE-42A4-9A5F-E24EB167F81A}"/>
    <cellStyle name="差 9" xfId="542" xr:uid="{DA95D02D-F219-4A6E-8CED-1969680C7B13}"/>
    <cellStyle name="差_2012年5月三算”对比表（珠江新城F1-1)1(1)" xfId="543" xr:uid="{9D72F6A1-92ED-4FC3-B20B-2C65ACC4A270}"/>
    <cellStyle name="差_成本价格信息数据库数据收集表（月报）" xfId="544" xr:uid="{C6163803-E83A-4AF5-AB32-E2643CFD68D4}"/>
    <cellStyle name="差_成本价格信息数据库数据收集表（月报） 2" xfId="545" xr:uid="{32054036-43FA-4D94-92F3-B5797C339550}"/>
    <cellStyle name="差_三算对比（2012年8月）" xfId="546" xr:uid="{35C98CB5-13C0-41E6-8277-073F7729FFD9}"/>
    <cellStyle name="差_预计总收入" xfId="547" xr:uid="{6C14F1DE-3542-4BF3-8FD0-91817B004996}"/>
    <cellStyle name="差_珠江新城项目部管理人员表" xfId="548" xr:uid="{E28477F4-5516-4F7D-BB92-C8A351F8F02F}"/>
    <cellStyle name="常规" xfId="0" builtinId="0"/>
    <cellStyle name="常规 10" xfId="549" xr:uid="{256D334C-4115-4EC6-A274-547D311F5D2F}"/>
    <cellStyle name="常规 10 10" xfId="550" xr:uid="{AB614D06-B1DB-4406-80B7-4A1205992A51}"/>
    <cellStyle name="常规 10 10 2" xfId="551" xr:uid="{61E91DFA-D244-4986-8F1C-846BF7D810C5}"/>
    <cellStyle name="常规 10 11" xfId="552" xr:uid="{0E77DDF8-8DCB-479B-BE9B-ADBFD642CF81}"/>
    <cellStyle name="常规 10 12" xfId="553" xr:uid="{31E61634-CA8B-4865-8E14-1E287F7320C4}"/>
    <cellStyle name="常规 10 13" xfId="554" xr:uid="{9868A947-5E11-47AE-BE22-565A2738A26C}"/>
    <cellStyle name="常规 10 14" xfId="555" xr:uid="{8ABB93BC-B7D1-4F97-B768-9A2D68F1395A}"/>
    <cellStyle name="常规 10 15" xfId="556" xr:uid="{69FB0B36-AC03-45A6-B050-2C4F134D213C}"/>
    <cellStyle name="常规 10 16" xfId="557" xr:uid="{00E2615B-4C99-4EED-8929-79CC9F912F53}"/>
    <cellStyle name="常规 10 2" xfId="558" xr:uid="{88607264-4800-423A-BA76-2CAB4D05B690}"/>
    <cellStyle name="常规 10 2 10" xfId="559" xr:uid="{A000F9B0-4BB6-4F0D-BC05-4AB252BF5EF3}"/>
    <cellStyle name="常规 10 2 11" xfId="560" xr:uid="{EDFF181B-6708-4189-BA03-729DA4090B48}"/>
    <cellStyle name="常规 10 2 12" xfId="561" xr:uid="{720AB6F1-699D-4E83-93B0-A6F68063BEFD}"/>
    <cellStyle name="常规 10 2 2" xfId="562" xr:uid="{EB48B214-A770-450B-8ADA-E94C2984612A}"/>
    <cellStyle name="常规 10 2 3" xfId="563" xr:uid="{25A66C26-D827-45F5-8CC2-C6A3BA8DD2C0}"/>
    <cellStyle name="常规 10 2 4" xfId="564" xr:uid="{1848E918-C349-4286-A304-BFF7D4D02704}"/>
    <cellStyle name="常规 10 2 5" xfId="565" xr:uid="{4E880B97-AD64-4777-B96A-77E0E0CF4A56}"/>
    <cellStyle name="常规 10 2 6" xfId="566" xr:uid="{6F353000-E923-4523-82DC-88A6970F45F6}"/>
    <cellStyle name="常规 10 2 7" xfId="567" xr:uid="{8E5A50B4-15E0-42B0-BCEC-1D5ECA8F695E}"/>
    <cellStyle name="常规 10 2 8" xfId="568" xr:uid="{54337DCE-9B7B-4FC2-ABE0-B6BA28C6DD0C}"/>
    <cellStyle name="常规 10 2 9" xfId="569" xr:uid="{3C86D2BA-F15E-4DFE-9FE3-E130CB3CE741}"/>
    <cellStyle name="常规 10 3" xfId="570" xr:uid="{B711A1E9-6C3C-46DB-A612-1C7678287550}"/>
    <cellStyle name="常规 10 4" xfId="571" xr:uid="{BF6D4646-54FA-455D-B9EF-1C109B1E56D6}"/>
    <cellStyle name="常规 10 5" xfId="572" xr:uid="{DDDC852C-73AA-4570-A318-7FC72A368972}"/>
    <cellStyle name="常规 10 6" xfId="573" xr:uid="{1BA0D482-17DA-4254-836A-C5246EF023D4}"/>
    <cellStyle name="常规 10 7" xfId="574" xr:uid="{0642AF84-40B9-4E07-9803-022AFD2302AB}"/>
    <cellStyle name="常规 10 8" xfId="575" xr:uid="{1E7CF1A4-B68B-42A4-9A27-93E918E02A5A}"/>
    <cellStyle name="常规 10 9" xfId="576" xr:uid="{CFD2755E-D040-48B3-AADF-41338A71782F}"/>
    <cellStyle name="常规 11" xfId="577" xr:uid="{1D21AA54-3ED1-47AC-B6AD-8AEBDE5B5127}"/>
    <cellStyle name="常规 11 10" xfId="578" xr:uid="{235F4629-8660-4AB0-9ED2-D20FFB768117}"/>
    <cellStyle name="常规 11 11" xfId="579" xr:uid="{C3F0513E-2848-452F-AF80-19B69B684E80}"/>
    <cellStyle name="常规 11 12" xfId="580" xr:uid="{7F6E24DC-9973-4752-AD4B-CE7C24773624}"/>
    <cellStyle name="常规 11 2" xfId="581" xr:uid="{B5C0F7AC-1B39-44E6-AC38-905714225719}"/>
    <cellStyle name="常规 11 2 10" xfId="582" xr:uid="{9EB6A392-EE04-488B-8326-038DA534DBCF}"/>
    <cellStyle name="常规 11 2 11" xfId="583" xr:uid="{E5FE95A7-3880-4E43-B48D-09CBA212C6CA}"/>
    <cellStyle name="常规 11 2 12" xfId="584" xr:uid="{118F3929-984A-4EE4-8006-11C8899F459E}"/>
    <cellStyle name="常规 11 2 2" xfId="585" xr:uid="{F7709D38-B8D6-47C4-9C0F-0B3BA306ED5B}"/>
    <cellStyle name="常规 11 2 3" xfId="586" xr:uid="{3885B548-4BD8-4C30-9392-0AFBC44F44E7}"/>
    <cellStyle name="常规 11 2 4" xfId="587" xr:uid="{21EEF32F-6184-4D17-9287-64EDFEDEB88A}"/>
    <cellStyle name="常规 11 2 5" xfId="588" xr:uid="{558D2FAE-5A99-4053-8C25-C1A1D95ABE10}"/>
    <cellStyle name="常规 11 2 6" xfId="589" xr:uid="{CC6296B4-D1E4-42BE-A054-ABF84FD2D901}"/>
    <cellStyle name="常规 11 2 7" xfId="590" xr:uid="{8A8B1A1D-7118-4445-827C-CD3EDE410FA1}"/>
    <cellStyle name="常规 11 2 8" xfId="591" xr:uid="{C90455FA-EA93-408A-805C-F2F35567D484}"/>
    <cellStyle name="常规 11 2 9" xfId="592" xr:uid="{51E6B0E9-F07F-49ED-8701-0135C7E43FEA}"/>
    <cellStyle name="常规 11 3" xfId="593" xr:uid="{098E9295-3091-4828-B980-8DB5CA00000E}"/>
    <cellStyle name="常规 11 4" xfId="594" xr:uid="{9F4DD63A-C3BD-433B-9099-2B7E32BF21B6}"/>
    <cellStyle name="常规 11 5" xfId="595" xr:uid="{1AD5C6C2-3610-41E8-89F6-56791937518F}"/>
    <cellStyle name="常规 11 6" xfId="596" xr:uid="{7C44566C-3D1F-4F1D-8713-F3D24416A290}"/>
    <cellStyle name="常规 11 7" xfId="597" xr:uid="{C4C8F9F4-4DF0-463B-AFC0-62DD34952FC1}"/>
    <cellStyle name="常规 11 8" xfId="598" xr:uid="{D5A05168-954F-4EFF-8346-AFEE06F2B73B}"/>
    <cellStyle name="常规 11 9" xfId="599" xr:uid="{0719768F-A986-446E-9B87-CC86E83CC0BB}"/>
    <cellStyle name="常规 12" xfId="600" xr:uid="{DFD49359-FF67-4CE8-AC9C-1DF21229CBAB}"/>
    <cellStyle name="常规 12 10" xfId="601" xr:uid="{8E2D7278-276D-48BC-9FD8-BB75187BCD2F}"/>
    <cellStyle name="常规 12 11" xfId="602" xr:uid="{AC618168-36AF-4A14-9DE3-B9010E2E4532}"/>
    <cellStyle name="常规 12 12" xfId="603" xr:uid="{A692C9F4-682D-4199-8C66-8CF0403ABB84}"/>
    <cellStyle name="常规 12 2" xfId="604" xr:uid="{A18C0ABD-1C9C-4516-A8C6-F0400D1A2FE1}"/>
    <cellStyle name="常规 12 2 10" xfId="605" xr:uid="{C5C535DB-4236-4481-ABD6-46ACF238DC7A}"/>
    <cellStyle name="常规 12 2 11" xfId="606" xr:uid="{381361CD-129D-4E25-846B-4254B1FDBBF4}"/>
    <cellStyle name="常规 12 2 12" xfId="607" xr:uid="{1D2B0132-C514-40E9-82A3-EC964FB74E58}"/>
    <cellStyle name="常规 12 2 2" xfId="608" xr:uid="{BC1D0D71-7526-476D-8305-7A8C192DCE4A}"/>
    <cellStyle name="常规 12 2 3" xfId="609" xr:uid="{D9BD1247-AB71-488C-A2B6-D2ECB16DE002}"/>
    <cellStyle name="常规 12 2 4" xfId="610" xr:uid="{3FE81742-48D3-420C-A74F-8A62E589B8DF}"/>
    <cellStyle name="常规 12 2 5" xfId="611" xr:uid="{098DE7CE-0CCF-44B4-86C7-52997A83BECD}"/>
    <cellStyle name="常规 12 2 6" xfId="612" xr:uid="{F7A11F10-1051-47F1-A5C6-D4C7C7C5B9D5}"/>
    <cellStyle name="常规 12 2 7" xfId="613" xr:uid="{8A79487E-BEE9-491A-88D9-9AD772FE1BFC}"/>
    <cellStyle name="常规 12 2 8" xfId="614" xr:uid="{30748595-8579-4F13-989A-AB4D31A17188}"/>
    <cellStyle name="常规 12 2 9" xfId="615" xr:uid="{69BB9018-FAA0-4DC1-9DC3-47A7B7FF7CF0}"/>
    <cellStyle name="常规 12 3" xfId="616" xr:uid="{4B0A39EC-169D-43C2-945D-26ABEFAAE8B3}"/>
    <cellStyle name="常规 12 4" xfId="617" xr:uid="{4DC204D9-B7D8-463D-BA7F-332A8920BEB8}"/>
    <cellStyle name="常规 12 5" xfId="618" xr:uid="{6516D611-49B1-4C90-8A4C-402D23616485}"/>
    <cellStyle name="常规 12 6" xfId="619" xr:uid="{4BBC1F70-7596-4A8F-8984-FBBFBFCD3144}"/>
    <cellStyle name="常规 12 7" xfId="620" xr:uid="{805C8049-33CB-4074-BF33-27D9B1AF6C43}"/>
    <cellStyle name="常规 12 8" xfId="621" xr:uid="{2F84B862-766A-437E-9A5B-50112DEC9113}"/>
    <cellStyle name="常规 12 9" xfId="622" xr:uid="{156A7877-B386-4A34-85D1-CF3F464530E0}"/>
    <cellStyle name="常规 13" xfId="623" xr:uid="{500B4952-230A-463E-BFB7-5581BD1593F5}"/>
    <cellStyle name="常规 13 10" xfId="624" xr:uid="{038F0CB0-F6E7-4685-8558-EFDB3B3ACDC8}"/>
    <cellStyle name="常规 13 11" xfId="625" xr:uid="{5B237282-721B-42AE-B7B9-550DF7632156}"/>
    <cellStyle name="常规 13 12" xfId="626" xr:uid="{0AD94220-471A-4393-8A7A-8F6ED6682A7F}"/>
    <cellStyle name="常规 13 2" xfId="627" xr:uid="{B0982C1D-4379-478B-9A08-986DED95A75F}"/>
    <cellStyle name="常规 13 2 10" xfId="628" xr:uid="{DBC36C33-B813-472B-8B23-7C1153C406B0}"/>
    <cellStyle name="常规 13 2 11" xfId="629" xr:uid="{37A8120B-7353-4F7C-9C63-DAC942698F2B}"/>
    <cellStyle name="常规 13 2 12" xfId="630" xr:uid="{34AF94F3-3169-405F-8227-715F49DCD450}"/>
    <cellStyle name="常规 13 2 2" xfId="631" xr:uid="{19472802-7CF7-4E88-8660-A6C6633B0F8A}"/>
    <cellStyle name="常规 13 2 3" xfId="632" xr:uid="{CA3011F5-CFF0-438D-A14F-C5D21197D688}"/>
    <cellStyle name="常规 13 2 4" xfId="633" xr:uid="{8B2A5DC5-DE49-4829-B234-42A8199A3B4D}"/>
    <cellStyle name="常规 13 2 5" xfId="634" xr:uid="{B1223D7B-D65B-400C-BC95-0F81D11696C9}"/>
    <cellStyle name="常规 13 2 6" xfId="635" xr:uid="{F71F5939-373A-495A-8BF8-30677D157A0C}"/>
    <cellStyle name="常规 13 2 7" xfId="636" xr:uid="{83893156-2EAE-4CA2-BBA0-E67CAB8ED226}"/>
    <cellStyle name="常规 13 2 8" xfId="637" xr:uid="{BA90F965-3BCC-4B6A-A9F1-58D173F4AAC6}"/>
    <cellStyle name="常规 13 2 9" xfId="638" xr:uid="{032863C5-7E95-4311-949C-D0DC24594311}"/>
    <cellStyle name="常规 13 3" xfId="639" xr:uid="{6EE33A06-8071-4A30-93A2-2BBD38B7164A}"/>
    <cellStyle name="常规 13 4" xfId="640" xr:uid="{06DDF2F7-DE96-4A46-9484-438E82F58353}"/>
    <cellStyle name="常规 13 5" xfId="641" xr:uid="{6EE85937-C0A7-4673-9FD5-7F6BC94D690F}"/>
    <cellStyle name="常规 13 6" xfId="642" xr:uid="{561407EA-8EAE-4424-B204-7F56AB998D6C}"/>
    <cellStyle name="常规 13 7" xfId="643" xr:uid="{0F6D7CCE-357C-4901-9827-129EEAF7EB06}"/>
    <cellStyle name="常规 13 8" xfId="644" xr:uid="{537C0584-AA23-4496-B289-93B2231C7C7C}"/>
    <cellStyle name="常规 13 9" xfId="645" xr:uid="{2618C8E0-5B6C-48AA-8B8F-8F38A391C68F}"/>
    <cellStyle name="常规 13_2012年5月三算”对比表（珠江新城F1-1)1(1)" xfId="646" xr:uid="{BB189387-AAF3-4492-88D6-960C6050B080}"/>
    <cellStyle name="常规 14" xfId="647" xr:uid="{39410300-7632-4F87-941D-D0B4DCB50162}"/>
    <cellStyle name="常规 14 10" xfId="648" xr:uid="{0FE1BF2D-9E50-4834-AB5A-9FF4DD2821A6}"/>
    <cellStyle name="常规 14 11" xfId="649" xr:uid="{5138732C-8BA8-479C-9487-82D1E01FCFD8}"/>
    <cellStyle name="常规 14 12" xfId="650" xr:uid="{0AC1BAAF-11C8-4CD5-95D4-873786FC6691}"/>
    <cellStyle name="常规 14 2" xfId="651" xr:uid="{88B729E7-FC57-4EC0-ADA3-9FFFE579EC1C}"/>
    <cellStyle name="常规 14 3" xfId="652" xr:uid="{657210B0-E838-4C4F-AF4F-8929C84D04D4}"/>
    <cellStyle name="常规 14 4" xfId="653" xr:uid="{4BDB294A-41D8-4539-8811-5A0788DD7858}"/>
    <cellStyle name="常规 14 5" xfId="654" xr:uid="{3F3EADD1-BB1D-4091-BC18-0E899CA3991A}"/>
    <cellStyle name="常规 14 6" xfId="655" xr:uid="{D7CBE687-0F58-40E3-B636-7727BD7AC282}"/>
    <cellStyle name="常规 14 7" xfId="656" xr:uid="{5C56DF5C-4EFC-4C15-8F25-216B962A84AC}"/>
    <cellStyle name="常规 14 8" xfId="657" xr:uid="{2A88AD70-617E-4B1E-94C2-F9BED49D4500}"/>
    <cellStyle name="常规 14 9" xfId="658" xr:uid="{D91461A2-DFF2-4155-8BCF-3DE5394CE35C}"/>
    <cellStyle name="常规 14_2012年5月三算”对比表（珠江新城F1-1)1(1)" xfId="659" xr:uid="{C9860B8E-B129-403C-87FD-B72864C201D8}"/>
    <cellStyle name="常规 15" xfId="660" xr:uid="{2439962E-384E-4D4F-855A-65A43808D94A}"/>
    <cellStyle name="常规 15 10" xfId="661" xr:uid="{EE4205DE-B8FE-4DB2-A642-5ED7543D7F06}"/>
    <cellStyle name="常规 15 11" xfId="662" xr:uid="{BBC61153-1FC9-4C8B-B6A9-C89AEF27EC49}"/>
    <cellStyle name="常规 15 12" xfId="663" xr:uid="{BC68E702-48D7-486E-BB27-8F2C10C6B392}"/>
    <cellStyle name="常规 15 13" xfId="664" xr:uid="{BEF2BF86-85CD-4138-A9BD-427D8B13FDF0}"/>
    <cellStyle name="常规 15 2" xfId="665" xr:uid="{F93CC79C-176E-43F3-A448-5AD05882224B}"/>
    <cellStyle name="常规 15 2 10" xfId="666" xr:uid="{FEF79F3A-5BDD-4B3D-AC54-A5EE0CD255D1}"/>
    <cellStyle name="常规 15 2 11" xfId="667" xr:uid="{71222251-5EC0-41F2-A2C0-FD55B01F9804}"/>
    <cellStyle name="常规 15 2 12" xfId="668" xr:uid="{A92FFB59-2F29-4991-BBC8-C5890BAB7F9A}"/>
    <cellStyle name="常规 15 2 2" xfId="669" xr:uid="{425AA9B5-DBB6-425C-A8F1-DDD5812F0BFB}"/>
    <cellStyle name="常规 15 2 3" xfId="670" xr:uid="{8EE78547-A7F7-4AD6-AAD9-D57EFA308857}"/>
    <cellStyle name="常规 15 2 4" xfId="671" xr:uid="{F3D5E883-0A56-4ECF-9E14-D3AA719C13A9}"/>
    <cellStyle name="常规 15 2 5" xfId="672" xr:uid="{3888A5BF-1780-4996-91F2-AEBA8129D337}"/>
    <cellStyle name="常规 15 2 6" xfId="673" xr:uid="{3BD1C65E-F47E-421E-BF85-38781EE5D368}"/>
    <cellStyle name="常规 15 2 7" xfId="674" xr:uid="{CA057F31-F9EB-4D00-9E56-F284E3981AD0}"/>
    <cellStyle name="常规 15 2 8" xfId="675" xr:uid="{54A50C20-B7A6-429A-A4F7-B06AB68DB928}"/>
    <cellStyle name="常规 15 2 9" xfId="676" xr:uid="{28F6A63F-9081-4B12-BA38-45E8DF5A70A6}"/>
    <cellStyle name="常规 15 3" xfId="677" xr:uid="{5B72B9F4-4CDF-466D-8114-969224F7C616}"/>
    <cellStyle name="常规 15 3 10" xfId="678" xr:uid="{58F5B46A-F3D8-4B74-B50C-432C4E71B0D5}"/>
    <cellStyle name="常规 15 3 11" xfId="679" xr:uid="{663EEFA6-8AB2-4BCD-B6F3-32558347D32D}"/>
    <cellStyle name="常规 15 3 12" xfId="680" xr:uid="{AF392349-0621-4A34-B6A6-40E95562DE84}"/>
    <cellStyle name="常规 15 3 2" xfId="681" xr:uid="{5FF980C2-E93B-46D5-96FC-D401A567CECC}"/>
    <cellStyle name="常规 15 3 3" xfId="682" xr:uid="{4D5CAFD8-722F-41D8-A73A-43ACB97DFAC3}"/>
    <cellStyle name="常规 15 3 4" xfId="683" xr:uid="{5BB076DF-35FC-4AFD-9E74-158D8A4F2257}"/>
    <cellStyle name="常规 15 3 5" xfId="684" xr:uid="{E9A73C8C-1F03-432B-B5FC-B7A44CD950A3}"/>
    <cellStyle name="常规 15 3 6" xfId="685" xr:uid="{C3D5FE03-F833-4A0B-94CB-93E532326244}"/>
    <cellStyle name="常规 15 3 7" xfId="686" xr:uid="{CD38ED07-A790-4892-B47B-98BA41805575}"/>
    <cellStyle name="常规 15 3 8" xfId="687" xr:uid="{B05351AE-1E1C-4980-88C2-51676DAD1849}"/>
    <cellStyle name="常规 15 3 9" xfId="688" xr:uid="{3458BD67-1907-41CB-8626-0CF57EA666D1}"/>
    <cellStyle name="常规 15 4" xfId="689" xr:uid="{D077E260-31BB-4724-B393-1F2FDCD64C91}"/>
    <cellStyle name="常规 15 5" xfId="690" xr:uid="{1F8B7F8B-D914-4BB0-B847-A018E3758E7A}"/>
    <cellStyle name="常规 15 6" xfId="691" xr:uid="{8FA54252-62E8-49DF-AB62-4EBF7218D8F1}"/>
    <cellStyle name="常规 15 7" xfId="692" xr:uid="{896C7D3D-45D8-4052-B4C4-552B9A0565E0}"/>
    <cellStyle name="常规 15 8" xfId="693" xr:uid="{BF4BB53D-BADA-404E-A742-8A9934851449}"/>
    <cellStyle name="常规 15 9" xfId="694" xr:uid="{8CAEC305-A259-4A23-AA6C-7499FDA7024A}"/>
    <cellStyle name="常规 16" xfId="695" xr:uid="{CF9A8EE7-BD80-412E-B3A5-0393508DE0EC}"/>
    <cellStyle name="常规 16 10" xfId="696" xr:uid="{372A9EE9-4900-4E51-B514-F406E39CAD3A}"/>
    <cellStyle name="常规 16 11" xfId="697" xr:uid="{4868566C-E44F-46E6-9B18-DB3FA74D5859}"/>
    <cellStyle name="常规 16 12" xfId="698" xr:uid="{9AC6F2C9-A549-44C4-8214-4E42B4CADE6F}"/>
    <cellStyle name="常规 16 13" xfId="699" xr:uid="{B4624F6C-37EE-4A2F-AAD9-05A679EEE7FA}"/>
    <cellStyle name="常规 16 2" xfId="700" xr:uid="{44339E3A-FEC5-4985-8436-46D0AAD3E025}"/>
    <cellStyle name="常规 16 3" xfId="701" xr:uid="{8B3CF3DA-1AAC-498F-A9FA-867013DD0D91}"/>
    <cellStyle name="常规 16 3 10" xfId="702" xr:uid="{D52A0B61-1F11-443A-8D8A-F208B3E400B4}"/>
    <cellStyle name="常规 16 3 11" xfId="703" xr:uid="{A551597B-3506-4E9B-A428-ADBE1E12D537}"/>
    <cellStyle name="常规 16 3 12" xfId="704" xr:uid="{5F94D009-5440-4191-839D-BCAD03C51A8F}"/>
    <cellStyle name="常规 16 3 2" xfId="705" xr:uid="{80715D15-C87A-41AA-BA8D-56ABEE0BF75D}"/>
    <cellStyle name="常规 16 3 3" xfId="706" xr:uid="{3791566D-D3DB-4828-94D5-3DB5C3D03AA1}"/>
    <cellStyle name="常规 16 3 4" xfId="707" xr:uid="{93A91261-FF20-469E-B9E2-3EF16B789CC9}"/>
    <cellStyle name="常规 16 3 5" xfId="708" xr:uid="{4DE3C86A-2EFB-41EF-9C3A-33DE54006FA6}"/>
    <cellStyle name="常规 16 3 6" xfId="709" xr:uid="{E48955DD-6D06-4D71-ACCA-D85159F076E1}"/>
    <cellStyle name="常规 16 3 7" xfId="710" xr:uid="{7C9CCB34-44EF-45EA-8D25-70F640999F0B}"/>
    <cellStyle name="常规 16 3 8" xfId="711" xr:uid="{306B80A6-2D54-4068-A75F-F6A480D4592F}"/>
    <cellStyle name="常规 16 3 9" xfId="712" xr:uid="{C9C97D1A-2219-434D-BA58-E4F8620D6E85}"/>
    <cellStyle name="常规 16 4" xfId="713" xr:uid="{46A0D5F7-301C-4BA3-A193-5A532ADF1256}"/>
    <cellStyle name="常规 16 5" xfId="714" xr:uid="{6D77FEB7-0E19-4FC0-932C-CA0DCB1933CB}"/>
    <cellStyle name="常规 16 6" xfId="715" xr:uid="{48234F90-3017-4A75-8A01-D2EC770B0223}"/>
    <cellStyle name="常规 16 7" xfId="716" xr:uid="{BFA61A74-4129-48A6-9B0F-442D17935ECA}"/>
    <cellStyle name="常规 16 8" xfId="717" xr:uid="{2C1D9AD6-F4C3-45D4-8C66-6AD397EFE4B0}"/>
    <cellStyle name="常规 16 9" xfId="718" xr:uid="{6C4FD2FC-529E-464E-A7D9-752ED6C9ED03}"/>
    <cellStyle name="常规 16_2012年5月三算”对比表（珠江新城F1-1)1(1)" xfId="719" xr:uid="{3235B184-40F4-47E5-8C60-5F973F02ED5B}"/>
    <cellStyle name="常规 17" xfId="720" xr:uid="{6025935F-3DF5-4A94-B134-2496C18B4BE9}"/>
    <cellStyle name="常规 17 10" xfId="721" xr:uid="{688B6599-CDE6-429E-BAA2-DBEB483E2ACF}"/>
    <cellStyle name="常规 17 11" xfId="722" xr:uid="{EEB1B477-F803-4848-9713-D124B4AFFEDB}"/>
    <cellStyle name="常规 17 12" xfId="723" xr:uid="{1313D803-4D38-4878-8F3C-C80ECD885E1B}"/>
    <cellStyle name="常规 17 2" xfId="724" xr:uid="{1FB9A403-6D24-4522-AA10-4731E2FC2853}"/>
    <cellStyle name="常规 17 3" xfId="725" xr:uid="{C77B041E-22A6-47AE-8556-7C7B9B480DFB}"/>
    <cellStyle name="常规 17 4" xfId="726" xr:uid="{906AB4C3-E0FA-492E-9E0D-101276BA8937}"/>
    <cellStyle name="常规 17 5" xfId="727" xr:uid="{8ADCC37D-75D1-46CC-8FF2-F8436A6FAF5F}"/>
    <cellStyle name="常规 17 6" xfId="728" xr:uid="{58CA795B-2C0F-4EAC-AF7D-BB99D0651D9E}"/>
    <cellStyle name="常规 17 7" xfId="729" xr:uid="{57050E50-68E7-4E86-B6C3-B9AB76407CF2}"/>
    <cellStyle name="常规 17 8" xfId="730" xr:uid="{0B1487B0-1969-4CB5-A26A-0003E94A8A0B}"/>
    <cellStyle name="常规 17 9" xfId="731" xr:uid="{D0428F17-3B3A-4963-AD5A-58AF814FFCAD}"/>
    <cellStyle name="常规 18" xfId="732" xr:uid="{AF67AB98-6B0A-4EBD-A205-88A21FCBFDF7}"/>
    <cellStyle name="常规 18 10" xfId="733" xr:uid="{C9E56207-5887-46F5-8E6E-7D765FF608FC}"/>
    <cellStyle name="常规 18 11" xfId="734" xr:uid="{9281552D-EDC3-44CA-B2EF-973BB8AC559A}"/>
    <cellStyle name="常规 18 12" xfId="735" xr:uid="{4102DBF2-D198-4B58-8237-3980DF3735A1}"/>
    <cellStyle name="常规 18 2" xfId="736" xr:uid="{A51610B3-BC97-40B7-8764-787DC2E074A3}"/>
    <cellStyle name="常规 18 3" xfId="737" xr:uid="{8B567F0E-2AD3-44ED-8090-B677B7E31746}"/>
    <cellStyle name="常规 18 4" xfId="738" xr:uid="{E3912C6A-64B7-4131-9037-87B3074E1326}"/>
    <cellStyle name="常规 18 5" xfId="739" xr:uid="{138A84AF-9193-4064-AD0E-E11CF613CAC2}"/>
    <cellStyle name="常规 18 6" xfId="740" xr:uid="{A95EF4E5-8DC6-475B-A9A5-59F40A1C0DD5}"/>
    <cellStyle name="常规 18 7" xfId="741" xr:uid="{0E1A81B3-9591-4C9B-A3DA-6F959ADE5D79}"/>
    <cellStyle name="常规 18 8" xfId="742" xr:uid="{72095C6F-A388-407E-9202-F1DF359D054C}"/>
    <cellStyle name="常规 18 9" xfId="743" xr:uid="{24C4995F-8026-4A02-94BE-73401FC5456C}"/>
    <cellStyle name="常规 19" xfId="744" xr:uid="{CBAF8DCF-D488-42EC-9C23-BBB26DCE471D}"/>
    <cellStyle name="常规 19 10" xfId="745" xr:uid="{ED4B3200-5C93-43B2-BA78-5435711F7EAF}"/>
    <cellStyle name="常规 19 11" xfId="746" xr:uid="{3FE4F813-FD9C-4870-8570-C46232E7315F}"/>
    <cellStyle name="常规 19 12" xfId="747" xr:uid="{CF0D9398-B8A6-4247-81B3-D200D1C8C90A}"/>
    <cellStyle name="常规 19 13" xfId="748" xr:uid="{FA9FBD7D-959F-40D2-A4D7-76FBF13DFBD9}"/>
    <cellStyle name="常规 19 2" xfId="749" xr:uid="{ABE5BA79-1A70-4F7C-A881-47096F2CE28B}"/>
    <cellStyle name="常规 19 2 10" xfId="750" xr:uid="{26141DA9-A90F-43D1-899F-1D9A56E62D15}"/>
    <cellStyle name="常规 19 2 11" xfId="751" xr:uid="{D0FA67CF-3EA3-4875-A989-9B882073498B}"/>
    <cellStyle name="常规 19 2 12" xfId="752" xr:uid="{5070B1EB-142B-438F-97CA-17EAEAE3C6B0}"/>
    <cellStyle name="常规 19 2 13" xfId="753" xr:uid="{DDC8FBB6-DD80-404D-829E-7428287FE9AF}"/>
    <cellStyle name="常规 19 2 2" xfId="754" xr:uid="{96435A94-605A-4F70-A9D5-E0F26E7E61A4}"/>
    <cellStyle name="常规 19 2 2 10" xfId="755" xr:uid="{43B2C532-77E5-4AA1-9D9F-B8F86F0EE9DC}"/>
    <cellStyle name="常规 19 2 2 11" xfId="756" xr:uid="{31DDFE9E-2AD8-41C3-AA5F-C46B8BC9F8CB}"/>
    <cellStyle name="常规 19 2 2 12" xfId="757" xr:uid="{48873F92-8AFF-459B-81CC-55D4CCA234B4}"/>
    <cellStyle name="常规 19 2 2 2" xfId="758" xr:uid="{2F099EA4-D34F-47DB-9ADD-2A074CB658D6}"/>
    <cellStyle name="常规 19 2 2 3" xfId="759" xr:uid="{AB05619A-1D64-4FC0-A7E5-0AA13FC97FB6}"/>
    <cellStyle name="常规 19 2 2 4" xfId="760" xr:uid="{C7127801-4013-4D35-A742-F462EF833256}"/>
    <cellStyle name="常规 19 2 2 5" xfId="761" xr:uid="{2E7AE748-9366-4B04-9DF5-DCF270F4A1D7}"/>
    <cellStyle name="常规 19 2 2 6" xfId="762" xr:uid="{75C4F704-E119-4B70-BDDB-2D31CE881322}"/>
    <cellStyle name="常规 19 2 2 7" xfId="763" xr:uid="{1C146986-6C4D-4845-9EA3-0656486B2197}"/>
    <cellStyle name="常规 19 2 2 8" xfId="764" xr:uid="{89EF205A-F999-44F0-A1E1-2C8B0A918762}"/>
    <cellStyle name="常规 19 2 2 9" xfId="765" xr:uid="{7DBDD776-DA5E-4382-BAC9-EFCF4B2DD5E4}"/>
    <cellStyle name="常规 19 2 3" xfId="766" xr:uid="{4C9C6AF3-0396-486F-A4B9-0E0BB01A8009}"/>
    <cellStyle name="常规 19 2 4" xfId="767" xr:uid="{DB1C48CE-710C-4750-A3FE-5DC8A1B6BB5D}"/>
    <cellStyle name="常规 19 2 5" xfId="768" xr:uid="{505FAE6F-B13D-445D-9C12-0309048757E1}"/>
    <cellStyle name="常规 19 2 6" xfId="769" xr:uid="{A5734ED3-2AFC-4778-87DD-E3EC701279BA}"/>
    <cellStyle name="常规 19 2 7" xfId="770" xr:uid="{5AEE7916-0308-463E-A812-FFFE396361BD}"/>
    <cellStyle name="常规 19 2 8" xfId="771" xr:uid="{15F0ACA3-0107-438C-B19B-2CEACF1B9280}"/>
    <cellStyle name="常规 19 2 9" xfId="772" xr:uid="{A0027365-59B8-4E90-B52C-8028FAA83910}"/>
    <cellStyle name="常规 19 3" xfId="773" xr:uid="{0B11F3F9-38AA-4038-B381-410FDCF32EC9}"/>
    <cellStyle name="常规 19 4" xfId="774" xr:uid="{0B525EF6-F74B-4743-A04D-757CBE648152}"/>
    <cellStyle name="常规 19 5" xfId="775" xr:uid="{B4029D14-608F-4BA9-BA8D-34A506C84D5D}"/>
    <cellStyle name="常规 19 6" xfId="776" xr:uid="{A6992593-C6B8-4B26-B80B-8E4CBB3AC77E}"/>
    <cellStyle name="常规 19 7" xfId="777" xr:uid="{32022E74-FA31-400D-BC5F-E4FCFF8DC6C0}"/>
    <cellStyle name="常规 19 8" xfId="778" xr:uid="{21DA65F6-3C83-4F92-9316-4343D3A3DD57}"/>
    <cellStyle name="常规 19 9" xfId="779" xr:uid="{564BD541-1E67-4BF7-8CB0-2623417AE213}"/>
    <cellStyle name="常规 2" xfId="780" xr:uid="{4F2FAD00-D6D6-4C8C-AA56-BCD4CBBD56C5}"/>
    <cellStyle name="常规 2 10" xfId="781" xr:uid="{50AE89B6-CC2D-42E7-99A4-6DDB3313F29D}"/>
    <cellStyle name="常规 2 11" xfId="782" xr:uid="{CFDC25A1-2DC1-46BD-B58C-24987C730C68}"/>
    <cellStyle name="常规 2 2" xfId="783" xr:uid="{A45C7AE5-3689-427F-8A46-F9C812499BBD}"/>
    <cellStyle name="常规 2 2 10" xfId="784" xr:uid="{07D9E3D5-F5B8-40B8-8C90-99EC397B1C71}"/>
    <cellStyle name="常规 2 2 11" xfId="785" xr:uid="{B08E4C2D-57C6-4F78-BBA1-ECA82E5102C0}"/>
    <cellStyle name="常规 2 2 12" xfId="786" xr:uid="{F5464D8F-A46D-4313-AAF4-385488A35CFB}"/>
    <cellStyle name="常规 2 2 13" xfId="787" xr:uid="{A2F8F34F-F268-4064-9DC5-6EBB4C670D8F}"/>
    <cellStyle name="常规 2 2 14" xfId="788" xr:uid="{F0ECCE26-8526-443C-9746-B33D9C9CB822}"/>
    <cellStyle name="常规 2 2 2" xfId="789" xr:uid="{112F4D51-1CCA-4BD8-A625-8EF9C0372FED}"/>
    <cellStyle name="常规 2 2 2 10" xfId="790" xr:uid="{A714E351-8BD5-4255-A4CB-D98725C3A3E8}"/>
    <cellStyle name="常规 2 2 2 11" xfId="791" xr:uid="{8CDDDBAE-CA22-4FF8-A5D7-3AD2629DFD3F}"/>
    <cellStyle name="常规 2 2 2 12" xfId="792" xr:uid="{3740D626-8230-42E0-9082-E504A1FAEFC5}"/>
    <cellStyle name="常规 2 2 2 13" xfId="793" xr:uid="{C2E5AA96-6938-4BA5-A90F-3034C9128A02}"/>
    <cellStyle name="常规 2 2 2 2" xfId="794" xr:uid="{34A73444-0431-4615-8F9B-B0B356DA0C89}"/>
    <cellStyle name="常规 2 2 2 2 10" xfId="795" xr:uid="{8291E57A-ECEA-4F89-BD2E-B19435C934E8}"/>
    <cellStyle name="常规 2 2 2 2 11" xfId="796" xr:uid="{374B4ECB-14AB-4154-8154-90E40EAF31E2}"/>
    <cellStyle name="常规 2 2 2 2 2" xfId="797" xr:uid="{C9CE9FF9-C6A2-4F1D-BC4F-0013949B4D64}"/>
    <cellStyle name="常规 2 2 2 2 3" xfId="798" xr:uid="{E5A2B48D-36F6-411C-A190-5163DEDEA329}"/>
    <cellStyle name="常规 2 2 2 2 4" xfId="799" xr:uid="{0477DC49-544D-4AC3-80BD-3D15D43C44F8}"/>
    <cellStyle name="常规 2 2 2 2 5" xfId="800" xr:uid="{1E208720-1D0C-4DF3-A5BA-2137776A1263}"/>
    <cellStyle name="常规 2 2 2 2 6" xfId="801" xr:uid="{7285191C-19E3-4D63-B0DE-C8117E2E6C9D}"/>
    <cellStyle name="常规 2 2 2 2 7" xfId="802" xr:uid="{C3651453-F256-4104-BA21-2E941D143896}"/>
    <cellStyle name="常规 2 2 2 2 8" xfId="803" xr:uid="{0931CE06-25A7-4E44-9FF0-882081494194}"/>
    <cellStyle name="常规 2 2 2 2 9" xfId="804" xr:uid="{C5D8E367-2297-4572-AA3A-98459D3A3951}"/>
    <cellStyle name="常规 2 2 2 2_2012年5月三算”对比表（珠江新城F1-1)1(1)" xfId="805" xr:uid="{98C2CA4B-4109-4CEA-B318-73C95D428343}"/>
    <cellStyle name="常规 2 2 2 3" xfId="806" xr:uid="{6B4C704B-0064-4BC6-8286-5AA6D29C61BF}"/>
    <cellStyle name="常规 2 2 2 3 10" xfId="807" xr:uid="{7F835022-C82C-4AAE-912D-B3570DD3A037}"/>
    <cellStyle name="常规 2 2 2 3 11" xfId="808" xr:uid="{4A24B7A4-814E-4C18-AEF5-6B3D83D95741}"/>
    <cellStyle name="常规 2 2 2 3 12" xfId="809" xr:uid="{3F972274-AC92-4BC2-8A28-922FEBF02A74}"/>
    <cellStyle name="常规 2 2 2 3 2" xfId="810" xr:uid="{8AC6923C-6480-4545-B5F4-E9AF4997ECBD}"/>
    <cellStyle name="常规 2 2 2 3 3" xfId="811" xr:uid="{8E6471DD-57A9-45EE-9508-486EABAE5EB1}"/>
    <cellStyle name="常规 2 2 2 3 4" xfId="812" xr:uid="{54311926-18F7-48FA-AB62-5CDF24DD4AA3}"/>
    <cellStyle name="常规 2 2 2 3 5" xfId="813" xr:uid="{D552F89E-785E-42AB-8DAF-53F992C1036E}"/>
    <cellStyle name="常规 2 2 2 3 6" xfId="814" xr:uid="{7444103A-E2F7-44F0-A9FE-A939B8087712}"/>
    <cellStyle name="常规 2 2 2 3 7" xfId="815" xr:uid="{BA3B2768-AB70-4C57-9466-A137530D06E4}"/>
    <cellStyle name="常规 2 2 2 3 8" xfId="816" xr:uid="{E3074EA9-CF92-49D6-9FB0-6AF8BBBB23F7}"/>
    <cellStyle name="常规 2 2 2 3 9" xfId="817" xr:uid="{8DC6DDC6-8938-4409-A70C-946C6E6F8077}"/>
    <cellStyle name="常规 2 2 2 4" xfId="818" xr:uid="{F3D6673B-A6A1-4BA6-B6CF-0971889BF101}"/>
    <cellStyle name="常规 2 2 2 5" xfId="819" xr:uid="{03538DCC-2EFE-442D-8F8F-07B94B50B819}"/>
    <cellStyle name="常规 2 2 2 6" xfId="820" xr:uid="{385F4103-2353-41C2-ADE1-7A30D73ED3A1}"/>
    <cellStyle name="常规 2 2 2 7" xfId="821" xr:uid="{BC9E7D52-E56D-4999-81CA-2B3512B6FEC2}"/>
    <cellStyle name="常规 2 2 2 8" xfId="822" xr:uid="{7CFBCDB7-F895-4F9E-8490-CBF6A475598D}"/>
    <cellStyle name="常规 2 2 2 9" xfId="823" xr:uid="{DA76DB57-448E-4EC8-9384-278EF3F8E7B9}"/>
    <cellStyle name="常规 2 2 2_2012年5月三算”对比表（珠江新城F1-1)1(1)" xfId="824" xr:uid="{D5675970-ACBA-4D36-A25F-0C18257F3374}"/>
    <cellStyle name="常规 2 2 3" xfId="825" xr:uid="{F2C61891-53E3-43C6-92C3-4C07922EBCDB}"/>
    <cellStyle name="常规 2 2 3 10" xfId="826" xr:uid="{4FD869A0-49E0-4123-B73D-8C70A6A122B0}"/>
    <cellStyle name="常规 2 2 3 11" xfId="827" xr:uid="{BE391B6F-3C37-495A-89C4-8DF8110A3D58}"/>
    <cellStyle name="常规 2 2 3 12" xfId="828" xr:uid="{9D6EE048-B332-4610-A0E2-D178490F04F5}"/>
    <cellStyle name="常规 2 2 3 13" xfId="829" xr:uid="{4900D39C-CAC5-4194-BB4E-948897547D91}"/>
    <cellStyle name="常规 2 2 3 14" xfId="830" xr:uid="{2D21E7F8-D4EB-41F2-9DA3-08588E38E0F7}"/>
    <cellStyle name="常规 2 2 3 15" xfId="831" xr:uid="{D7F4067F-2E78-4A5F-9858-705C290AA195}"/>
    <cellStyle name="常规 2 2 3 16" xfId="832" xr:uid="{B1F4A360-CF50-405C-A749-E416C7E090F5}"/>
    <cellStyle name="常规 2 2 3 17" xfId="833" xr:uid="{594A3D3C-7880-49B6-8B43-5ACCD11BFDCD}"/>
    <cellStyle name="常规 2 2 3 18" xfId="834" xr:uid="{E857E4D0-D747-471F-89A9-D3D4DE1576B1}"/>
    <cellStyle name="常规 2 2 3 2" xfId="835" xr:uid="{863B3CE7-D1B8-4D83-AAA2-852833CC7DF0}"/>
    <cellStyle name="常规 2 2 3 2 10" xfId="836" xr:uid="{513EB7A3-1EBD-47E6-9FD4-6EEF9EE24AC7}"/>
    <cellStyle name="常规 2 2 3 2 11" xfId="837" xr:uid="{9FFEEDD4-CB4B-478E-8FF6-14B7F5B07FB0}"/>
    <cellStyle name="常规 2 2 3 2 12" xfId="838" xr:uid="{A2FEBDD9-9A53-4723-A30E-D09AB84EA9E6}"/>
    <cellStyle name="常规 2 2 3 2 2" xfId="839" xr:uid="{E6545073-A009-4125-97B9-3F1EE76363B7}"/>
    <cellStyle name="常规 2 2 3 2 3" xfId="840" xr:uid="{F1771247-A687-4A37-B4A2-4FDA1A6B4A02}"/>
    <cellStyle name="常规 2 2 3 2 4" xfId="841" xr:uid="{CF96A7CE-12F7-4959-B59A-45B72126C446}"/>
    <cellStyle name="常规 2 2 3 2 5" xfId="842" xr:uid="{DE372EB4-0555-4789-9D5C-4E838D090311}"/>
    <cellStyle name="常规 2 2 3 2 6" xfId="843" xr:uid="{6F704134-9ED2-4DEC-93B5-0D8C36556355}"/>
    <cellStyle name="常规 2 2 3 2 7" xfId="844" xr:uid="{DB925C86-88DC-4D41-B409-2544B93A67F9}"/>
    <cellStyle name="常规 2 2 3 2 8" xfId="845" xr:uid="{5A498058-6A0D-4167-A656-2CF0F8FDB516}"/>
    <cellStyle name="常规 2 2 3 2 9" xfId="846" xr:uid="{12498F2A-2351-4627-AED8-E25D83D776E1}"/>
    <cellStyle name="常规 2 2 3 3" xfId="847" xr:uid="{87AEE0F0-2054-45AC-A1EC-F55ED6D4E062}"/>
    <cellStyle name="常规 2 2 3 4" xfId="848" xr:uid="{D23F4D42-16F1-4E66-AE4F-E5012DEBBDE5}"/>
    <cellStyle name="常规 2 2 3 5" xfId="849" xr:uid="{691CA401-FA3B-4214-B40B-1D8C4B322DD2}"/>
    <cellStyle name="常规 2 2 3 6" xfId="850" xr:uid="{28A19814-C377-4401-84AF-FC5383307A69}"/>
    <cellStyle name="常规 2 2 3 7" xfId="851" xr:uid="{56591617-61F4-4BF4-A855-619A50E48A02}"/>
    <cellStyle name="常规 2 2 3 8" xfId="852" xr:uid="{7D513E5D-386F-4A3E-987E-FAB76EBA6278}"/>
    <cellStyle name="常规 2 2 3 9" xfId="853" xr:uid="{90AEB400-5CB9-4D24-B194-B1B9923F36F0}"/>
    <cellStyle name="常规 2 2 4" xfId="854" xr:uid="{13B9B9E8-D45E-4F26-9D3D-2633A796DD4B}"/>
    <cellStyle name="常规 2 2 5" xfId="855" xr:uid="{1E362788-7958-4221-B747-259CF498200B}"/>
    <cellStyle name="常规 2 2 6" xfId="856" xr:uid="{F6990589-9242-4029-B13B-289FCA314E85}"/>
    <cellStyle name="常规 2 2 7" xfId="857" xr:uid="{390D814F-3262-4CB4-84E4-619EF8F2B69B}"/>
    <cellStyle name="常规 2 2 8" xfId="858" xr:uid="{85C743C4-C9DC-44F0-989F-4AB3E1993001}"/>
    <cellStyle name="常规 2 2 9" xfId="859" xr:uid="{D2878DB7-79A4-4214-8BC6-733AE7EBB81A}"/>
    <cellStyle name="常规 2 2_2012年5月三算”对比表（珠江新城F1-1)1(1)" xfId="860" xr:uid="{F766F297-644A-45E6-AEC7-AF24741A0D2F}"/>
    <cellStyle name="常规 2 3" xfId="861" xr:uid="{FC380F9A-33D1-4CBF-8BD4-389C22BA37F8}"/>
    <cellStyle name="常规 2 3 10" xfId="862" xr:uid="{8FA52BFA-7564-47AA-8D4C-1B7688E56A57}"/>
    <cellStyle name="常规 2 3 11" xfId="863" xr:uid="{C10DB9EC-547A-42DE-B44F-2C297AE80C91}"/>
    <cellStyle name="常规 2 3 12" xfId="864" xr:uid="{D01B4DA4-FD49-4D2D-B310-3C0B6C1FD8F8}"/>
    <cellStyle name="常规 2 3 2" xfId="865" xr:uid="{3A08A78E-ADA4-4CE8-8DBC-381464FBD30B}"/>
    <cellStyle name="常规 2 3 3" xfId="866" xr:uid="{4B8041E5-55F0-48D8-8343-619AA39B3EA6}"/>
    <cellStyle name="常规 2 3 4" xfId="867" xr:uid="{078BB843-D02C-4CB2-AF9F-FAABA354842A}"/>
    <cellStyle name="常规 2 3 5" xfId="868" xr:uid="{31F1D0B5-8BC5-47EA-B957-E6A54B65A5AB}"/>
    <cellStyle name="常规 2 3 6" xfId="869" xr:uid="{058D3EFC-7592-4E3A-B610-F2563E47C5C2}"/>
    <cellStyle name="常规 2 3 7" xfId="870" xr:uid="{6938277A-3869-4F1E-89A1-4EC77BBCF4F3}"/>
    <cellStyle name="常规 2 3 8" xfId="871" xr:uid="{140D16D0-95A4-466E-BBFD-B6D39E94DEA2}"/>
    <cellStyle name="常规 2 3 9" xfId="872" xr:uid="{02697449-7F9B-4C5A-B493-3EC580E335A2}"/>
    <cellStyle name="常规 2 4" xfId="873" xr:uid="{8B9BC7EB-193F-48DE-918B-E984F210780A}"/>
    <cellStyle name="常规 2 4 10" xfId="874" xr:uid="{80A8CD88-79BE-461F-B696-9E199467F904}"/>
    <cellStyle name="常规 2 4 11" xfId="875" xr:uid="{6E685BA4-6E51-42CD-AD7C-28440EAF31E3}"/>
    <cellStyle name="常规 2 4 12" xfId="876" xr:uid="{A1AD1B4C-D027-490C-8FEF-4DCDE5AFABEB}"/>
    <cellStyle name="常规 2 4 2" xfId="877" xr:uid="{A8C151AC-F9FD-45FD-A9CA-99B30D0D64E0}"/>
    <cellStyle name="常规 2 4 3" xfId="878" xr:uid="{7BB4644D-68C5-4962-B896-DE16FC97B50F}"/>
    <cellStyle name="常规 2 4 4" xfId="879" xr:uid="{12BDF1D1-369C-4B38-A9AB-7275A5D1AD2B}"/>
    <cellStyle name="常规 2 4 5" xfId="880" xr:uid="{7174212E-53EE-4284-A4DC-1E90D7AEADEB}"/>
    <cellStyle name="常规 2 4 6" xfId="881" xr:uid="{551CB49F-F3EA-4380-8170-E4407F673C6E}"/>
    <cellStyle name="常规 2 4 7" xfId="882" xr:uid="{601693DC-DEAE-4F2B-BB62-67B085209EAB}"/>
    <cellStyle name="常规 2 4 8" xfId="883" xr:uid="{742C66D0-FCE8-4E98-996E-6FE7BFAC60CF}"/>
    <cellStyle name="常规 2 4 9" xfId="884" xr:uid="{F14315C5-DF31-449C-947E-45A2CBE3317E}"/>
    <cellStyle name="常规 2 5" xfId="885" xr:uid="{F92B42C2-8F1F-4889-B7C4-1A810BDE99A7}"/>
    <cellStyle name="常规 2 5 10" xfId="886" xr:uid="{6EEABF11-4F77-4733-BC4B-1B6501F2F53B}"/>
    <cellStyle name="常规 2 5 11" xfId="887" xr:uid="{698F6CF2-255F-45F7-9917-22718AECAF6A}"/>
    <cellStyle name="常规 2 5 12" xfId="888" xr:uid="{D7AE012F-9C49-446F-960A-4DD5497C2061}"/>
    <cellStyle name="常规 2 5 2" xfId="889" xr:uid="{B854748B-641C-492A-A91A-656B4987EE5F}"/>
    <cellStyle name="常规 2 5 3" xfId="890" xr:uid="{D446F2C9-2F7D-4139-8E5C-791C5F8C800F}"/>
    <cellStyle name="常规 2 5 4" xfId="891" xr:uid="{ED9690B7-6298-4E08-999F-83EF84E5960D}"/>
    <cellStyle name="常规 2 5 5" xfId="892" xr:uid="{F278BBB5-9271-489D-A9FF-A831ABB40C61}"/>
    <cellStyle name="常规 2 5 6" xfId="893" xr:uid="{7E7F6870-394C-43AC-B7D4-B82D09ED12ED}"/>
    <cellStyle name="常规 2 5 7" xfId="894" xr:uid="{8A387B40-2ECA-4A67-9B82-D4BEB71873D2}"/>
    <cellStyle name="常规 2 5 8" xfId="895" xr:uid="{8777371D-1744-4A37-AD4D-D529BD5286C4}"/>
    <cellStyle name="常规 2 5 9" xfId="896" xr:uid="{0ADD5C0C-F975-4AC2-82B6-BF2187A205BE}"/>
    <cellStyle name="常规 2 57" xfId="897" xr:uid="{EECA312D-3489-42DF-81CC-09B41ADB6059}"/>
    <cellStyle name="常规 2 57 2" xfId="898" xr:uid="{010C50DA-167E-4649-83F1-5EDC9F3635C7}"/>
    <cellStyle name="常规 2 6" xfId="899" xr:uid="{8B328547-FB5F-4412-934C-99758FBBCB08}"/>
    <cellStyle name="常规 2 6 10" xfId="900" xr:uid="{5606E47D-EF55-4446-BF86-C40E40275A92}"/>
    <cellStyle name="常规 2 6 11" xfId="901" xr:uid="{459DCA7A-DF5E-4A10-8F53-23BCC7E1914C}"/>
    <cellStyle name="常规 2 6 12" xfId="902" xr:uid="{C3FFA75A-24DF-40B2-80D1-F93307760E46}"/>
    <cellStyle name="常规 2 6 2" xfId="903" xr:uid="{CD0F15E0-62E6-46B2-BF2A-1A6A9440BB2C}"/>
    <cellStyle name="常规 2 6 3" xfId="904" xr:uid="{77144730-7255-4962-9DAD-43190C753383}"/>
    <cellStyle name="常规 2 6 4" xfId="905" xr:uid="{66996879-577B-462A-B87D-1C524CA70174}"/>
    <cellStyle name="常规 2 6 5" xfId="906" xr:uid="{E4894531-B3D4-48CA-9BED-A68700A476D9}"/>
    <cellStyle name="常规 2 6 6" xfId="907" xr:uid="{28B69412-6925-466E-A724-B7E3C9302CC1}"/>
    <cellStyle name="常规 2 6 7" xfId="908" xr:uid="{3576A2D6-400C-4E82-B400-7D1A8A40BC6C}"/>
    <cellStyle name="常规 2 6 8" xfId="909" xr:uid="{94281664-0515-4D91-BF49-4168F8844A85}"/>
    <cellStyle name="常规 2 6 9" xfId="910" xr:uid="{7FF9499D-760E-4AC3-BDD2-9E206D41BD72}"/>
    <cellStyle name="常规 2 7" xfId="911" xr:uid="{ADD66992-0C19-4059-9C4A-2C1D6949557C}"/>
    <cellStyle name="常规 2 8" xfId="912" xr:uid="{AF6D375C-9B1C-4D34-88E1-0B71DC9D114D}"/>
    <cellStyle name="常规 2 9" xfId="913" xr:uid="{50F33D7C-2E0F-44CC-984A-D1CAD113E41A}"/>
    <cellStyle name="常规 2_2012年5月三算”对比表（珠江新城F1-1)1(1)" xfId="914" xr:uid="{E626E54F-EDF2-49E7-A62A-13EEB059224F}"/>
    <cellStyle name="常规 20" xfId="915" xr:uid="{46B51F63-214F-4BF4-B886-EEFC347AF971}"/>
    <cellStyle name="常规 20 10" xfId="916" xr:uid="{8D48181B-0673-4602-A986-8A7480851AAF}"/>
    <cellStyle name="常规 20 11" xfId="917" xr:uid="{9E9F2A82-00FD-43A3-9E9D-BFC250ED2063}"/>
    <cellStyle name="常规 20 12" xfId="918" xr:uid="{5C28CEB3-9280-4C98-A586-F697AB4D065C}"/>
    <cellStyle name="常规 20 2" xfId="919" xr:uid="{B7030961-7A25-4249-BA15-09C91CB85BA2}"/>
    <cellStyle name="常规 20 3" xfId="920" xr:uid="{85815DF7-1986-4C2B-B4C1-96A0EFC277BB}"/>
    <cellStyle name="常规 20 4" xfId="921" xr:uid="{6674C246-C075-460E-AA38-6A6A3D4E4074}"/>
    <cellStyle name="常规 20 5" xfId="922" xr:uid="{30CFC243-B7EE-421E-BF3A-9F1379771EB7}"/>
    <cellStyle name="常规 20 6" xfId="923" xr:uid="{DDFE7B04-EA08-4595-9A89-022BC348AF2F}"/>
    <cellStyle name="常规 20 7" xfId="924" xr:uid="{C01F8701-0EA4-4E6B-A22A-860D782D2E30}"/>
    <cellStyle name="常规 20 8" xfId="925" xr:uid="{61824618-C058-4021-83FE-76B0B182C84C}"/>
    <cellStyle name="常规 20 9" xfId="926" xr:uid="{183D44A4-D053-48B2-913D-D6B22F0069B7}"/>
    <cellStyle name="常规 21" xfId="927" xr:uid="{EEFB3581-4057-4CE4-AF7B-35920FA5F181}"/>
    <cellStyle name="常规 21 10" xfId="928" xr:uid="{1E3C9197-368A-48F4-AC8E-C6D547928DAC}"/>
    <cellStyle name="常规 21 11" xfId="929" xr:uid="{48854626-3A18-4A86-8B74-21C88F422DB0}"/>
    <cellStyle name="常规 21 12" xfId="930" xr:uid="{931E13DD-EE43-4757-BAB1-79BDFD2F8610}"/>
    <cellStyle name="常规 21 2" xfId="931" xr:uid="{072095DA-B3A8-4079-9E8D-FA5183ED57F8}"/>
    <cellStyle name="常规 21 3" xfId="932" xr:uid="{F75DBE05-BAD6-4A9C-88E0-086138CB33B0}"/>
    <cellStyle name="常规 21 4" xfId="933" xr:uid="{89F381BF-4731-423C-AB27-5F8AFD6C9B23}"/>
    <cellStyle name="常规 21 5" xfId="934" xr:uid="{F6AEE83A-7F38-4A75-B1FB-AFB2F3D8A2E6}"/>
    <cellStyle name="常规 21 6" xfId="935" xr:uid="{E80FB9CD-AC65-4AB1-8CDB-237D9B6D8E2F}"/>
    <cellStyle name="常规 21 7" xfId="936" xr:uid="{9C3364FC-D23C-4390-8691-5F338A56FED2}"/>
    <cellStyle name="常规 21 8" xfId="937" xr:uid="{4177CBB6-C8B5-4AE4-A748-BE2D41FC24CC}"/>
    <cellStyle name="常规 21 9" xfId="938" xr:uid="{68752807-5286-4BB6-A549-84572F53CCC9}"/>
    <cellStyle name="常规 22" xfId="939" xr:uid="{37C47E34-82E5-42BC-9C61-F46B3DFE0B5B}"/>
    <cellStyle name="常规 22 10" xfId="940" xr:uid="{579238A4-013C-4CC6-A222-164E2B20F94D}"/>
    <cellStyle name="常规 22 11" xfId="941" xr:uid="{9BB4663C-CD97-457B-9BEC-A7CF57AF130C}"/>
    <cellStyle name="常规 22 12" xfId="942" xr:uid="{9561D0EC-4EBB-4490-8D68-A5EDD7FE35F4}"/>
    <cellStyle name="常规 22 13" xfId="943" xr:uid="{32CD2FC4-B8B0-47DE-ACDD-367675DC4F08}"/>
    <cellStyle name="常规 22 2" xfId="944" xr:uid="{38237139-049A-4D02-AEF7-CE587B6E070A}"/>
    <cellStyle name="常规 22 2 10" xfId="945" xr:uid="{034AC01E-04EE-4671-8CB4-25008E8E77CE}"/>
    <cellStyle name="常规 22 2 11" xfId="946" xr:uid="{AC2EEF6E-37AC-4A0C-9419-EB3C30A29FD3}"/>
    <cellStyle name="常规 22 2 12" xfId="947" xr:uid="{E6627659-7CDB-441E-BB6A-67EC2764DA48}"/>
    <cellStyle name="常规 22 2 2" xfId="948" xr:uid="{D77AC32D-E9CF-4978-B0C7-5B65AA474695}"/>
    <cellStyle name="常规 22 2 3" xfId="949" xr:uid="{693712DD-4D46-422E-A8C9-5DFDEE0F1A39}"/>
    <cellStyle name="常规 22 2 4" xfId="950" xr:uid="{D9F7C1EE-E8BF-499E-A285-A66BE9205BBD}"/>
    <cellStyle name="常规 22 2 5" xfId="951" xr:uid="{E40A4F86-6D34-42E0-86AB-A0D0A13E5506}"/>
    <cellStyle name="常规 22 2 6" xfId="952" xr:uid="{BE3FBDBE-8659-452E-9E92-BCBDFDE333A9}"/>
    <cellStyle name="常规 22 2 7" xfId="953" xr:uid="{A390637F-DF83-4E77-B2FA-224AE6807DA5}"/>
    <cellStyle name="常规 22 2 8" xfId="954" xr:uid="{79C41F7E-9B1F-4F41-B96C-9C35B339C1A4}"/>
    <cellStyle name="常规 22 2 9" xfId="955" xr:uid="{B233DE24-B853-4EAD-8B3C-FF3173A8C861}"/>
    <cellStyle name="常规 22 3" xfId="956" xr:uid="{B9BFFB2D-BEE0-4422-AE86-A561C00123B5}"/>
    <cellStyle name="常规 22 4" xfId="957" xr:uid="{29255E64-CA3A-4DDE-986F-E4BB66BA07DE}"/>
    <cellStyle name="常规 22 5" xfId="958" xr:uid="{5D4E61C7-5B80-4B80-87AD-1CB262221E85}"/>
    <cellStyle name="常规 22 6" xfId="959" xr:uid="{F4B15A29-F5CF-43B4-8C0B-AAC158D34225}"/>
    <cellStyle name="常规 22 7" xfId="960" xr:uid="{49FCAF39-F7C8-41F0-AEB0-5B89CDEA640A}"/>
    <cellStyle name="常规 22 8" xfId="961" xr:uid="{B3985B2C-4A7B-4132-9584-BD424D4B14D3}"/>
    <cellStyle name="常规 22 9" xfId="962" xr:uid="{91E33179-C72A-454B-A85C-AF4D03854F99}"/>
    <cellStyle name="常规 23" xfId="963" xr:uid="{881D6C55-2C73-4F12-82B6-9335739FA5B7}"/>
    <cellStyle name="常规 23 10" xfId="964" xr:uid="{01DA11F7-05CA-43BE-89BB-01443EA2BE3D}"/>
    <cellStyle name="常规 23 11" xfId="965" xr:uid="{C38AE456-4BA4-4C5F-9959-104E554AAC3C}"/>
    <cellStyle name="常规 23 12" xfId="966" xr:uid="{56268ADB-F044-47D5-AEBF-60402F4E9D71}"/>
    <cellStyle name="常规 23 2" xfId="967" xr:uid="{65A2F7CB-76E2-475D-A2BD-C44A19DA3F4A}"/>
    <cellStyle name="常规 23 3" xfId="968" xr:uid="{2DACC2C4-1535-4A7A-A85E-3F2C73AF5AC9}"/>
    <cellStyle name="常规 23 4" xfId="969" xr:uid="{7423C79D-8414-4F12-84CC-6F4318C0C432}"/>
    <cellStyle name="常规 23 5" xfId="970" xr:uid="{7294CFF8-7C10-4B63-85F0-7FAD238AF5F9}"/>
    <cellStyle name="常规 23 6" xfId="971" xr:uid="{E5659FDD-AFA9-4201-9BEF-B331DE9873EC}"/>
    <cellStyle name="常规 23 7" xfId="972" xr:uid="{3D3C0C52-149F-4B3A-9216-986676FE637B}"/>
    <cellStyle name="常规 23 8" xfId="973" xr:uid="{706ED49C-8D2C-474D-987A-AD68367AF6FB}"/>
    <cellStyle name="常规 23 9" xfId="974" xr:uid="{8D599685-EDA4-451E-8C93-0651BCE16C8D}"/>
    <cellStyle name="常规 24" xfId="975" xr:uid="{8F52B2BD-31F2-420E-B1FD-A1110E5F7856}"/>
    <cellStyle name="常规 24 10" xfId="976" xr:uid="{3C94DA32-3B41-44C9-899C-8DCADF7CEA83}"/>
    <cellStyle name="常规 24 11" xfId="977" xr:uid="{6B1BB643-6717-4F36-A36F-81FCDE00052A}"/>
    <cellStyle name="常规 24 12" xfId="978" xr:uid="{78B89859-D550-4AC8-9E60-2B96F6E0B23A}"/>
    <cellStyle name="常规 24 13" xfId="979" xr:uid="{BDE6EDFE-9C81-4771-B5C1-0520924AA80A}"/>
    <cellStyle name="常规 24 14" xfId="980" xr:uid="{91E341A7-7B66-42D5-A8BC-665E32B27DBB}"/>
    <cellStyle name="常规 24 15" xfId="981" xr:uid="{2A23ED85-DCA8-4DE1-8D8F-800DCF066814}"/>
    <cellStyle name="常规 24 16" xfId="982" xr:uid="{B68E2717-954F-44A5-A05B-6CA48D3D1B62}"/>
    <cellStyle name="常规 24 17" xfId="983" xr:uid="{E43039E8-E098-4131-8B7D-A59A01CF0FF0}"/>
    <cellStyle name="常规 24 18" xfId="984" xr:uid="{9E1E7F5C-F98A-4869-8203-16AE8EB2F4A5}"/>
    <cellStyle name="常规 24 2" xfId="985" xr:uid="{A6A022FF-8DA9-4B70-86A2-618AB7FD0740}"/>
    <cellStyle name="常规 24 3" xfId="986" xr:uid="{56D4B966-7194-46E8-AEE6-69957DF31152}"/>
    <cellStyle name="常规 24 4" xfId="987" xr:uid="{9A5B78D8-7971-4EBC-B43E-1209F044846F}"/>
    <cellStyle name="常规 24 5" xfId="988" xr:uid="{3EFDB9C4-2611-4898-8968-ACF2492C9605}"/>
    <cellStyle name="常规 24 6" xfId="989" xr:uid="{2F80AAED-C5D5-4736-B8AF-EFFA9FE550C0}"/>
    <cellStyle name="常规 24 7" xfId="990" xr:uid="{889097DB-14D7-4E57-84FE-F91F888651E8}"/>
    <cellStyle name="常规 24 8" xfId="991" xr:uid="{4C2BA4D9-3B89-4B02-9154-6E7F9F37A935}"/>
    <cellStyle name="常规 24 9" xfId="992" xr:uid="{C078610B-2673-4EFF-B8B5-93C4CBB39317}"/>
    <cellStyle name="常规 25" xfId="993" xr:uid="{B58A6F9F-59BA-4F5E-A605-F3F2452D089B}"/>
    <cellStyle name="常规 25 10" xfId="994" xr:uid="{80D2C43B-B718-4D5A-BF24-62DDFDF3808F}"/>
    <cellStyle name="常规 25 11" xfId="995" xr:uid="{21773399-8248-4F9D-84B7-515806E9114D}"/>
    <cellStyle name="常规 25 12" xfId="996" xr:uid="{433A622C-A672-4E1D-ABBC-75CF03283B69}"/>
    <cellStyle name="常规 25 2" xfId="997" xr:uid="{0CBB242B-C100-410E-BB82-9E4EE4503CBD}"/>
    <cellStyle name="常规 25 3" xfId="998" xr:uid="{CDE4A12F-0679-4087-99E4-93EDD01B4288}"/>
    <cellStyle name="常规 25 4" xfId="999" xr:uid="{FD39561B-F18D-428E-9C76-0D1C34D0649A}"/>
    <cellStyle name="常规 25 5" xfId="1000" xr:uid="{FB819727-84EF-49BB-80EF-FA831A0E2C25}"/>
    <cellStyle name="常规 25 6" xfId="1001" xr:uid="{0D6A92E2-B896-437C-8613-38D741DD083D}"/>
    <cellStyle name="常规 25 7" xfId="1002" xr:uid="{B240E9F9-34C8-48CE-985A-70800E201FC1}"/>
    <cellStyle name="常规 25 8" xfId="1003" xr:uid="{6B570B2D-1996-4F77-A3EF-CA53ECB543E9}"/>
    <cellStyle name="常规 25 9" xfId="1004" xr:uid="{1B14A82B-AA3C-477A-9E14-6922498475F7}"/>
    <cellStyle name="常规 26" xfId="1005" xr:uid="{73755D7B-BA93-4D06-9E20-11A01F2A979B}"/>
    <cellStyle name="常规 26 10" xfId="1006" xr:uid="{FE297D18-F787-44CE-94A5-3E81296C2578}"/>
    <cellStyle name="常规 26 11" xfId="1007" xr:uid="{FC4B53DE-7579-4E7B-AF5F-35AC8632CF00}"/>
    <cellStyle name="常规 26 12" xfId="1008" xr:uid="{AB8F6760-0F15-4C19-BB07-2D2D003A0F7E}"/>
    <cellStyle name="常规 26 13" xfId="1009" xr:uid="{E3C2EFFA-D0CF-42AC-827C-023F8F039796}"/>
    <cellStyle name="常规 26 2" xfId="1010" xr:uid="{B2F115D6-BA12-495E-9A51-ECB37BF3BDD8}"/>
    <cellStyle name="常规 26 3" xfId="1011" xr:uid="{B31F6E2B-4158-42AD-AE10-F7AE9A558B23}"/>
    <cellStyle name="常规 26 4" xfId="1012" xr:uid="{C66778D6-4EC5-4A0C-A80C-2E0C36756C88}"/>
    <cellStyle name="常规 26 5" xfId="1013" xr:uid="{E817CE12-0CE5-4BEF-921A-3B582E6FA857}"/>
    <cellStyle name="常规 26 5 10" xfId="1014" xr:uid="{29E14C27-FBE0-4A36-87AC-9A7C7D78CF6D}"/>
    <cellStyle name="常规 26 5 11" xfId="1015" xr:uid="{82AE7955-0EA9-4CB3-891A-C12AD5358493}"/>
    <cellStyle name="常规 26 5 12" xfId="1016" xr:uid="{F9FC490D-D93A-42A5-8EA9-46A6E22DE99E}"/>
    <cellStyle name="常规 26 5 2" xfId="1017" xr:uid="{087E7A45-D135-4A87-B539-3DC4E1C83D13}"/>
    <cellStyle name="常规 26 5 3" xfId="1018" xr:uid="{2AEA4C6B-4549-43CC-A355-97215EFAC6DF}"/>
    <cellStyle name="常规 26 5 4" xfId="1019" xr:uid="{F7894619-8E33-49A7-A7E6-757DFA70E6A3}"/>
    <cellStyle name="常规 26 5 5" xfId="1020" xr:uid="{C63ED613-0205-4873-A32F-B113AD969D3E}"/>
    <cellStyle name="常规 26 5 6" xfId="1021" xr:uid="{60077CD9-2885-4A8A-8234-0C5CDE94C936}"/>
    <cellStyle name="常规 26 5 7" xfId="1022" xr:uid="{904C98B1-152D-4558-88F3-B3F0CA1AD92D}"/>
    <cellStyle name="常规 26 5 8" xfId="1023" xr:uid="{CB30F332-F32C-4639-8B7E-EC5E97A2507F}"/>
    <cellStyle name="常规 26 5 9" xfId="1024" xr:uid="{9C592AA9-F63E-4877-AC32-628D4F2034FB}"/>
    <cellStyle name="常规 26 6" xfId="1025" xr:uid="{E1CF4694-AB6A-43C8-AFF7-FB68E2581442}"/>
    <cellStyle name="常规 26 7" xfId="1026" xr:uid="{E94D51B0-07EB-474F-8FCF-C348D2FC4304}"/>
    <cellStyle name="常规 26 8" xfId="1027" xr:uid="{02DBB165-593B-4E3B-9AB0-5EA3757DF231}"/>
    <cellStyle name="常规 26 9" xfId="1028" xr:uid="{27EF87D3-EC4A-40A0-BF87-86783BBBCB38}"/>
    <cellStyle name="常规 27" xfId="1029" xr:uid="{1017AF6A-9F63-4CA5-B89C-B9AC89A7F782}"/>
    <cellStyle name="常规 27 10" xfId="1030" xr:uid="{4E781849-05B5-4692-8C4E-1927997A9B75}"/>
    <cellStyle name="常规 27 11" xfId="1031" xr:uid="{E8CE2544-B8DE-475C-83AF-DC92FAFE9010}"/>
    <cellStyle name="常规 27 12" xfId="1032" xr:uid="{B81BD4AB-4EDF-42EE-8239-0C3E1A481A54}"/>
    <cellStyle name="常规 27 2" xfId="1033" xr:uid="{257FCA9F-4E14-4305-84D4-ED823D5987AA}"/>
    <cellStyle name="常规 27 3" xfId="1034" xr:uid="{64897FB5-AE78-4894-A4B5-BECACE706F37}"/>
    <cellStyle name="常规 27 4" xfId="1035" xr:uid="{A9C9E4B5-B6EA-4335-9F39-6AE0EAF9A34E}"/>
    <cellStyle name="常规 27 5" xfId="1036" xr:uid="{9AA7F993-3656-42C6-A90D-DF567FC25B32}"/>
    <cellStyle name="常规 27 6" xfId="1037" xr:uid="{DD5D2B89-EF17-49AD-9551-6F06368C23C1}"/>
    <cellStyle name="常规 27 7" xfId="1038" xr:uid="{4F21CE0B-5B12-42C1-887A-68798A067B72}"/>
    <cellStyle name="常规 27 8" xfId="1039" xr:uid="{C89160E8-E7DA-4DAD-8F2B-35250454EFB6}"/>
    <cellStyle name="常规 27 9" xfId="1040" xr:uid="{EB2A4E4A-0D87-4A94-8136-48F9DB5F0A88}"/>
    <cellStyle name="常规 28" xfId="1041" xr:uid="{2B8B2BD3-9E9A-4FE5-B606-D3843B56C818}"/>
    <cellStyle name="常规 28 10" xfId="1042" xr:uid="{7EA06B49-1913-4989-A3A9-D02FA600452A}"/>
    <cellStyle name="常规 28 11" xfId="1043" xr:uid="{CDC33F14-747F-4284-B70F-672F1207ED52}"/>
    <cellStyle name="常规 28 12" xfId="1044" xr:uid="{AF63007E-BEC0-47A1-A3E6-E22D0FFE4534}"/>
    <cellStyle name="常规 28 2" xfId="1045" xr:uid="{0C7152A9-C23D-41FE-A596-19E743A5681A}"/>
    <cellStyle name="常规 28 3" xfId="1046" xr:uid="{BDCD08DB-972F-4028-A882-B719F9E55532}"/>
    <cellStyle name="常规 28 4" xfId="1047" xr:uid="{1E95A950-9EFE-4D76-81AF-249309A2BFE1}"/>
    <cellStyle name="常规 28 5" xfId="1048" xr:uid="{1BFC321E-8AF7-4EF8-AC1E-AED3782D6861}"/>
    <cellStyle name="常规 28 6" xfId="1049" xr:uid="{A647E037-564E-4178-9A9A-585B5325B027}"/>
    <cellStyle name="常规 28 7" xfId="1050" xr:uid="{18B1FB3A-E1D1-4D66-97B8-A12399387DDB}"/>
    <cellStyle name="常规 28 8" xfId="1051" xr:uid="{F58D06D1-C791-4578-B6E8-2D6CEB4DD320}"/>
    <cellStyle name="常规 28 9" xfId="1052" xr:uid="{3E5A1E52-E808-4B08-9AEA-BC0182E98C99}"/>
    <cellStyle name="常规 29" xfId="1053" xr:uid="{8BD55040-4731-4F66-B987-9261C55AACE4}"/>
    <cellStyle name="常规 29 10" xfId="1054" xr:uid="{1EAA170C-1491-4519-9659-ACE8C4B7E265}"/>
    <cellStyle name="常规 29 11" xfId="1055" xr:uid="{3780ABD8-A6B4-4D9E-9D68-B607D1D5B318}"/>
    <cellStyle name="常规 29 12" xfId="1056" xr:uid="{F92793F1-C97C-45F4-8682-41DF56FB1DBE}"/>
    <cellStyle name="常规 29 2" xfId="1057" xr:uid="{D9378CC6-173F-4C2A-B4F2-6121B2FC58F4}"/>
    <cellStyle name="常规 29 3" xfId="1058" xr:uid="{12065B46-C03F-4FB7-91E2-AA48B3DE775E}"/>
    <cellStyle name="常规 29 4" xfId="1059" xr:uid="{F30B2A4E-74FC-407B-B2B5-56B729A402D0}"/>
    <cellStyle name="常规 29 5" xfId="1060" xr:uid="{EEB2CB82-1F02-4ABE-A3F2-B2103C8EA818}"/>
    <cellStyle name="常规 29 6" xfId="1061" xr:uid="{5DDD5E87-5FDC-43FB-A1DD-4BC160557DD7}"/>
    <cellStyle name="常规 29 7" xfId="1062" xr:uid="{EE0CD5C2-2197-49E5-BBAE-8FB4DA12091E}"/>
    <cellStyle name="常规 29 8" xfId="1063" xr:uid="{71E683F0-2CBD-4F7E-9DA8-D7CCAEE95C0A}"/>
    <cellStyle name="常规 29 9" xfId="1064" xr:uid="{C4A86E91-AE18-464D-B9DE-023CF5EA9E32}"/>
    <cellStyle name="常规 3" xfId="1065" xr:uid="{23CCDCB0-FF80-4660-9580-52D394EC6C69}"/>
    <cellStyle name="常规 3 10" xfId="1066" xr:uid="{46A426B2-6F48-4F5C-8E4D-A83F362EC7CF}"/>
    <cellStyle name="常规 3 11" xfId="1067" xr:uid="{A5A37A7D-CA45-48A9-B78B-EFB862CA063E}"/>
    <cellStyle name="常规 3 12" xfId="1068" xr:uid="{80FC9877-B812-4DDB-8999-E53B17362EED}"/>
    <cellStyle name="常规 3 13" xfId="1069" xr:uid="{D6ED0A02-811D-48E7-9976-4184D25BE0AA}"/>
    <cellStyle name="常规 3 14" xfId="1070" xr:uid="{9CD81E1A-0195-45DF-B8A5-A3EAF0D0D198}"/>
    <cellStyle name="常规 3 15" xfId="1071" xr:uid="{8857FDBD-E548-427B-BB8F-1B36071A1F48}"/>
    <cellStyle name="常规 3 2" xfId="1072" xr:uid="{EFD24359-ADAC-4145-8E7D-4321E97B44D9}"/>
    <cellStyle name="常规 3 2 10" xfId="1073" xr:uid="{269CDB39-30E6-470C-9878-E3D5732CB4BB}"/>
    <cellStyle name="常规 3 2 11" xfId="1074" xr:uid="{FF2E1C9D-5E36-400D-A2E2-57C989AB9923}"/>
    <cellStyle name="常规 3 2 12" xfId="1075" xr:uid="{3AA29677-35D9-4AF4-8C67-64C2AC4273F4}"/>
    <cellStyle name="常规 3 2 2" xfId="1076" xr:uid="{E915A351-07B7-4172-8E91-C7DB3006EA8A}"/>
    <cellStyle name="常规 3 2 3" xfId="1077" xr:uid="{BB957973-9125-489E-88EB-054E104963B0}"/>
    <cellStyle name="常规 3 2 4" xfId="1078" xr:uid="{CE048157-989C-41AA-A768-7C3FDF83D15F}"/>
    <cellStyle name="常规 3 2 5" xfId="1079" xr:uid="{6D39957D-D56D-4A45-B86E-CBA70F2F8079}"/>
    <cellStyle name="常规 3 2 6" xfId="1080" xr:uid="{B9D02987-A0F5-4A93-A481-600CEF138361}"/>
    <cellStyle name="常规 3 2 7" xfId="1081" xr:uid="{F4FAE032-D355-43AC-BE6C-5A912CFC3F9E}"/>
    <cellStyle name="常规 3 2 8" xfId="1082" xr:uid="{6876E075-B57D-405D-8BDE-2792257B3A8F}"/>
    <cellStyle name="常规 3 2 9" xfId="1083" xr:uid="{407CF174-1217-450E-AF09-CA190DAF1FEE}"/>
    <cellStyle name="常规 3 2_2012年5月三算”对比表（珠江新城F1-1)1(1)" xfId="1084" xr:uid="{31E9633E-776F-46A0-9118-597C0925F4D1}"/>
    <cellStyle name="常规 3 3" xfId="1085" xr:uid="{3F3CD38C-E680-4F0C-AA83-9D8A067C5A44}"/>
    <cellStyle name="常规 3 4" xfId="1086" xr:uid="{7A2D2996-2EEB-49ED-9D4F-FE862BFB6EB3}"/>
    <cellStyle name="常规 3 5" xfId="1087" xr:uid="{31AA0026-4AEB-46B1-87ED-CE41F24FB9E1}"/>
    <cellStyle name="常规 3 6" xfId="1088" xr:uid="{46406015-490D-49F5-B3B0-ECE5E558D51F}"/>
    <cellStyle name="常规 3 7" xfId="1089" xr:uid="{6A13A683-E4AB-459F-880B-90CD7A031397}"/>
    <cellStyle name="常规 3 8" xfId="1090" xr:uid="{C3234AD4-4AF0-4EF8-A1A6-D16EA15D563A}"/>
    <cellStyle name="常规 3 9" xfId="1091" xr:uid="{C60EC287-9D04-4082-93A2-00ACE2762731}"/>
    <cellStyle name="常规 3_2012年5月三算”对比表（珠江新城F1-1)1(1)" xfId="1092" xr:uid="{60CBFC2D-4FAE-4EA7-9BBA-A8F48129D7BB}"/>
    <cellStyle name="常规 30" xfId="1093" xr:uid="{44FEADEC-E780-4FE1-9ACA-117AA71F2786}"/>
    <cellStyle name="常规 31" xfId="1094" xr:uid="{7C661744-55F9-4F4B-B6C2-609D74545970}"/>
    <cellStyle name="常规 32" xfId="1095" xr:uid="{F7D29BAA-2952-4CCA-B7DB-2901ED301809}"/>
    <cellStyle name="常规 33" xfId="1096" xr:uid="{729DFD01-978D-4C86-BB8A-1F315795C1F8}"/>
    <cellStyle name="常规 34" xfId="1097" xr:uid="{9E4A4FC4-52C1-42F8-9839-7C20A33662C1}"/>
    <cellStyle name="常规 35" xfId="1098" xr:uid="{2FDBE8FD-2A09-42B7-813E-E76FA1F5B744}"/>
    <cellStyle name="常规 36" xfId="1099" xr:uid="{FEE4F3CB-56BD-4445-82DD-77A462D298C2}"/>
    <cellStyle name="常规 37" xfId="1100" xr:uid="{121E408D-C13A-4AF4-BF78-6347B6EB32C4}"/>
    <cellStyle name="常规 38" xfId="1101" xr:uid="{5370B010-2AF0-46FC-9894-C13D5FB8F88D}"/>
    <cellStyle name="常规 39" xfId="1102" xr:uid="{C2932774-8CAB-4AA4-A014-124CDB0F3B9A}"/>
    <cellStyle name="常规 4" xfId="1103" xr:uid="{A3216195-BB1E-4710-B60E-61D54603600D}"/>
    <cellStyle name="常规 4 10" xfId="1104" xr:uid="{812D33AD-90E8-4829-93DE-61CC4E3E5BCF}"/>
    <cellStyle name="常规 4 11" xfId="1105" xr:uid="{F313DCEA-F06B-4A85-A34C-09814D68E61A}"/>
    <cellStyle name="常规 4 12" xfId="1106" xr:uid="{351E09D1-4FB7-4E5E-A5A4-496024582092}"/>
    <cellStyle name="常规 4 2" xfId="1107" xr:uid="{E0FBA4FE-9B48-4F6A-BA3E-88742ACD1E0C}"/>
    <cellStyle name="常规 4 3" xfId="1108" xr:uid="{8173501E-ACA3-4C5C-AE7C-7DA5B621CCDA}"/>
    <cellStyle name="常规 4 4" xfId="1109" xr:uid="{8031DF3B-2347-48E6-8738-9C8A2D87D936}"/>
    <cellStyle name="常规 4 5" xfId="1110" xr:uid="{7CE9D93F-C778-41E3-8863-6D26466BC658}"/>
    <cellStyle name="常规 4 6" xfId="1111" xr:uid="{A9516FF9-1C2A-4D46-B906-9E343292FE14}"/>
    <cellStyle name="常规 4 7" xfId="1112" xr:uid="{0EB035F4-03D4-4BD6-9541-D39004FFEA64}"/>
    <cellStyle name="常规 4 8" xfId="1113" xr:uid="{4121EDE2-7333-40CC-8086-EACF3335D1AD}"/>
    <cellStyle name="常规 4 9" xfId="1114" xr:uid="{7D279488-2DFA-430F-A605-8BF7D0931B64}"/>
    <cellStyle name="常规 4_2012年5月三算”对比表（珠江新城F1-1)1(1)" xfId="1115" xr:uid="{36DA9AEE-8FAB-4A1C-B5B0-982A7B5E7501}"/>
    <cellStyle name="常规 40" xfId="1116" xr:uid="{67AA111C-9813-47AC-A606-8647C692B46E}"/>
    <cellStyle name="常规 41" xfId="1117" xr:uid="{4C5D1D32-9D32-4847-80E2-02342FC0E01E}"/>
    <cellStyle name="常规 42" xfId="1118" xr:uid="{BDB62942-EC38-4A91-8E67-BEB560D244F6}"/>
    <cellStyle name="常规 43" xfId="1119" xr:uid="{85C11DE9-26DB-440B-881E-597EF7CE0FAA}"/>
    <cellStyle name="常规 43 2" xfId="1120" xr:uid="{C2231016-F611-4DC4-B82E-FABB94AD7631}"/>
    <cellStyle name="常规 44" xfId="1121" xr:uid="{EBA935A3-1112-48F5-9322-AE520A1D535D}"/>
    <cellStyle name="常规 5" xfId="1122" xr:uid="{F7F826DF-F789-4AA0-A08F-5495FB490259}"/>
    <cellStyle name="常规 5 10" xfId="1123" xr:uid="{C1DBA62F-2AC1-4699-866F-FB24215876D1}"/>
    <cellStyle name="常规 5 11" xfId="1124" xr:uid="{B28EACDD-05B0-4ADD-ACC2-31FA6FD508EC}"/>
    <cellStyle name="常规 5 12" xfId="1125" xr:uid="{A4185D51-EED6-4B6F-A0F8-08386BEF3C78}"/>
    <cellStyle name="常规 5 2" xfId="1126" xr:uid="{928D43F5-B9CD-4A46-9500-DB3E7CBB9F3B}"/>
    <cellStyle name="常规 5 3" xfId="1127" xr:uid="{6B804BC0-978D-453B-89F0-F6A79ED44D78}"/>
    <cellStyle name="常规 5 4" xfId="1128" xr:uid="{45F22C41-7C14-4293-8137-D85DD6866C53}"/>
    <cellStyle name="常规 5 5" xfId="1129" xr:uid="{6310CF79-1EDA-4572-9BE9-E893737CCCEF}"/>
    <cellStyle name="常规 5 6" xfId="1130" xr:uid="{1C9F072A-5E58-4504-B4CA-82B1ADCB9454}"/>
    <cellStyle name="常规 5 7" xfId="1131" xr:uid="{84621DC2-EB53-4BBA-B4BA-E6E7F2CD3BD4}"/>
    <cellStyle name="常规 5 8" xfId="1132" xr:uid="{C11C1207-5A92-4BD3-A89E-CD4EC0F40A2F}"/>
    <cellStyle name="常规 5 9" xfId="1133" xr:uid="{E097BC14-ECF7-4A09-92D0-08D90855C600}"/>
    <cellStyle name="常规 5_2012年5月三算”对比表（珠江新城F1-1)1(1)" xfId="1134" xr:uid="{3E2A2A42-4ABD-4A09-B5D5-FD264E58F691}"/>
    <cellStyle name="常规 5_石油大学工程投标成本测算(土建) 2" xfId="1135" xr:uid="{2577EEB9-D301-46FA-A574-EF2045CA2B1D}"/>
    <cellStyle name="常规 6" xfId="1136" xr:uid="{9F11124D-211D-4299-90A3-DAF58CA2CCD2}"/>
    <cellStyle name="常规 6 10" xfId="1137" xr:uid="{06705E80-4A07-432D-A69C-3407F77B779C}"/>
    <cellStyle name="常规 6 11" xfId="1138" xr:uid="{341271DC-780F-405B-AB01-69106C45546D}"/>
    <cellStyle name="常规 6 12" xfId="1139" xr:uid="{88B16613-CDCF-4994-8C2A-C173B86E28C0}"/>
    <cellStyle name="常规 6 13" xfId="1140" xr:uid="{D56CD5F5-CFEE-42DC-895A-0FCF726032E1}"/>
    <cellStyle name="常规 6 14" xfId="1141" xr:uid="{FFCE6D14-1AFB-4B3D-B9E1-D099FECB8294}"/>
    <cellStyle name="常规 6 2" xfId="1142" xr:uid="{22E72EE1-C231-469D-89FE-27CD3C89E96B}"/>
    <cellStyle name="常规 6 2 10" xfId="1143" xr:uid="{E5D7B5DD-B022-4D86-877A-C7C6CECFC151}"/>
    <cellStyle name="常规 6 2 11" xfId="1144" xr:uid="{B95FE1C1-E00F-4111-8699-48B809A6A84E}"/>
    <cellStyle name="常规 6 2 12" xfId="1145" xr:uid="{271A7CF8-A170-4010-8434-FBCCB266C259}"/>
    <cellStyle name="常规 6 2 2" xfId="1146" xr:uid="{8B68CB81-0E4E-46A3-AD29-C0EFA1555535}"/>
    <cellStyle name="常规 6 2 2 10" xfId="1147" xr:uid="{CBE57C88-8AF8-42F9-995C-781B29707827}"/>
    <cellStyle name="常规 6 2 2 11" xfId="1148" xr:uid="{9B750F04-4EF4-4D9D-9FF3-79BEAD240292}"/>
    <cellStyle name="常规 6 2 2 12" xfId="1149" xr:uid="{976694F0-FCF2-42DF-9210-AEC7080F95AE}"/>
    <cellStyle name="常规 6 2 2 2" xfId="1150" xr:uid="{D093BE1F-48D6-4AF2-BF0E-C5D9CB9A0464}"/>
    <cellStyle name="常规 6 2 2 3" xfId="1151" xr:uid="{8C0B8603-8D2A-4745-9E2E-8CEB53CBC1E4}"/>
    <cellStyle name="常规 6 2 2 4" xfId="1152" xr:uid="{CFCF29AB-C095-416F-905F-EB9E366DE8F0}"/>
    <cellStyle name="常规 6 2 2 5" xfId="1153" xr:uid="{D8D40A69-5DD4-46A0-98B2-37C25CE5C17F}"/>
    <cellStyle name="常规 6 2 2 6" xfId="1154" xr:uid="{5CE407CC-7E9A-4A52-A382-542D5D60B679}"/>
    <cellStyle name="常规 6 2 2 7" xfId="1155" xr:uid="{C1CFAF2C-1C8C-453A-ABB3-943366284E5A}"/>
    <cellStyle name="常规 6 2 2 8" xfId="1156" xr:uid="{5BE15243-9575-4B71-BC67-C5DF2F1205BB}"/>
    <cellStyle name="常规 6 2 2 9" xfId="1157" xr:uid="{39C8EED3-396D-4AD5-8903-E47582EB29B2}"/>
    <cellStyle name="常规 6 2 3" xfId="1158" xr:uid="{DFCFADBF-72CC-408E-B29D-22AC6BD4FC82}"/>
    <cellStyle name="常规 6 2 4" xfId="1159" xr:uid="{7E3EBDEB-8444-43D1-8CEE-A1E3819B9F9C}"/>
    <cellStyle name="常规 6 2 5" xfId="1160" xr:uid="{9761F1ED-5171-48A8-9EDD-CE1D4C132875}"/>
    <cellStyle name="常规 6 2 6" xfId="1161" xr:uid="{FA1265B8-F4E0-49F0-8B9A-402559A28B8C}"/>
    <cellStyle name="常规 6 2 7" xfId="1162" xr:uid="{60676003-2FD2-4378-B2A6-67074A4B5457}"/>
    <cellStyle name="常规 6 2 8" xfId="1163" xr:uid="{17968AD0-6E35-4572-848C-B31731A180DB}"/>
    <cellStyle name="常规 6 2 9" xfId="1164" xr:uid="{11442ED9-AD7C-4D15-A3BC-81C07AE0B6D2}"/>
    <cellStyle name="常规 6 3" xfId="1165" xr:uid="{DCF3BF77-2544-4102-A68B-829825C738E1}"/>
    <cellStyle name="常规 6 3 10" xfId="1166" xr:uid="{DACBA22D-6C85-446A-B2C0-FBC8DD1BCE64}"/>
    <cellStyle name="常规 6 3 11" xfId="1167" xr:uid="{74D2DD32-37DC-4A42-90C3-2DB4B9A53881}"/>
    <cellStyle name="常规 6 3 12" xfId="1168" xr:uid="{48BC95A8-D3C2-4424-BBEF-F2AD7BF5BD02}"/>
    <cellStyle name="常规 6 3 2" xfId="1169" xr:uid="{942CDFBC-4576-4F9B-AA87-D4942007389C}"/>
    <cellStyle name="常规 6 3 3" xfId="1170" xr:uid="{FC08D13F-0A9A-4130-A447-CDEFF55D43D1}"/>
    <cellStyle name="常规 6 3 4" xfId="1171" xr:uid="{37A81D3D-A012-4562-9AD3-2C560EFA2611}"/>
    <cellStyle name="常规 6 3 5" xfId="1172" xr:uid="{C55F6BDA-8975-49C9-A55F-D0B78267512F}"/>
    <cellStyle name="常规 6 3 6" xfId="1173" xr:uid="{E5CF2927-01D5-4C4C-94CB-AEFE9014093E}"/>
    <cellStyle name="常规 6 3 7" xfId="1174" xr:uid="{F1E11027-49FA-4A83-841D-0A496E3D813E}"/>
    <cellStyle name="常规 6 3 8" xfId="1175" xr:uid="{F28561D4-F7A9-4CEF-8AAB-919C8613E31B}"/>
    <cellStyle name="常规 6 3 9" xfId="1176" xr:uid="{FDDC4AD2-50C4-4FE3-975D-8BD7126D1306}"/>
    <cellStyle name="常规 6 4" xfId="1177" xr:uid="{8F7DCF37-62D3-4C84-BDAA-EDFF8BEEBCE9}"/>
    <cellStyle name="常规 6 5" xfId="1178" xr:uid="{BA595FB4-73D0-4332-B856-7971B9149CED}"/>
    <cellStyle name="常规 6 6" xfId="1179" xr:uid="{10E0FEF6-ED6E-4176-B5C7-5D5834C1493C}"/>
    <cellStyle name="常规 6 7" xfId="1180" xr:uid="{531AD12F-FEA8-42F9-87E6-45F5D9D444BB}"/>
    <cellStyle name="常规 6 8" xfId="1181" xr:uid="{3D69C64C-3379-4F91-B9EA-1C8B041BAD55}"/>
    <cellStyle name="常规 6 9" xfId="1182" xr:uid="{47599722-398F-4E2E-AB47-56E2449953DB}"/>
    <cellStyle name="常规 7" xfId="1183" xr:uid="{FBED5AE1-CD61-4DDA-8F87-0CC39E915672}"/>
    <cellStyle name="常规 7 10" xfId="1184" xr:uid="{73886C8D-5475-4B2C-99F2-01BE65DEA1D7}"/>
    <cellStyle name="常规 7 11" xfId="1185" xr:uid="{6DB64F0A-3384-48A1-AA0E-A093EE35B9CD}"/>
    <cellStyle name="常规 7 12" xfId="1186" xr:uid="{9684D812-F5C0-4DB8-9F2C-999FA03715C2}"/>
    <cellStyle name="常规 7 2" xfId="1187" xr:uid="{EAEB831E-4F22-4C8F-B416-2885FF41251B}"/>
    <cellStyle name="常规 7 2 10" xfId="1188" xr:uid="{2532B1D8-5297-4E5E-848E-E683605C2371}"/>
    <cellStyle name="常规 7 2 11" xfId="1189" xr:uid="{AD7ECAEE-FAE7-43B2-A62E-6EFFFD7AFDB1}"/>
    <cellStyle name="常规 7 2 12" xfId="1190" xr:uid="{D8759A84-30F2-4BB6-A8DB-9C2A26BAC140}"/>
    <cellStyle name="常规 7 2 2" xfId="1191" xr:uid="{17F1B3FF-502C-4316-9D33-F314A8D8B332}"/>
    <cellStyle name="常规 7 2 3" xfId="1192" xr:uid="{80A6E1F8-4BD8-420D-9E66-532026D757D3}"/>
    <cellStyle name="常规 7 2 4" xfId="1193" xr:uid="{7398E458-B88D-49CD-93E3-B244C6144A62}"/>
    <cellStyle name="常规 7 2 5" xfId="1194" xr:uid="{D82AA20A-E2F1-4D4F-A9FB-9127E8E317CE}"/>
    <cellStyle name="常规 7 2 6" xfId="1195" xr:uid="{80DBF211-E237-4546-BFB7-E7BD26C6A708}"/>
    <cellStyle name="常规 7 2 7" xfId="1196" xr:uid="{D4416C32-F711-4F20-B11F-05A9563883B3}"/>
    <cellStyle name="常规 7 2 8" xfId="1197" xr:uid="{F7517A50-3712-490C-8E64-D331576458E2}"/>
    <cellStyle name="常规 7 2 9" xfId="1198" xr:uid="{753BE171-E0F3-48F0-A642-862607E0817E}"/>
    <cellStyle name="常规 7 3" xfId="1199" xr:uid="{0A0F61A4-F8FC-4495-AD3C-D10D2528516C}"/>
    <cellStyle name="常规 7 4" xfId="1200" xr:uid="{23004F3E-AFEF-4E31-8CC5-5E02B0C28E04}"/>
    <cellStyle name="常规 7 5" xfId="1201" xr:uid="{C18D2C94-FFE4-4776-9453-0C795E9EB08D}"/>
    <cellStyle name="常规 7 6" xfId="1202" xr:uid="{20FAF35F-5C89-44D4-87B9-64CC675B2D22}"/>
    <cellStyle name="常规 7 7" xfId="1203" xr:uid="{28F5DC68-64A6-4DD3-8D97-83BBE316E019}"/>
    <cellStyle name="常规 7 8" xfId="1204" xr:uid="{1474F83A-0BD8-4368-BAA0-AE9B5E3D4C98}"/>
    <cellStyle name="常规 7 9" xfId="1205" xr:uid="{7D4C0997-33CC-4242-874D-9CCB7EF80304}"/>
    <cellStyle name="常规 8" xfId="1206" xr:uid="{5FA4A895-3E15-438D-B271-D82EF9953C4E}"/>
    <cellStyle name="常规 8 10" xfId="1207" xr:uid="{906B42DC-D827-4581-8F9F-E21C2ECBEBEF}"/>
    <cellStyle name="常规 8 11" xfId="1208" xr:uid="{1FA8907E-F057-45A5-9040-C334DBFF455C}"/>
    <cellStyle name="常规 8 12" xfId="1209" xr:uid="{3EE46ED6-6B48-4F38-B704-89305E667628}"/>
    <cellStyle name="常规 8 2" xfId="1210" xr:uid="{BDF4CC6F-80D7-40C5-8E77-FAD53786B610}"/>
    <cellStyle name="常规 8 2 10" xfId="1211" xr:uid="{FB71B3FE-C267-429C-92DF-AC333B1DC4C7}"/>
    <cellStyle name="常规 8 2 11" xfId="1212" xr:uid="{109E7687-04F3-4892-9833-9F49D6808852}"/>
    <cellStyle name="常规 8 2 12" xfId="1213" xr:uid="{C8C068C1-52C0-46E3-A238-831D502BA627}"/>
    <cellStyle name="常规 8 2 2" xfId="1214" xr:uid="{844C0CE3-A21F-4442-A051-0E9C936644C2}"/>
    <cellStyle name="常规 8 2 3" xfId="1215" xr:uid="{22A151FD-5E2C-421F-AAC8-263826B91F7B}"/>
    <cellStyle name="常规 8 2 4" xfId="1216" xr:uid="{CD6DE47F-F4C0-4601-9C8F-8E251176105E}"/>
    <cellStyle name="常规 8 2 5" xfId="1217" xr:uid="{0ECF98A7-0453-4C17-85C0-984C5307EA08}"/>
    <cellStyle name="常规 8 2 6" xfId="1218" xr:uid="{103BE371-6C74-43F0-A631-0743C2C9F405}"/>
    <cellStyle name="常规 8 2 7" xfId="1219" xr:uid="{F4645787-2B5B-44A5-95CD-D20BC873FCF1}"/>
    <cellStyle name="常规 8 2 8" xfId="1220" xr:uid="{BEDB4DBB-5243-41DC-B309-D023641A3E23}"/>
    <cellStyle name="常规 8 2 9" xfId="1221" xr:uid="{9FA01797-BFF2-4FC2-9C23-87B0A71F97F9}"/>
    <cellStyle name="常规 8 3" xfId="1222" xr:uid="{CA48E4D1-3564-4A26-B8C9-7D1559363B37}"/>
    <cellStyle name="常规 8 4" xfId="1223" xr:uid="{9ED0E268-A8FD-48D7-BC09-58A25ABE448E}"/>
    <cellStyle name="常规 8 5" xfId="1224" xr:uid="{E59A8A6D-DDF9-4BBA-8387-6C8DC7FC4A02}"/>
    <cellStyle name="常规 8 6" xfId="1225" xr:uid="{A311CDB8-0BFC-402E-B46B-1D54B2322CB8}"/>
    <cellStyle name="常规 8 7" xfId="1226" xr:uid="{A03520D2-B852-44B9-85F3-2B37B774066E}"/>
    <cellStyle name="常规 8 8" xfId="1227" xr:uid="{B892A81D-D2A0-4C8A-B695-A4DEA6729F10}"/>
    <cellStyle name="常规 8 9" xfId="1228" xr:uid="{FF28C493-7409-4086-BC2B-A2D2A238AF21}"/>
    <cellStyle name="常规 9" xfId="1229" xr:uid="{DF84C378-5B45-4511-8945-8CA762A619FD}"/>
    <cellStyle name="常规 9 10" xfId="1230" xr:uid="{F9EDBAB6-0D17-467E-AAC6-EE5636518175}"/>
    <cellStyle name="常规 9 11" xfId="1231" xr:uid="{8EDE0839-405B-4115-AE27-902C72903734}"/>
    <cellStyle name="常规 9 12" xfId="1232" xr:uid="{8DBAD804-CC1C-42A3-AE1C-B8E7E3D56EC4}"/>
    <cellStyle name="常规 9 2" xfId="1233" xr:uid="{D345091E-624C-4097-8B61-7FDA90CDAF6D}"/>
    <cellStyle name="常规 9 2 10" xfId="1234" xr:uid="{5E51C0ED-0C60-4B95-B2D7-372300A7F0EC}"/>
    <cellStyle name="常规 9 2 11" xfId="1235" xr:uid="{ED3CDC71-B48E-41CE-B4E8-F0D961100DDE}"/>
    <cellStyle name="常规 9 2 12" xfId="1236" xr:uid="{F1F084E0-2DC8-4C34-88E7-57DB514DB450}"/>
    <cellStyle name="常规 9 2 2" xfId="1237" xr:uid="{7586016C-6275-4DE9-AE6A-120DF24C420B}"/>
    <cellStyle name="常规 9 2 3" xfId="1238" xr:uid="{A9E31BCC-4D25-46D0-AEC1-B01B0AE35C19}"/>
    <cellStyle name="常规 9 2 4" xfId="1239" xr:uid="{D0EED4F4-DB9B-4B6D-9D2A-777859A18858}"/>
    <cellStyle name="常规 9 2 5" xfId="1240" xr:uid="{B6591E0B-839F-4182-8504-685CDE3D9248}"/>
    <cellStyle name="常规 9 2 6" xfId="1241" xr:uid="{1F30AB08-6F11-4DB0-85BE-233B827361DE}"/>
    <cellStyle name="常规 9 2 7" xfId="1242" xr:uid="{13607040-DE4F-4871-A5F1-073226833FDF}"/>
    <cellStyle name="常规 9 2 8" xfId="1243" xr:uid="{9795E238-0965-438B-83E4-F5981FA5214F}"/>
    <cellStyle name="常规 9 2 9" xfId="1244" xr:uid="{53F4AF16-9A76-4097-A2AF-927E89750328}"/>
    <cellStyle name="常规 9 3" xfId="1245" xr:uid="{8C1DD685-209A-49C5-91CE-5AFAE0805357}"/>
    <cellStyle name="常规 9 4" xfId="1246" xr:uid="{6C252BA0-B86A-4812-9DB0-09D110C17890}"/>
    <cellStyle name="常规 9 5" xfId="1247" xr:uid="{DB0381F9-5704-4E6E-B6E8-F172072672D8}"/>
    <cellStyle name="常规 9 6" xfId="1248" xr:uid="{0F84FFB1-09B3-4E58-B3DE-08DE4D9A7C05}"/>
    <cellStyle name="常规 9 7" xfId="1249" xr:uid="{15D87D2D-50E5-4EC7-910D-341B380B1511}"/>
    <cellStyle name="常规 9 8" xfId="1250" xr:uid="{8EC53568-5F8E-414D-9EDD-7CD9B93CEE51}"/>
    <cellStyle name="常规 9 9" xfId="1251" xr:uid="{3E6674D3-951F-4F1D-B971-5E51B09860F1}"/>
    <cellStyle name="常规_1号楼标价分离修改" xfId="1252" xr:uid="{1C43758A-EE42-4C3E-9D63-B0C402BCE987}"/>
    <cellStyle name="常规_5号建筑清单" xfId="1253" xr:uid="{A2DCBDD7-DB00-4AA0-A71B-8AA41C40EDCF}"/>
    <cellStyle name="常规_人工费" xfId="1254" xr:uid="{05A5BE13-1921-4E22-BA88-6098992C63F1}"/>
    <cellStyle name="常规_人工费 2" xfId="1255" xr:uid="{FF147B2F-2A46-4CD5-B3DA-B508D4D75B62}"/>
    <cellStyle name="常规_人工费_1" xfId="1256" xr:uid="{D1F3041C-91FE-4480-A892-2FB6800DA4F7}"/>
    <cellStyle name="常规_淄博客运中心-现场经费090224" xfId="1257" xr:uid="{87A36266-60AD-4D2F-9782-BCA19AB1A725}"/>
    <cellStyle name="超链接 2" xfId="1258" xr:uid="{30BE6E34-A472-4902-A9E4-FBBC4A6447CA}"/>
    <cellStyle name="好 10" xfId="1259" xr:uid="{4CC8A39A-D386-4CEF-B508-4557E141B46B}"/>
    <cellStyle name="好 11" xfId="1260" xr:uid="{E87D55A3-7FDD-4E95-A2E6-CB303E70ADA1}"/>
    <cellStyle name="好 2" xfId="1261" xr:uid="{E64EB6EC-95F5-4E22-BBF0-16E5DF1A2F56}"/>
    <cellStyle name="好 2 10" xfId="1262" xr:uid="{229A1D28-FF3E-4EE1-9913-A53A77A69338}"/>
    <cellStyle name="好 2 11" xfId="1263" xr:uid="{0AB96EC8-D27D-4771-9F02-140977DE884F}"/>
    <cellStyle name="好 2 2" xfId="1264" xr:uid="{3EACA0A3-0399-44BA-9597-71AD8B32CBE1}"/>
    <cellStyle name="好 2 3" xfId="1265" xr:uid="{791D5DAC-AE36-4971-B8ED-5A6974B2062A}"/>
    <cellStyle name="好 2 4" xfId="1266" xr:uid="{E1C99195-60DD-4F35-889C-AF95995131DC}"/>
    <cellStyle name="好 2 5" xfId="1267" xr:uid="{C640E567-5156-4452-8B1F-EF6CBB04F6D5}"/>
    <cellStyle name="好 2 6" xfId="1268" xr:uid="{E1F50E08-90E7-4B45-A805-7DA2CDC3B789}"/>
    <cellStyle name="好 2 7" xfId="1269" xr:uid="{A2D81372-AFF0-4767-B9B7-749FA4B0E205}"/>
    <cellStyle name="好 2 8" xfId="1270" xr:uid="{14994865-14C7-4D88-B7FA-AF3CFDF4C56B}"/>
    <cellStyle name="好 2 9" xfId="1271" xr:uid="{8874499E-2781-4669-9F73-C62627FDDE83}"/>
    <cellStyle name="好 3" xfId="1272" xr:uid="{F24CA396-336F-4294-872A-63B5C9D25328}"/>
    <cellStyle name="好 4" xfId="1273" xr:uid="{9839BA96-5CF8-4898-982B-7EEF6E9AE36A}"/>
    <cellStyle name="好 5" xfId="1274" xr:uid="{3044AF41-9B21-4761-B037-13E6E10C013C}"/>
    <cellStyle name="好 6" xfId="1275" xr:uid="{C807CA58-3C29-47DD-8D39-DAEBC95FACE9}"/>
    <cellStyle name="好 7" xfId="1276" xr:uid="{1BD9CEC4-8E4F-44EC-86C1-0D6075F3CB5B}"/>
    <cellStyle name="好 8" xfId="1277" xr:uid="{4B83A436-6444-47D1-AC7F-4A449B000DDA}"/>
    <cellStyle name="好 9" xfId="1278" xr:uid="{2F49F926-630F-482A-BC55-164A2B5502DA}"/>
    <cellStyle name="好_2012年5月三算”对比表（珠江新城F1-1)1(1)" xfId="1279" xr:uid="{8866D6E6-570D-4ADD-BFC3-019C4BA5824A}"/>
    <cellStyle name="好_成本价格信息数据库数据收集表（月报）" xfId="1280" xr:uid="{BDCA02FA-B500-4ACE-8C28-7A401ADDAE3D}"/>
    <cellStyle name="好_成本价格信息数据库数据收集表（月报） 2" xfId="1281" xr:uid="{C4B7E76A-D585-4B00-A663-EF530009911D}"/>
    <cellStyle name="好_三算对比（2012年8月）" xfId="1282" xr:uid="{BE80D9E1-09FB-459E-B551-6AF1218CD9D6}"/>
    <cellStyle name="好_预计总收入" xfId="1283" xr:uid="{977B3E26-A88C-44A9-94A8-ECD843CC6B6A}"/>
    <cellStyle name="好_珠江新城项目部管理人员表" xfId="1284" xr:uid="{7662D6FE-D2C2-4423-B3D6-FB214E473D25}"/>
    <cellStyle name="汇总 10" xfId="1285" xr:uid="{28EDC0C4-ABF6-4640-AC08-A914B847BF5D}"/>
    <cellStyle name="汇总 11" xfId="1286" xr:uid="{063DF444-CFC3-47E9-B77A-C72E9CB0C364}"/>
    <cellStyle name="汇总 2" xfId="1287" xr:uid="{F2964DB9-B497-4AA3-BBEE-74AACDFA185D}"/>
    <cellStyle name="汇总 2 10" xfId="1288" xr:uid="{C74FE628-A8A9-4343-8E71-8CA42B7D0DB5}"/>
    <cellStyle name="汇总 2 11" xfId="1289" xr:uid="{4D0CAC68-393A-43A1-BEC7-9CFEB5126554}"/>
    <cellStyle name="汇总 2 2" xfId="1290" xr:uid="{C070DBB7-3DCF-457F-B031-E63AF8596AA1}"/>
    <cellStyle name="汇总 2 3" xfId="1291" xr:uid="{9DEB9B60-9B62-4667-8042-85E529B9CDB0}"/>
    <cellStyle name="汇总 2 4" xfId="1292" xr:uid="{B41AF995-D3AA-45D7-BBF2-BAEE318992E5}"/>
    <cellStyle name="汇总 2 5" xfId="1293" xr:uid="{60264C3A-6939-4E02-8765-6DE325B2EC40}"/>
    <cellStyle name="汇总 2 6" xfId="1294" xr:uid="{9B2ECDE7-4BDB-454C-9373-DCA630140444}"/>
    <cellStyle name="汇总 2 7" xfId="1295" xr:uid="{93BD96EE-B1EA-4F3C-93F2-AA07A7D43AC7}"/>
    <cellStyle name="汇总 2 8" xfId="1296" xr:uid="{6662529E-4BE9-497B-9357-08E2B2EC4DC8}"/>
    <cellStyle name="汇总 2 9" xfId="1297" xr:uid="{39EBB115-74BA-4925-ACA6-B118438CC3A3}"/>
    <cellStyle name="汇总 3" xfId="1298" xr:uid="{999D24B6-61F5-42C0-952A-4560173756A8}"/>
    <cellStyle name="汇总 4" xfId="1299" xr:uid="{52081813-2BC1-4609-A55E-A29553FA780B}"/>
    <cellStyle name="汇总 5" xfId="1300" xr:uid="{DE6D63D9-33D8-417D-81B4-1A5812C660AB}"/>
    <cellStyle name="汇总 6" xfId="1301" xr:uid="{A040DA31-3584-4A99-813C-719C2498EF8D}"/>
    <cellStyle name="汇总 7" xfId="1302" xr:uid="{A16ADD9B-1BFD-4365-8237-74F5CF93B9CF}"/>
    <cellStyle name="汇总 8" xfId="1303" xr:uid="{9F5B6DF7-E86A-4DB0-A7C6-59768456CC92}"/>
    <cellStyle name="汇总 9" xfId="1304" xr:uid="{3F98F5B5-53C0-4813-8D1A-6421EF87D610}"/>
    <cellStyle name="计算 10" xfId="1305" xr:uid="{D4909D17-398F-4649-AFF4-EDCEB670D3E5}"/>
    <cellStyle name="计算 11" xfId="1306" xr:uid="{D3847121-B264-4321-A2DA-3D23C395852E}"/>
    <cellStyle name="计算 2" xfId="1307" xr:uid="{C4808B4F-EC90-4634-BDE0-4DB12E6D8FC2}"/>
    <cellStyle name="计算 2 10" xfId="1308" xr:uid="{6154AE9E-3340-4081-A6DA-4E17698B61AA}"/>
    <cellStyle name="计算 2 11" xfId="1309" xr:uid="{42EA9B5C-838B-4555-A53B-500DB4D85C15}"/>
    <cellStyle name="计算 2 2" xfId="1310" xr:uid="{1BAB8557-5058-48C6-869E-E6917D0C6644}"/>
    <cellStyle name="计算 2 3" xfId="1311" xr:uid="{F570AD1A-DDC3-40D4-9F1C-572E38E44D2A}"/>
    <cellStyle name="计算 2 4" xfId="1312" xr:uid="{277F2962-BE12-4C10-B119-64B3FAEE6BEB}"/>
    <cellStyle name="计算 2 5" xfId="1313" xr:uid="{5A2F7F56-35B6-4239-BC0D-EF02C0B9BC61}"/>
    <cellStyle name="计算 2 6" xfId="1314" xr:uid="{85F76E4A-150F-47D1-8EB7-8DC753F45543}"/>
    <cellStyle name="计算 2 7" xfId="1315" xr:uid="{A03E41BA-7209-4183-A9C2-A633694CD478}"/>
    <cellStyle name="计算 2 8" xfId="1316" xr:uid="{60C67AF1-1143-4540-BF66-E2868E9EE1B2}"/>
    <cellStyle name="计算 2 9" xfId="1317" xr:uid="{168C296E-6CA8-433C-A501-8773E725809B}"/>
    <cellStyle name="计算 3" xfId="1318" xr:uid="{C4474EAB-FE0F-4318-AC52-58F5D40201D4}"/>
    <cellStyle name="计算 4" xfId="1319" xr:uid="{599F5A2C-8E6D-439E-A7BB-14AC10D4972B}"/>
    <cellStyle name="计算 5" xfId="1320" xr:uid="{CE60F696-61EE-45C4-9816-5A76EB23BCA4}"/>
    <cellStyle name="计算 6" xfId="1321" xr:uid="{BA40AEDE-4755-4FEA-9CDD-28F2CA43A19B}"/>
    <cellStyle name="计算 7" xfId="1322" xr:uid="{7413A7D6-DFCB-4EE5-B3E9-6DE4BDEF5A22}"/>
    <cellStyle name="计算 8" xfId="1323" xr:uid="{3FBDDE21-FA74-428B-ACE5-EFB0E0725847}"/>
    <cellStyle name="计算 9" xfId="1324" xr:uid="{5BE11A59-AD1E-4326-83B1-CE3F59D1BE16}"/>
    <cellStyle name="检查单元格 10" xfId="1325" xr:uid="{AD92221D-3C5A-4079-87A2-9B32C60F9C95}"/>
    <cellStyle name="检查单元格 11" xfId="1326" xr:uid="{8FC607C4-512D-42FD-B044-12F385B190F2}"/>
    <cellStyle name="检查单元格 2" xfId="1327" xr:uid="{479E7D59-7D6F-4A04-A73E-F043F1DB8A79}"/>
    <cellStyle name="检查单元格 2 10" xfId="1328" xr:uid="{F6E8882D-A73F-4905-8983-54CA19E11B15}"/>
    <cellStyle name="检查单元格 2 11" xfId="1329" xr:uid="{6530F1E9-54C1-4E1B-8F4A-144BBFF66DFF}"/>
    <cellStyle name="检查单元格 2 2" xfId="1330" xr:uid="{DA5DA121-E2E4-4E45-8E68-C86708109330}"/>
    <cellStyle name="检查单元格 2 3" xfId="1331" xr:uid="{D0EF2A46-D372-49B5-B8C6-7132AB66612F}"/>
    <cellStyle name="检查单元格 2 4" xfId="1332" xr:uid="{0DED0AFA-5B87-45EE-9AA3-5BFCECD9922B}"/>
    <cellStyle name="检查单元格 2 5" xfId="1333" xr:uid="{2EB07F53-677C-4A71-9B27-075AC5C8780C}"/>
    <cellStyle name="检查单元格 2 6" xfId="1334" xr:uid="{DA7EB669-4390-4B18-9E75-E3A30F6CED7B}"/>
    <cellStyle name="检查单元格 2 7" xfId="1335" xr:uid="{A58BC8EA-870A-4902-AE69-A5FD6C2C4649}"/>
    <cellStyle name="检查单元格 2 8" xfId="1336" xr:uid="{A70937E1-38BA-4D77-9918-AE80375668CE}"/>
    <cellStyle name="检查单元格 2 9" xfId="1337" xr:uid="{036B7326-AB1F-4023-A6D7-75FE32F9F27B}"/>
    <cellStyle name="检查单元格 3" xfId="1338" xr:uid="{C8756097-29AA-42D6-B40B-21B688E44655}"/>
    <cellStyle name="检查单元格 4" xfId="1339" xr:uid="{60A20920-2C77-41F2-8B5C-D7FF2C68171E}"/>
    <cellStyle name="检查单元格 5" xfId="1340" xr:uid="{78130C46-D44B-4FCB-B878-9BEAD945617E}"/>
    <cellStyle name="检查单元格 6" xfId="1341" xr:uid="{02F8F41D-6A6E-4F31-9467-4BC68183C7A0}"/>
    <cellStyle name="检查单元格 7" xfId="1342" xr:uid="{F8644866-E2C2-4CD3-88DD-E3E8D6B7CEF5}"/>
    <cellStyle name="检查单元格 8" xfId="1343" xr:uid="{E3B33508-7737-465B-BDAA-BA09C384B4DC}"/>
    <cellStyle name="检查单元格 9" xfId="1344" xr:uid="{16882A8E-918C-4874-AB8B-B9A31849184C}"/>
    <cellStyle name="解释性文本 10" xfId="1345" xr:uid="{946B0F82-6E79-46A3-867B-B9931623B2F9}"/>
    <cellStyle name="解释性文本 11" xfId="1346" xr:uid="{C0C45716-60A4-4C59-A8DF-12BE1C671F95}"/>
    <cellStyle name="解释性文本 2" xfId="1347" xr:uid="{CC9ACD54-D0BE-48FF-ADE9-AC8DF9F0C83B}"/>
    <cellStyle name="解释性文本 2 10" xfId="1348" xr:uid="{9843C252-91B5-41A2-8534-4E8916638C77}"/>
    <cellStyle name="解释性文本 2 11" xfId="1349" xr:uid="{77F4041F-270C-41E7-89FE-F30926DFB0FD}"/>
    <cellStyle name="解释性文本 2 2" xfId="1350" xr:uid="{DD7A57F5-681C-467F-B074-232936E82A91}"/>
    <cellStyle name="解释性文本 2 3" xfId="1351" xr:uid="{31FA1227-C3A5-4C2F-B9B6-43C7EDA2C4CB}"/>
    <cellStyle name="解释性文本 2 4" xfId="1352" xr:uid="{39D787F6-F29F-4681-83BF-1C4CD9966965}"/>
    <cellStyle name="解释性文本 2 5" xfId="1353" xr:uid="{769087A0-F427-4072-8368-7AE5ED8D66DB}"/>
    <cellStyle name="解释性文本 2 6" xfId="1354" xr:uid="{57CCFB69-6CD7-4481-AA46-D7C3E5E39BC8}"/>
    <cellStyle name="解释性文本 2 7" xfId="1355" xr:uid="{4DD3FF93-FA18-4EE3-89BE-8DA623827DFD}"/>
    <cellStyle name="解释性文本 2 8" xfId="1356" xr:uid="{77F07A14-5D77-4EA4-B153-DB943F8D8CDB}"/>
    <cellStyle name="解释性文本 2 9" xfId="1357" xr:uid="{75E54E9E-729B-4A0D-9CF3-90F33D8F019A}"/>
    <cellStyle name="解释性文本 3" xfId="1358" xr:uid="{3D22F899-8AAF-4E70-8DE2-455EC3E879FD}"/>
    <cellStyle name="解释性文本 4" xfId="1359" xr:uid="{D09C365B-D72B-4F29-B492-E672430C7042}"/>
    <cellStyle name="解释性文本 5" xfId="1360" xr:uid="{F167297D-BF89-4559-B327-34C5E4849D90}"/>
    <cellStyle name="解释性文本 6" xfId="1361" xr:uid="{F54CDF9A-A3FB-4D4F-80ED-53DFB7378C35}"/>
    <cellStyle name="解释性文本 7" xfId="1362" xr:uid="{E6381164-DBBF-44D2-82C0-B5A59348DCF4}"/>
    <cellStyle name="解释性文本 8" xfId="1363" xr:uid="{D45F6915-D83B-4238-A9A6-804D2C969946}"/>
    <cellStyle name="解释性文本 9" xfId="1364" xr:uid="{10B50036-1BB2-4938-9E1C-01B64492C943}"/>
    <cellStyle name="警告文本 10" xfId="1365" xr:uid="{3CEDE929-D1E5-4482-AF98-B336E978669E}"/>
    <cellStyle name="警告文本 11" xfId="1366" xr:uid="{6045C68A-9C2B-4BCB-9E00-2BD6D2E91D08}"/>
    <cellStyle name="警告文本 2" xfId="1367" xr:uid="{B3935057-97F6-4CCF-8849-043CA80A737A}"/>
    <cellStyle name="警告文本 2 10" xfId="1368" xr:uid="{DFB75337-8464-4D54-9F36-6F309966DBB3}"/>
    <cellStyle name="警告文本 2 11" xfId="1369" xr:uid="{B74EE183-BF04-4ED1-ADAC-831F17CB994A}"/>
    <cellStyle name="警告文本 2 2" xfId="1370" xr:uid="{9203EF62-BB64-4F4A-827C-D73421042412}"/>
    <cellStyle name="警告文本 2 3" xfId="1371" xr:uid="{97552802-FCE8-4259-88F9-C1ED5515D9B9}"/>
    <cellStyle name="警告文本 2 4" xfId="1372" xr:uid="{DCCD34B4-621F-4BBC-A0FB-F93B0742F356}"/>
    <cellStyle name="警告文本 2 5" xfId="1373" xr:uid="{475C4350-9F7E-4F99-BBD1-DE463454FCF1}"/>
    <cellStyle name="警告文本 2 6" xfId="1374" xr:uid="{87E7BD82-8D70-4384-881D-462317010EE5}"/>
    <cellStyle name="警告文本 2 7" xfId="1375" xr:uid="{1CDF3DBC-8611-4BE0-AF90-7AC519BC9753}"/>
    <cellStyle name="警告文本 2 8" xfId="1376" xr:uid="{41A7359A-8D1A-4F79-A791-0318E5A5BB31}"/>
    <cellStyle name="警告文本 2 9" xfId="1377" xr:uid="{FA807B6C-07C9-4D73-8EDF-BF7B81F98F27}"/>
    <cellStyle name="警告文本 3" xfId="1378" xr:uid="{4F2DBF99-F6B6-430E-AA53-25C0C794A069}"/>
    <cellStyle name="警告文本 4" xfId="1379" xr:uid="{041B8FA0-A34F-4409-BC8E-4C1EE696E275}"/>
    <cellStyle name="警告文本 5" xfId="1380" xr:uid="{84263BA1-1CCA-45A9-83A7-FC9AF9E2B93A}"/>
    <cellStyle name="警告文本 6" xfId="1381" xr:uid="{EC2B5734-8CF8-42AE-829B-920DFACD8B39}"/>
    <cellStyle name="警告文本 7" xfId="1382" xr:uid="{6CF64A87-C6CF-4A72-9263-7F8596573CA0}"/>
    <cellStyle name="警告文本 8" xfId="1383" xr:uid="{F771D1FD-6CD9-41B7-BA78-A50E0CF1DC1B}"/>
    <cellStyle name="警告文本 9" xfId="1384" xr:uid="{FF372C9B-1F65-4479-9C3F-D974D50FF804}"/>
    <cellStyle name="链接单元格 10" xfId="1385" xr:uid="{5476F807-3718-44D8-A315-167C23807E60}"/>
    <cellStyle name="链接单元格 11" xfId="1386" xr:uid="{DBFB2E62-6478-4E0B-A073-734AACE8CAF6}"/>
    <cellStyle name="链接单元格 2" xfId="1387" xr:uid="{BC63B54C-5317-4DC4-8E0C-3C8D6C662A1F}"/>
    <cellStyle name="链接单元格 2 10" xfId="1388" xr:uid="{82DE2245-AA95-41ED-B85C-8F79B6410D18}"/>
    <cellStyle name="链接单元格 2 11" xfId="1389" xr:uid="{9E6A61AD-29BA-498E-81DC-CF6B5EA1DEA1}"/>
    <cellStyle name="链接单元格 2 2" xfId="1390" xr:uid="{1C3F46FE-F76B-4C84-8F78-857DFE31E394}"/>
    <cellStyle name="链接单元格 2 3" xfId="1391" xr:uid="{6EB92408-2F5C-4C24-9484-4528A6139AFD}"/>
    <cellStyle name="链接单元格 2 4" xfId="1392" xr:uid="{07471FD7-A571-4A12-A6D5-A593D72BE68E}"/>
    <cellStyle name="链接单元格 2 5" xfId="1393" xr:uid="{2869BF6F-E53C-4960-B3D7-B545F2A01E15}"/>
    <cellStyle name="链接单元格 2 6" xfId="1394" xr:uid="{FA227DEB-C020-4B67-8755-46731328FC3B}"/>
    <cellStyle name="链接单元格 2 7" xfId="1395" xr:uid="{EAB14B81-81AC-4F9B-A799-4A0444E4DF30}"/>
    <cellStyle name="链接单元格 2 8" xfId="1396" xr:uid="{99F4183E-137C-4310-8DD8-55C15611668D}"/>
    <cellStyle name="链接单元格 2 9" xfId="1397" xr:uid="{B1CFA50D-1622-4B91-96BF-E9F224F07E48}"/>
    <cellStyle name="链接单元格 3" xfId="1398" xr:uid="{531C16D9-F264-42F6-8D1F-5E8CEFC5F8F4}"/>
    <cellStyle name="链接单元格 4" xfId="1399" xr:uid="{F3E0AE3A-18BD-4D91-A078-D571E99E914B}"/>
    <cellStyle name="链接单元格 5" xfId="1400" xr:uid="{71D5FB00-8D25-4C5D-BF83-8638972E4D86}"/>
    <cellStyle name="链接单元格 6" xfId="1401" xr:uid="{C3B5C1CB-DD37-48CC-976F-B0445634AAC9}"/>
    <cellStyle name="链接单元格 7" xfId="1402" xr:uid="{CBB82EDC-3E14-4E3B-81D6-A4DBACA1FEB7}"/>
    <cellStyle name="链接单元格 8" xfId="1403" xr:uid="{326660C5-80AB-4517-B7A5-F7AEF848F306}"/>
    <cellStyle name="链接单元格 9" xfId="1404" xr:uid="{32254708-B29D-4592-ACCE-B6714D3F3D58}"/>
    <cellStyle name="寥碟徽_95" xfId="1405" xr:uid="{15BF2DE9-B366-496F-B2A7-200BF5BAA13C}"/>
    <cellStyle name="瘤沥登瘤 臼澜" xfId="1406" xr:uid="{232DB1D8-7AFB-42E5-9BA2-5261A3F80E3D}"/>
    <cellStyle name="霓付 [0]_CODE" xfId="1407" xr:uid="{2DF93112-39D1-4C3E-BC76-00C70FD45264}"/>
    <cellStyle name="霓付_CODE" xfId="1408" xr:uid="{B3FD2D33-D0A6-4F0B-B8C3-8F6D0A5035FD}"/>
    <cellStyle name="烹拳 [0]_CODE" xfId="1409" xr:uid="{BA2E78E6-EDE9-4CEE-9017-EDE08DCF0F45}"/>
    <cellStyle name="烹拳_CODE" xfId="1410" xr:uid="{0CA77534-D8A3-4CE8-A5F8-ECC3FD1B5338}"/>
    <cellStyle name="普通_laroux" xfId="1411" xr:uid="{F474537E-D9FF-4D26-9189-F7DC02C2E2CD}"/>
    <cellStyle name="千分位[0]_laroux" xfId="1412" xr:uid="{756BEFCD-53AA-4F82-B23C-FB4031A61458}"/>
    <cellStyle name="千分位_laroux" xfId="1413" xr:uid="{1132BE84-74B1-4D21-8381-792BE188F47A}"/>
    <cellStyle name="千位[0]_laroux" xfId="1414" xr:uid="{5289136A-993A-41D6-9E61-0FC5D5718297}"/>
    <cellStyle name="千位_laroux" xfId="1415" xr:uid="{CAE0CE97-3E47-481F-A068-8150AB1B1C53}"/>
    <cellStyle name="千位分隔 2" xfId="1416" xr:uid="{6F0D2663-0BAD-4544-BF14-E1E6A4709489}"/>
    <cellStyle name="千位分隔 2 2" xfId="1417" xr:uid="{4822F321-233B-4B44-9835-9B418B350953}"/>
    <cellStyle name="千位分隔 2 2 2" xfId="1418" xr:uid="{48A7A82F-5823-4573-B657-DCCD42ADC54A}"/>
    <cellStyle name="千位分隔 2 3" xfId="1419" xr:uid="{2BC1EAB6-680D-4A5E-802E-18BA0CF49F81}"/>
    <cellStyle name="千位分隔 2 4" xfId="1420" xr:uid="{68584937-6348-42A0-9542-5F0D06A5A1B3}"/>
    <cellStyle name="千位分隔 3" xfId="1421" xr:uid="{CA771B68-D262-4440-8F5C-C8FBD5ECF887}"/>
    <cellStyle name="千位分隔 3 2" xfId="1422" xr:uid="{9826ED9E-9E2C-43A0-9D63-68909ACA6B82}"/>
    <cellStyle name="千位分隔 3 3" xfId="1423" xr:uid="{0FDECB6A-42E6-4C33-9209-7386C35D9BB0}"/>
    <cellStyle name="千位分隔 4" xfId="1424" xr:uid="{22470277-FD32-4A7D-8DD9-BB85A035AA46}"/>
    <cellStyle name="千位分隔 4 2" xfId="1425" xr:uid="{A2DAFB77-9E50-4C64-B10F-9F462A66BA1F}"/>
    <cellStyle name="千位分隔 5" xfId="1426" xr:uid="{743DC16D-9C96-4048-A0B1-814CE6CB9323}"/>
    <cellStyle name="千位分隔 5 2" xfId="1427" xr:uid="{EB82ABF1-D8B6-4ABB-940D-1C1BA119C287}"/>
    <cellStyle name="千位分隔 6" xfId="1428" xr:uid="{8D92BA8C-C57C-418B-9A9B-B8DD3D8C038B}"/>
    <cellStyle name="千位分隔 7" xfId="1429" xr:uid="{AE82F068-D121-4850-A5C7-3958C5BC7D6A}"/>
    <cellStyle name="千位分隔[0] 2" xfId="1430" xr:uid="{E4E8A61F-F243-4871-9BEE-F3681EBE48B1}"/>
    <cellStyle name="钎霖_97狼厘瓷仿ぱ款康拌裙" xfId="1431" xr:uid="{581D78AF-F419-452E-83CC-9763C3AD73F6}"/>
    <cellStyle name="强调文字颜色 1 10" xfId="1432" xr:uid="{7EA24363-8655-4F88-8BA5-E18DC9B3E87C}"/>
    <cellStyle name="强调文字颜色 1 11" xfId="1433" xr:uid="{ED71443B-B34C-4856-AB82-B95667C9FDFE}"/>
    <cellStyle name="强调文字颜色 1 2" xfId="1434" xr:uid="{4F33BDCF-10F6-46D0-BB1B-36D6FD5A897B}"/>
    <cellStyle name="强调文字颜色 1 2 10" xfId="1435" xr:uid="{F4ACB5FE-99B8-4BAC-B49A-8C13887AF1B8}"/>
    <cellStyle name="强调文字颜色 1 2 11" xfId="1436" xr:uid="{45B41016-329A-4F3E-BDBD-F5CE346864B0}"/>
    <cellStyle name="强调文字颜色 1 2 2" xfId="1437" xr:uid="{9C1C03AB-B437-4AD0-B383-7778A33DFC8F}"/>
    <cellStyle name="强调文字颜色 1 2 3" xfId="1438" xr:uid="{13E6D148-3CC9-41E0-B4E6-1D79BA5F8255}"/>
    <cellStyle name="强调文字颜色 1 2 4" xfId="1439" xr:uid="{4DF4C5A6-DD37-4646-AF53-9A6839A1BB66}"/>
    <cellStyle name="强调文字颜色 1 2 5" xfId="1440" xr:uid="{DD89EB47-44F9-4E36-B5EE-FEFC188731EC}"/>
    <cellStyle name="强调文字颜色 1 2 6" xfId="1441" xr:uid="{C7DFAEAA-B872-4FF5-9B32-95ED9FFE56D8}"/>
    <cellStyle name="强调文字颜色 1 2 7" xfId="1442" xr:uid="{5032E99D-23D8-4925-856F-A1880ECC421A}"/>
    <cellStyle name="强调文字颜色 1 2 8" xfId="1443" xr:uid="{D8477B4E-271A-4772-9F52-EAFBB2F3141E}"/>
    <cellStyle name="强调文字颜色 1 2 9" xfId="1444" xr:uid="{836A47D9-D06C-4213-8C5B-E22B3D315560}"/>
    <cellStyle name="强调文字颜色 1 3" xfId="1445" xr:uid="{823965F3-379C-4311-B3B8-5437948F5177}"/>
    <cellStyle name="强调文字颜色 1 4" xfId="1446" xr:uid="{3FA83216-ED9D-4666-8D79-3D7A0EDD2357}"/>
    <cellStyle name="强调文字颜色 1 5" xfId="1447" xr:uid="{4F8A9D7A-4510-4CFE-9DB2-F4971BC5BF73}"/>
    <cellStyle name="强调文字颜色 1 6" xfId="1448" xr:uid="{50A3A054-A64F-4EEB-B215-F10657EF66C2}"/>
    <cellStyle name="强调文字颜色 1 7" xfId="1449" xr:uid="{395D4EEA-3E29-4520-800A-9A4B7CA7B350}"/>
    <cellStyle name="强调文字颜色 1 8" xfId="1450" xr:uid="{D0F03431-85D7-4359-81FD-C739D78F3CB9}"/>
    <cellStyle name="强调文字颜色 1 9" xfId="1451" xr:uid="{F135D34E-845A-4837-AFED-50D9FB782171}"/>
    <cellStyle name="强调文字颜色 2 10" xfId="1452" xr:uid="{8BC32CD0-CA55-429B-BF86-127734BE623D}"/>
    <cellStyle name="强调文字颜色 2 11" xfId="1453" xr:uid="{882E023F-C2E5-4EB9-8797-96924F58CA0B}"/>
    <cellStyle name="强调文字颜色 2 2" xfId="1454" xr:uid="{7AE1388D-16DF-4EDF-BF2B-BFBB6E6BEE37}"/>
    <cellStyle name="强调文字颜色 2 2 10" xfId="1455" xr:uid="{BDB21DFA-283A-4187-ADA5-388A4641FDE8}"/>
    <cellStyle name="强调文字颜色 2 2 11" xfId="1456" xr:uid="{4EAFD47E-7308-4D2A-9EF6-73B819063881}"/>
    <cellStyle name="强调文字颜色 2 2 2" xfId="1457" xr:uid="{CD993B1A-ED92-4761-A73E-D69F366BBB83}"/>
    <cellStyle name="强调文字颜色 2 2 3" xfId="1458" xr:uid="{97F91C24-8C48-43EB-B6D7-4DE2CAF52607}"/>
    <cellStyle name="强调文字颜色 2 2 4" xfId="1459" xr:uid="{51F8F5B0-09A6-4FAB-ACCB-D5C3B634F121}"/>
    <cellStyle name="强调文字颜色 2 2 5" xfId="1460" xr:uid="{89B6B85A-8F8E-4CCC-ADD6-D0A6B8FE6DB4}"/>
    <cellStyle name="强调文字颜色 2 2 6" xfId="1461" xr:uid="{8A1D0A0D-1216-43D6-B69A-354E9901A381}"/>
    <cellStyle name="强调文字颜色 2 2 7" xfId="1462" xr:uid="{A44F5C68-2D81-44D0-B42B-66795A0D1A45}"/>
    <cellStyle name="强调文字颜色 2 2 8" xfId="1463" xr:uid="{C5B66DE0-1130-480A-A521-C8F577791F73}"/>
    <cellStyle name="强调文字颜色 2 2 9" xfId="1464" xr:uid="{90751C6A-6C28-411F-A1BD-468D551D622B}"/>
    <cellStyle name="强调文字颜色 2 3" xfId="1465" xr:uid="{5869DE07-B062-4B59-90E0-223EA1C724B5}"/>
    <cellStyle name="强调文字颜色 2 4" xfId="1466" xr:uid="{5BC57D66-5265-4D55-8AB8-95FFEBD27123}"/>
    <cellStyle name="强调文字颜色 2 5" xfId="1467" xr:uid="{B888F176-0568-4339-8AE2-EE000ED4D976}"/>
    <cellStyle name="强调文字颜色 2 6" xfId="1468" xr:uid="{86F2EC31-77B7-4B1D-94CE-80E31ED8BCF0}"/>
    <cellStyle name="强调文字颜色 2 7" xfId="1469" xr:uid="{0BC0540B-C21E-4D53-ABBD-8C5488A79C31}"/>
    <cellStyle name="强调文字颜色 2 8" xfId="1470" xr:uid="{4AA15476-E69B-44BC-BCC5-2CE86481694C}"/>
    <cellStyle name="强调文字颜色 2 9" xfId="1471" xr:uid="{99C27079-CEA6-4FE2-8C31-6DBBC414D5B4}"/>
    <cellStyle name="强调文字颜色 3 10" xfId="1472" xr:uid="{CE2EE7F6-854B-40BA-829B-56DBA21AD163}"/>
    <cellStyle name="强调文字颜色 3 11" xfId="1473" xr:uid="{0E274632-D037-45E9-A912-ED3BD32439A6}"/>
    <cellStyle name="强调文字颜色 3 2" xfId="1474" xr:uid="{C72817D2-EF86-4762-8121-2A40DFD46B2B}"/>
    <cellStyle name="强调文字颜色 3 2 10" xfId="1475" xr:uid="{261541F0-0D11-4136-B19D-7DE982263B2A}"/>
    <cellStyle name="强调文字颜色 3 2 11" xfId="1476" xr:uid="{991381AE-C495-416B-9BA6-E763AD0C3850}"/>
    <cellStyle name="强调文字颜色 3 2 2" xfId="1477" xr:uid="{BBDB9CC0-AB69-47DB-A94C-102E7917DE5E}"/>
    <cellStyle name="强调文字颜色 3 2 3" xfId="1478" xr:uid="{2F93E65C-A9E1-4E3A-A265-18CF0601B374}"/>
    <cellStyle name="强调文字颜色 3 2 4" xfId="1479" xr:uid="{38B4F64F-767C-42A6-AC2C-317D041FB9E1}"/>
    <cellStyle name="强调文字颜色 3 2 5" xfId="1480" xr:uid="{B891B173-533A-48C5-A4F8-50003F020AF7}"/>
    <cellStyle name="强调文字颜色 3 2 6" xfId="1481" xr:uid="{112F910D-E83F-424D-A019-C7922F89DE27}"/>
    <cellStyle name="强调文字颜色 3 2 7" xfId="1482" xr:uid="{CD56786E-EAA2-466A-81D1-AFC644EBF3D5}"/>
    <cellStyle name="强调文字颜色 3 2 8" xfId="1483" xr:uid="{9A87367E-8785-41AD-9273-6024E5775508}"/>
    <cellStyle name="强调文字颜色 3 2 9" xfId="1484" xr:uid="{A340B377-374E-4D29-9A6D-7F8C714C62FC}"/>
    <cellStyle name="强调文字颜色 3 3" xfId="1485" xr:uid="{259A69C6-755D-4DF2-948B-6634354E7BF6}"/>
    <cellStyle name="强调文字颜色 3 4" xfId="1486" xr:uid="{C2C54A82-1980-4217-892F-4C871A576269}"/>
    <cellStyle name="强调文字颜色 3 5" xfId="1487" xr:uid="{666F03B7-7782-4178-AA0C-01E5CAAB9B60}"/>
    <cellStyle name="强调文字颜色 3 6" xfId="1488" xr:uid="{53DBDEBC-C819-4C19-B483-224730941CD2}"/>
    <cellStyle name="强调文字颜色 3 7" xfId="1489" xr:uid="{6A21167D-6858-4966-A23E-0E4A200DBD13}"/>
    <cellStyle name="强调文字颜色 3 8" xfId="1490" xr:uid="{0AD7EFA9-1DB7-4325-A42B-B4B6E2873707}"/>
    <cellStyle name="强调文字颜色 3 9" xfId="1491" xr:uid="{C1AC4EBA-54A4-42EF-B229-90F2E75840B3}"/>
    <cellStyle name="强调文字颜色 4 10" xfId="1492" xr:uid="{FBBBF60D-B858-4DBD-B6B6-E053295939AD}"/>
    <cellStyle name="强调文字颜色 4 11" xfId="1493" xr:uid="{5638CEAE-DB99-4D2E-86EE-7F9E576B5DD7}"/>
    <cellStyle name="强调文字颜色 4 2" xfId="1494" xr:uid="{D7AD7DE9-B05F-401E-A38C-FA8EC75BA93C}"/>
    <cellStyle name="强调文字颜色 4 2 10" xfId="1495" xr:uid="{079D10DA-398D-41F2-BF52-F5118182C20E}"/>
    <cellStyle name="强调文字颜色 4 2 11" xfId="1496" xr:uid="{2E41130E-8548-4F6E-AAFF-500C1E481984}"/>
    <cellStyle name="强调文字颜色 4 2 2" xfId="1497" xr:uid="{B5102D93-116E-4BFE-A4D3-D70CDD780961}"/>
    <cellStyle name="强调文字颜色 4 2 3" xfId="1498" xr:uid="{28D621C6-5B99-4970-97B4-121AA40A282C}"/>
    <cellStyle name="强调文字颜色 4 2 4" xfId="1499" xr:uid="{F8B5D695-FD40-4AE2-A373-0F22A4A59601}"/>
    <cellStyle name="强调文字颜色 4 2 5" xfId="1500" xr:uid="{BC5DB0C3-1633-4CC8-9679-00B689CF0372}"/>
    <cellStyle name="强调文字颜色 4 2 6" xfId="1501" xr:uid="{C34F306E-4253-4840-BEE6-95B40BF2F8E2}"/>
    <cellStyle name="强调文字颜色 4 2 7" xfId="1502" xr:uid="{A36D62CA-AD52-4D75-92DA-961C0DC69393}"/>
    <cellStyle name="强调文字颜色 4 2 8" xfId="1503" xr:uid="{802FD1A2-EFEA-4C6C-A116-3A85054E4A2C}"/>
    <cellStyle name="强调文字颜色 4 2 9" xfId="1504" xr:uid="{C5877750-21E0-4961-8830-E13995C5AE41}"/>
    <cellStyle name="强调文字颜色 4 3" xfId="1505" xr:uid="{1BB1AFCF-972B-4F1A-BEB0-D80E32D976FC}"/>
    <cellStyle name="强调文字颜色 4 4" xfId="1506" xr:uid="{AF5BCFBE-8215-4AE0-84D6-21D3C081E89A}"/>
    <cellStyle name="强调文字颜色 4 5" xfId="1507" xr:uid="{E9DAF54F-3708-46EE-8E5D-0363FA4882DA}"/>
    <cellStyle name="强调文字颜色 4 6" xfId="1508" xr:uid="{374A4D94-CDEF-4A8F-A218-11220095B981}"/>
    <cellStyle name="强调文字颜色 4 7" xfId="1509" xr:uid="{F9DF5C86-DFAC-4E11-942E-1754F249732F}"/>
    <cellStyle name="强调文字颜色 4 8" xfId="1510" xr:uid="{DB6613A4-5785-43D4-A410-C889619D36E2}"/>
    <cellStyle name="强调文字颜色 4 9" xfId="1511" xr:uid="{62914961-5A74-4713-B019-757A62527C7D}"/>
    <cellStyle name="强调文字颜色 5 10" xfId="1512" xr:uid="{DF0ACA2C-8ADA-446A-BA4B-4E21F2CAFCC6}"/>
    <cellStyle name="强调文字颜色 5 11" xfId="1513" xr:uid="{BC078D59-C777-4562-BE68-E3E6174196AD}"/>
    <cellStyle name="强调文字颜色 5 2" xfId="1514" xr:uid="{CB7187DD-4086-454D-A514-4216D4A0C21A}"/>
    <cellStyle name="强调文字颜色 5 2 10" xfId="1515" xr:uid="{869DFC8A-3CC1-4CA8-93FB-420E7E472660}"/>
    <cellStyle name="强调文字颜色 5 2 11" xfId="1516" xr:uid="{50B463CD-4A16-4F29-91E1-405DF2E8977C}"/>
    <cellStyle name="强调文字颜色 5 2 2" xfId="1517" xr:uid="{9945A354-A28F-41EA-AF5B-E4CBAB4005AB}"/>
    <cellStyle name="强调文字颜色 5 2 3" xfId="1518" xr:uid="{10563611-B596-43DD-9B1C-DF61EB50CDC2}"/>
    <cellStyle name="强调文字颜色 5 2 4" xfId="1519" xr:uid="{2E711F3D-9DD9-4DE9-9E20-08725010B98B}"/>
    <cellStyle name="强调文字颜色 5 2 5" xfId="1520" xr:uid="{7F43B63E-1DC8-4761-BA27-6FD0E8428962}"/>
    <cellStyle name="强调文字颜色 5 2 6" xfId="1521" xr:uid="{8EA6C5BB-AA9B-4D4F-BB42-B8D90DCAE01F}"/>
    <cellStyle name="强调文字颜色 5 2 7" xfId="1522" xr:uid="{9663E6D1-5FBB-4A57-A32A-302B0A6A432A}"/>
    <cellStyle name="强调文字颜色 5 2 8" xfId="1523" xr:uid="{4964E650-FAF0-49D5-9739-820CF09FF99C}"/>
    <cellStyle name="强调文字颜色 5 2 9" xfId="1524" xr:uid="{5538A732-2E77-43A1-8E60-38974765D31B}"/>
    <cellStyle name="强调文字颜色 5 3" xfId="1525" xr:uid="{F8307EB3-B7BA-4DBB-821E-F7CB833AD36B}"/>
    <cellStyle name="强调文字颜色 5 4" xfId="1526" xr:uid="{85568B46-6D0D-46D8-B0FF-929DBECB7093}"/>
    <cellStyle name="强调文字颜色 5 5" xfId="1527" xr:uid="{6CA4068C-F1DC-4E85-A379-43819E474115}"/>
    <cellStyle name="强调文字颜色 5 6" xfId="1528" xr:uid="{BA5BC929-0D69-424B-B614-A13BAD295490}"/>
    <cellStyle name="强调文字颜色 5 7" xfId="1529" xr:uid="{15DA40B5-D043-49C1-B18A-B0C7EA223C6F}"/>
    <cellStyle name="强调文字颜色 5 8" xfId="1530" xr:uid="{5A365385-B868-428C-A3AA-3457E5033085}"/>
    <cellStyle name="强调文字颜色 5 9" xfId="1531" xr:uid="{90D2C8FD-FAEA-43EE-BFBF-425C133CDE4F}"/>
    <cellStyle name="强调文字颜色 6 10" xfId="1532" xr:uid="{02D67807-300E-4B77-BE01-718150D7D245}"/>
    <cellStyle name="强调文字颜色 6 11" xfId="1533" xr:uid="{63E6AABB-0A75-4B70-8FD9-63622A3DBD49}"/>
    <cellStyle name="强调文字颜色 6 2" xfId="1534" xr:uid="{24000702-65AC-4735-B1D9-884029280D87}"/>
    <cellStyle name="强调文字颜色 6 2 10" xfId="1535" xr:uid="{EB09B31D-D8E6-4C06-BDEE-5FA5F335144D}"/>
    <cellStyle name="强调文字颜色 6 2 11" xfId="1536" xr:uid="{F510D661-2A84-4205-92F7-9E0506F61D4F}"/>
    <cellStyle name="强调文字颜色 6 2 2" xfId="1537" xr:uid="{24924132-202A-49D2-A3B4-81CA739009FB}"/>
    <cellStyle name="强调文字颜色 6 2 3" xfId="1538" xr:uid="{DA59F585-6C25-4677-8AA6-9D3A61188912}"/>
    <cellStyle name="强调文字颜色 6 2 4" xfId="1539" xr:uid="{0B1F7205-0E89-4FAF-A0AB-5061A080D756}"/>
    <cellStyle name="强调文字颜色 6 2 5" xfId="1540" xr:uid="{2BF93BFD-10D8-45A1-8088-EBE38D311501}"/>
    <cellStyle name="强调文字颜色 6 2 6" xfId="1541" xr:uid="{11F91B33-E73B-4619-89C7-E2A0B8222953}"/>
    <cellStyle name="强调文字颜色 6 2 7" xfId="1542" xr:uid="{88D76738-0FA4-49D5-BBB1-23F53DDA9B53}"/>
    <cellStyle name="强调文字颜色 6 2 8" xfId="1543" xr:uid="{B6C605E4-6BF3-4C11-908E-6ED07803A4B3}"/>
    <cellStyle name="强调文字颜色 6 2 9" xfId="1544" xr:uid="{D05585A3-2A06-4FB2-931E-DC5970F2607F}"/>
    <cellStyle name="强调文字颜色 6 3" xfId="1545" xr:uid="{F2EBCEEE-8355-40B9-B4D6-A19D924EA3BE}"/>
    <cellStyle name="强调文字颜色 6 4" xfId="1546" xr:uid="{60460E7B-3052-4AA4-BE88-672FC2646C9E}"/>
    <cellStyle name="强调文字颜色 6 5" xfId="1547" xr:uid="{0893E85E-5E39-4C72-9D2D-E4A8ED97602F}"/>
    <cellStyle name="强调文字颜色 6 6" xfId="1548" xr:uid="{93F3A576-D707-4719-8854-87A4005C26FE}"/>
    <cellStyle name="强调文字颜色 6 7" xfId="1549" xr:uid="{65DAB7FE-30A0-433B-8F09-E6E2595D9E83}"/>
    <cellStyle name="强调文字颜色 6 8" xfId="1550" xr:uid="{DB3BF671-7759-4511-B5EE-F200BE65CC64}"/>
    <cellStyle name="强调文字颜色 6 9" xfId="1551" xr:uid="{CE9342A2-37A3-4078-B9AD-8C217B1F0ABB}"/>
    <cellStyle name="鱔 [0]_95" xfId="1552" xr:uid="{57AAA64D-FBC0-424C-AAC4-E4436DB199E3}"/>
    <cellStyle name="鱔_95" xfId="1553" xr:uid="{0335EB51-4FF5-401D-B70A-C6DB86FC6968}"/>
    <cellStyle name="适中 10" xfId="1554" xr:uid="{7A88634F-E86C-4E9B-9D75-DFF3FE2A892B}"/>
    <cellStyle name="适中 11" xfId="1555" xr:uid="{EEF72C80-966F-4645-8BDD-6127C892848F}"/>
    <cellStyle name="适中 2" xfId="1556" xr:uid="{C2D1CF5F-FB12-4364-8A4B-AADBA8425F9B}"/>
    <cellStyle name="适中 2 10" xfId="1557" xr:uid="{8B38AF38-A23A-48A2-99BD-6CE8877F862C}"/>
    <cellStyle name="适中 2 11" xfId="1558" xr:uid="{DD27AE26-5549-4DD3-B738-1EBAD6879AFE}"/>
    <cellStyle name="适中 2 2" xfId="1559" xr:uid="{80E2B0D6-B8F2-46CF-88D5-B6D1FC3D6BD7}"/>
    <cellStyle name="适中 2 3" xfId="1560" xr:uid="{0C954F91-CBA6-4219-A412-6CA09F3BE743}"/>
    <cellStyle name="适中 2 4" xfId="1561" xr:uid="{CA293EAC-A1F4-487E-8807-B6970E83B67C}"/>
    <cellStyle name="适中 2 5" xfId="1562" xr:uid="{0EAB57DE-25C9-4327-9341-F48D5DC70AA2}"/>
    <cellStyle name="适中 2 6" xfId="1563" xr:uid="{E421F6D3-9E4C-4E7B-AAA8-D10E92DFDDD1}"/>
    <cellStyle name="适中 2 7" xfId="1564" xr:uid="{76D860D1-29E4-4157-AACF-FFF7EA257641}"/>
    <cellStyle name="适中 2 8" xfId="1565" xr:uid="{C2BB1301-C434-4E3E-9F0F-DD4FF386C4AD}"/>
    <cellStyle name="适中 2 9" xfId="1566" xr:uid="{05182EFD-1547-4C2D-AB75-D2D20E0F38DE}"/>
    <cellStyle name="适中 3" xfId="1567" xr:uid="{1555413B-46C8-4132-8244-3223FEDD273E}"/>
    <cellStyle name="适中 4" xfId="1568" xr:uid="{87BFC722-EF1C-417E-8E48-426696BC0C54}"/>
    <cellStyle name="适中 5" xfId="1569" xr:uid="{B887D911-9952-4A35-997A-9F877E9DABE5}"/>
    <cellStyle name="适中 6" xfId="1570" xr:uid="{214B4D34-A1C2-4175-875A-AA77674B6039}"/>
    <cellStyle name="适中 7" xfId="1571" xr:uid="{5EF3AF81-21C1-4815-ABF5-572D7C043F74}"/>
    <cellStyle name="适中 8" xfId="1572" xr:uid="{DDE58E5C-320F-4FDC-BF4F-933288A6D398}"/>
    <cellStyle name="适中 9" xfId="1573" xr:uid="{C36923A1-CA1D-48A9-807C-DD030C19F09A}"/>
    <cellStyle name="输出 10" xfId="1574" xr:uid="{E3C20372-8C59-4759-B1D3-29AE2F43C290}"/>
    <cellStyle name="输出 11" xfId="1575" xr:uid="{95DA3B0E-3DAD-4815-9065-686B4EEB7CE8}"/>
    <cellStyle name="输出 2" xfId="1576" xr:uid="{61C612B0-C131-4D4C-9039-A8DB0D314BA0}"/>
    <cellStyle name="输出 2 10" xfId="1577" xr:uid="{891ADF9C-2AA1-4FD1-80D5-8347E43327B7}"/>
    <cellStyle name="输出 2 11" xfId="1578" xr:uid="{FC13FF68-31C0-41AF-88D8-90D418433331}"/>
    <cellStyle name="输出 2 2" xfId="1579" xr:uid="{20A04179-6FBD-44D6-89C7-6567B54475A3}"/>
    <cellStyle name="输出 2 3" xfId="1580" xr:uid="{8B75E74A-BEF9-4DDC-A482-106A37F2340B}"/>
    <cellStyle name="输出 2 4" xfId="1581" xr:uid="{D2F58FC2-96DB-4E00-9F86-CA4627B3D867}"/>
    <cellStyle name="输出 2 5" xfId="1582" xr:uid="{3044C06F-EDF3-4F2E-992D-7D381D724734}"/>
    <cellStyle name="输出 2 6" xfId="1583" xr:uid="{B46E1CBE-BB06-4E98-9A3F-ED3B033E1DA8}"/>
    <cellStyle name="输出 2 7" xfId="1584" xr:uid="{3E87355A-829F-44AF-8220-2747838B9D10}"/>
    <cellStyle name="输出 2 8" xfId="1585" xr:uid="{E8505D93-24A1-44DB-9C36-253E7F2CAB6E}"/>
    <cellStyle name="输出 2 9" xfId="1586" xr:uid="{84A8F2B3-8479-4696-B794-7BD54635BB0B}"/>
    <cellStyle name="输出 3" xfId="1587" xr:uid="{DAAE4464-1EFA-49A3-8F00-AF0EEC047F40}"/>
    <cellStyle name="输出 4" xfId="1588" xr:uid="{E7E29C7A-B267-47E6-A13E-A9B4C928812B}"/>
    <cellStyle name="输出 5" xfId="1589" xr:uid="{781BF340-C8E8-4DA2-9993-EE41B4B19ECF}"/>
    <cellStyle name="输出 6" xfId="1590" xr:uid="{3F1E5AC2-D2E5-4648-86F5-D82587EB452C}"/>
    <cellStyle name="输出 7" xfId="1591" xr:uid="{73CD6773-C233-4B4B-BD38-B60243FBAEB7}"/>
    <cellStyle name="输出 8" xfId="1592" xr:uid="{77C7F10D-6B01-4779-A483-8642984D3B5D}"/>
    <cellStyle name="输出 9" xfId="1593" xr:uid="{1354B6A9-D493-4180-9301-034DCACAAA70}"/>
    <cellStyle name="输入 10" xfId="1594" xr:uid="{16880E61-D426-41E6-A638-E50190603564}"/>
    <cellStyle name="输入 11" xfId="1595" xr:uid="{B3D5D11B-AB6E-4240-ADA1-A33BD3BA8142}"/>
    <cellStyle name="输入 2" xfId="1596" xr:uid="{30925AF4-B035-479B-A9CD-44B83ADDDDEC}"/>
    <cellStyle name="输入 2 10" xfId="1597" xr:uid="{00D20196-E4DA-48EC-9E73-950E26D79988}"/>
    <cellStyle name="输入 2 11" xfId="1598" xr:uid="{EB59BC7F-5F85-4544-8DB1-A2A43421DC7A}"/>
    <cellStyle name="输入 2 2" xfId="1599" xr:uid="{66C73633-25D4-4632-BABE-ADD24A2D5A45}"/>
    <cellStyle name="输入 2 3" xfId="1600" xr:uid="{A927DDD8-08CE-41D8-81A9-B81D3560E7D4}"/>
    <cellStyle name="输入 2 4" xfId="1601" xr:uid="{BCF201E9-7897-41ED-A0DD-219A8B429C90}"/>
    <cellStyle name="输入 2 5" xfId="1602" xr:uid="{00B42C60-D0C6-4DF3-BB1E-1D2B33161440}"/>
    <cellStyle name="输入 2 6" xfId="1603" xr:uid="{4C6E48AB-8658-4051-90B4-0F1EDEA306EA}"/>
    <cellStyle name="输入 2 7" xfId="1604" xr:uid="{52149520-2A4D-4D07-B0B1-06728AF53081}"/>
    <cellStyle name="输入 2 8" xfId="1605" xr:uid="{0F3FEDB2-41CF-4ABD-BFC8-3AF2650F78DD}"/>
    <cellStyle name="输入 2 9" xfId="1606" xr:uid="{3472BC6C-6D0B-4F48-8D8B-C5FD40415BDA}"/>
    <cellStyle name="输入 3" xfId="1607" xr:uid="{A1AE0D3F-D4FE-490A-A3DC-2A66743EDF48}"/>
    <cellStyle name="输入 4" xfId="1608" xr:uid="{798D3CB2-612B-4A30-81C0-31A11F4C6894}"/>
    <cellStyle name="输入 5" xfId="1609" xr:uid="{6A8CC286-4620-4D04-AED7-D5A2ADCBD0AE}"/>
    <cellStyle name="输入 6" xfId="1610" xr:uid="{49D7E1AE-3760-4920-B423-E2D0CE556DBD}"/>
    <cellStyle name="输入 7" xfId="1611" xr:uid="{8236EA29-D925-4EB1-A9E3-1A5AEEBD42BA}"/>
    <cellStyle name="输入 8" xfId="1612" xr:uid="{08C2283B-AD5E-4918-9063-06B7F9DAA0FD}"/>
    <cellStyle name="输入 9" xfId="1613" xr:uid="{640780E1-133C-4334-9E6F-00CB73364EFF}"/>
    <cellStyle name="巍葆 [0]_95" xfId="1614" xr:uid="{E3977E2D-7955-46D0-AD4E-FA8874B13A0E}"/>
    <cellStyle name="巍葆_95" xfId="1615" xr:uid="{9AAB53FF-E7EA-4A16-9A15-6B48B9FC0EA3}"/>
    <cellStyle name="样式 1" xfId="1616" xr:uid="{EDB971DA-F21B-4201-86EA-E384780F6C5A}"/>
    <cellStyle name="样式 1 10" xfId="1617" xr:uid="{E5165D6A-1649-4175-9052-79DB8349BA4C}"/>
    <cellStyle name="样式 1 11" xfId="1618" xr:uid="{905AF1FC-441A-448A-92CF-B0D9E5D50263}"/>
    <cellStyle name="样式 1 12" xfId="1619" xr:uid="{B68834C5-53FF-4CA4-84B6-1E265FC81AC6}"/>
    <cellStyle name="样式 1 2" xfId="1620" xr:uid="{B126103D-B05E-404E-8B33-310A546A1328}"/>
    <cellStyle name="样式 1 3" xfId="1621" xr:uid="{85C1F0F0-E7F6-4267-99CD-A0A22B979FE9}"/>
    <cellStyle name="样式 1 4" xfId="1622" xr:uid="{38507EF3-A8ED-4683-A9DC-94D817707F36}"/>
    <cellStyle name="样式 1 5" xfId="1623" xr:uid="{822688B4-DC09-4758-AC22-BBEAAB3EF5F6}"/>
    <cellStyle name="样式 1 6" xfId="1624" xr:uid="{37178E8F-CE2E-4712-8BEE-ADEC469C22B3}"/>
    <cellStyle name="样式 1 7" xfId="1625" xr:uid="{07E29808-CA11-4EC7-B68F-4A8E6ABAB91A}"/>
    <cellStyle name="样式 1 8" xfId="1626" xr:uid="{2B201219-2422-44D9-AA9C-6D6350F06B0C}"/>
    <cellStyle name="样式 1 9" xfId="1627" xr:uid="{EBB71CA2-B583-4E7E-AF51-3D4FD343C32D}"/>
    <cellStyle name="一般_可成仁愛-預算" xfId="1628" xr:uid="{FCEA6886-DF97-470E-874F-220A254E6049}"/>
    <cellStyle name="昗?_BOOKSHIP" xfId="1629" xr:uid="{3999043E-1767-4577-B370-76C3BB472DC1}"/>
    <cellStyle name="寘嬫愗傝 [0.00]_PRODUCT DETAIL Q1" xfId="1630" xr:uid="{7565D7C1-15C4-4284-AEA4-2989B915358B}"/>
    <cellStyle name="寘嬫愗傝_PRODUCT DETAIL Q1" xfId="1631" xr:uid="{63272067-E7AB-4304-9F7C-8F54AFA99EEE}"/>
    <cellStyle name="注释 10" xfId="1632" xr:uid="{0AF7D65C-719C-49D7-AFD4-FEEDA62498DF}"/>
    <cellStyle name="注释 11" xfId="1633" xr:uid="{CBA581E4-18C8-4F91-A853-4B6979E23823}"/>
    <cellStyle name="注释 2" xfId="1634" xr:uid="{6E3252CC-CE7B-478E-9EA9-2CC71A55752A}"/>
    <cellStyle name="注释 2 10" xfId="1635" xr:uid="{D4A49F4D-56ED-4277-ADF3-C180C2DB2F17}"/>
    <cellStyle name="注释 2 11" xfId="1636" xr:uid="{FBB40BD8-DCD8-4538-9BF6-426126CB8758}"/>
    <cellStyle name="注释 2 2" xfId="1637" xr:uid="{55F5E80F-1270-4CCA-8581-8C119D2A0BF0}"/>
    <cellStyle name="注释 2 3" xfId="1638" xr:uid="{868737CF-AAC5-490F-BE7E-A4CA4864C0CA}"/>
    <cellStyle name="注释 2 4" xfId="1639" xr:uid="{F8BAB604-21AD-43BE-9DBC-8F1B9A6BA4F5}"/>
    <cellStyle name="注释 2 5" xfId="1640" xr:uid="{E999B4AD-1093-461E-997E-1059FAE87839}"/>
    <cellStyle name="注释 2 6" xfId="1641" xr:uid="{9DAAD19C-27CF-484C-BB0C-59645A98A771}"/>
    <cellStyle name="注释 2 7" xfId="1642" xr:uid="{0D8D3942-BC45-42FD-B0D3-FE8A432A7678}"/>
    <cellStyle name="注释 2 8" xfId="1643" xr:uid="{A2CE7931-057D-4782-AD15-9862760B67C5}"/>
    <cellStyle name="注释 2 9" xfId="1644" xr:uid="{1B7337F6-26C8-455B-A237-97322263EA57}"/>
    <cellStyle name="注释 3" xfId="1645" xr:uid="{8A81ECD0-CD01-42A5-A82F-CFCF96F48600}"/>
    <cellStyle name="注释 4" xfId="1646" xr:uid="{B30BE0E2-B667-42D2-BE30-73BDDF65354F}"/>
    <cellStyle name="注释 5" xfId="1647" xr:uid="{014811D0-2701-40E2-9D85-642BFEC13348}"/>
    <cellStyle name="注释 6" xfId="1648" xr:uid="{9CD005A1-D53C-46D3-9392-F48FBE055F39}"/>
    <cellStyle name="注释 7" xfId="1649" xr:uid="{6B783EB4-3F53-450F-AD13-35C863ADC885}"/>
    <cellStyle name="注释 8" xfId="1650" xr:uid="{2D39A8CD-92D7-4919-BAB7-E767489DED85}"/>
    <cellStyle name="注释 9" xfId="1651" xr:uid="{03AE2634-63D4-4C44-BC9B-E082EEE584A8}"/>
  </cellStyles>
  <dxfs count="1">
    <dxf>
      <fill>
        <patternFill patternType="solid">
          <fgColor indexed="64"/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704850</xdr:colOff>
      <xdr:row>0</xdr:row>
      <xdr:rowOff>38100</xdr:rowOff>
    </xdr:from>
    <xdr:to>
      <xdr:col>1</xdr:col>
      <xdr:colOff>1285875</xdr:colOff>
      <xdr:row>2</xdr:row>
      <xdr:rowOff>152400</xdr:rowOff>
    </xdr:to>
    <xdr:pic>
      <xdr:nvPicPr>
        <xdr:cNvPr id="93213" name="图片 1">
          <a:extLst>
            <a:ext uri="{FF2B5EF4-FFF2-40B4-BE49-F238E27FC236}">
              <a16:creationId xmlns:a16="http://schemas.microsoft.com/office/drawing/2014/main" id="{CD5087F6-7CE0-8BC6-9A1D-AEBFD00C90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0" y="38100"/>
          <a:ext cx="5810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011;&#31168;&#20029;/&#35838;&#20214;&#35762;&#35299;/&#19977;&#31639;&#34920;&#35762;&#35299;&#35838;&#20214;/&#19977;&#31639;&#22521;&#35757;&#35838;&#20214;/&#19977;&#31639;&#34920;&#35762;&#35299;&#35838;&#20214;D&#65288;20150515&#65289;/&#23454;&#20363;2&#65306;&#19977;&#31639;&#23545;&#27604;&#65288;2013.9.1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0&#23453;&#40857;&#39033;&#30446;&#9733;&#9733;/01&#21830;&#21153;&#26723;&#26696;&#30418;&#9733;&#9733;/C03&#26631;&#20215;&#20998;&#31163;&#21450;&#21830;&#21153;&#31574;&#21010;/05&#21830;&#21153;&#31574;&#21010;&#20070;/&#21830;&#21153;&#31574;&#21010;&#26126;&#32454;&#34920;&#8212;XXX&#39033;&#30446;(&#35780;&#23457;&#29256;)-2024042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00&#23453;&#40857;&#39033;&#30446;&#9733;&#9733;/01&#21830;&#21153;&#26723;&#26696;&#30418;&#9733;&#9733;/C03&#26631;&#20215;&#20998;&#31163;&#21450;&#21830;&#21153;&#31574;&#21010;/05&#21830;&#21153;&#31574;&#21010;&#20070;/&#21830;&#21153;&#31574;&#21010;&#26126;&#32454;&#34920;&#8212;&#40857;&#23703;&#20154;&#25165;&#23433;&#23621;&#28698;&#40857;&#33489;&#39033;&#30446;(&#35780;&#23457;&#29256;)-2024042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XWork/1688851920882699/Cache/File/2024-04/&#21830;&#21153;&#31574;&#21010;&#26126;&#32454;&#34920;&#8212;&#40857;&#23703;&#20154;&#25165;&#23433;&#23621;&#28698;&#40857;&#33489;&#39033;&#30446;&#21281;&#24039;&#2403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WXWork/1688851920882699/Cache/File/2024-04/&#35199;&#20065;&#23458;&#36816;&#31449;&#39033;&#30446;&#21830;&#21153;&#31574;&#21010;&#200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工程项目收入及成本计划平衡表"/>
      <sheetName val="本期分析及总结"/>
      <sheetName val="汇总表"/>
      <sheetName val="人工费"/>
      <sheetName val="材料费"/>
      <sheetName val="机械费"/>
      <sheetName val="专业分包费"/>
      <sheetName val="周转料具"/>
      <sheetName val="安全文明施工费"/>
      <sheetName val="施工措施费"/>
      <sheetName val="现场经费 "/>
      <sheetName val="管理费、利润、规费、税金"/>
      <sheetName val="让利"/>
      <sheetName val="指定分包"/>
      <sheetName val="总包服务费"/>
      <sheetName val="其它"/>
      <sheetName val="开源效益"/>
      <sheetName val="合同累计收入"/>
      <sheetName val="合同总收入调整"/>
      <sheetName val="工资计算表"/>
      <sheetName val="远程补贴误餐补贴"/>
      <sheetName val="交通"/>
      <sheetName val="临时工工资"/>
    </sheetNames>
    <sheetDataSet>
      <sheetData sheetId="0"/>
      <sheetData sheetId="1"/>
      <sheetData sheetId="2"/>
      <sheetData sheetId="3"/>
      <sheetData sheetId="4">
        <row r="2">
          <cell r="A2" t="str">
            <v>工程名称：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土方侧壁回填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务策划汇总表"/>
      <sheetName val="商务策划清单明细表"/>
      <sheetName val="1.1土方侧壁回填"/>
      <sheetName val="1.2砖胎膜材料优化"/>
      <sheetName val="1.3直螺纹连接优化"/>
      <sheetName val="1.4铝模深化修改外墙结构"/>
      <sheetName val="1.5铝模深化修改二次结构 "/>
      <sheetName val="1.6铝模深化优化装饰做法 "/>
      <sheetName val="1.7承台模板优化 "/>
      <sheetName val="1.8天棚JS取消 "/>
      <sheetName val="1.9防水做法优化 "/>
      <sheetName val="1.10天然石粉 "/>
      <sheetName val="1.11楼梯间踢脚工艺优化 "/>
      <sheetName val="1.1417层外凸板优化 "/>
      <sheetName val="1.15钢筋翻样优化 "/>
      <sheetName val="1.16装配式构件 "/>
      <sheetName val="1.17屋面结构变更 "/>
      <sheetName val="1.18涂料施工说明变更 "/>
      <sheetName val="1.19混凝土标号修正 "/>
      <sheetName val="1.20陶粒混凝土做法优化 "/>
      <sheetName val="2.1材料堆场永临结合"/>
      <sheetName val="2.2塔吊基础与筏板重叠"/>
      <sheetName val="2.3施工电梯基础优化"/>
      <sheetName val="2.4材料堆场受力复核"/>
      <sheetName val="2.6临建周期缩短"/>
      <sheetName val="2.7土方标高优化"/>
      <sheetName val="2.8止水螺杆"/>
      <sheetName val="2.9外墙腻子穿插施工"/>
      <sheetName val="2.10屋面做法优化"/>
      <sheetName val="2.11建筑地面做法优化"/>
      <sheetName val="2.12保温砂浆墙面"/>
      <sheetName val="2.13地坪漆做法优化"/>
      <sheetName val="2.14首层~5层落地式脚手架"/>
      <sheetName val="2.15屋面防护架"/>
      <sheetName val="2.16吊篮方案优化"/>
      <sheetName val="2.18涂料施工优化"/>
      <sheetName val="4.2电渣压力焊修改为直螺纹套筒"/>
      <sheetName val="4.15前期工期补偿"/>
      <sheetName val="01品牌策划佐证"/>
      <sheetName val="02防火漆策划"/>
      <sheetName val="03铝模深化开槽策划"/>
      <sheetName val="04室外排水管道品牌策划"/>
      <sheetName val="06高低压配电图纸策划"/>
      <sheetName val="07PVC立管规格型号策划"/>
      <sheetName val="09排水管道材质策划"/>
      <sheetName val="10套管策划"/>
      <sheetName val="7.1临建工程"/>
      <sheetName val="7.3标准化CI"/>
      <sheetName val="WpsReserved_CellImgList"/>
    </sheetNames>
    <sheetDataSet>
      <sheetData sheetId="0"/>
      <sheetData sheetId="1"/>
      <sheetData sheetId="2"/>
      <sheetData sheetId="3">
        <row r="7">
          <cell r="F7">
            <v>171204.47829999999</v>
          </cell>
        </row>
        <row r="12">
          <cell r="F12">
            <v>147030.19</v>
          </cell>
        </row>
        <row r="21">
          <cell r="F21">
            <v>131385.96429999999</v>
          </cell>
        </row>
        <row r="26">
          <cell r="F26">
            <v>147030.19</v>
          </cell>
        </row>
      </sheetData>
      <sheetData sheetId="4">
        <row r="7">
          <cell r="F7">
            <v>41689.102800000001</v>
          </cell>
        </row>
        <row r="21">
          <cell r="F21">
            <v>6318.92</v>
          </cell>
        </row>
      </sheetData>
      <sheetData sheetId="5">
        <row r="7">
          <cell r="F7">
            <v>118427.84000000001</v>
          </cell>
        </row>
        <row r="21">
          <cell r="F21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7">
          <cell r="F7">
            <v>118941.1311</v>
          </cell>
        </row>
        <row r="21">
          <cell r="F21">
            <v>0</v>
          </cell>
        </row>
      </sheetData>
      <sheetData sheetId="21">
        <row r="7">
          <cell r="F7">
            <v>133169.73700000002</v>
          </cell>
        </row>
      </sheetData>
      <sheetData sheetId="22">
        <row r="8">
          <cell r="F8">
            <v>36903.248</v>
          </cell>
        </row>
        <row r="22">
          <cell r="F22">
            <v>0</v>
          </cell>
        </row>
      </sheetData>
      <sheetData sheetId="23">
        <row r="8">
          <cell r="F8">
            <v>29280</v>
          </cell>
        </row>
        <row r="22">
          <cell r="F22">
            <v>0</v>
          </cell>
        </row>
      </sheetData>
      <sheetData sheetId="24">
        <row r="8">
          <cell r="F8">
            <v>900000</v>
          </cell>
        </row>
        <row r="22">
          <cell r="F22">
            <v>0</v>
          </cell>
        </row>
      </sheetData>
      <sheetData sheetId="25">
        <row r="8">
          <cell r="F8">
            <v>95010.659199999995</v>
          </cell>
        </row>
        <row r="22">
          <cell r="F22">
            <v>0</v>
          </cell>
        </row>
      </sheetData>
      <sheetData sheetId="26">
        <row r="27">
          <cell r="F27">
            <v>279766.98399999994</v>
          </cell>
        </row>
      </sheetData>
      <sheetData sheetId="27">
        <row r="8">
          <cell r="F8">
            <v>95091.96</v>
          </cell>
        </row>
      </sheetData>
      <sheetData sheetId="28">
        <row r="8">
          <cell r="F8">
            <v>7200</v>
          </cell>
        </row>
      </sheetData>
      <sheetData sheetId="29">
        <row r="8">
          <cell r="F8">
            <v>1383000</v>
          </cell>
        </row>
        <row r="22">
          <cell r="F22">
            <v>1025100</v>
          </cell>
        </row>
      </sheetData>
      <sheetData sheetId="30">
        <row r="8">
          <cell r="F8">
            <v>126000</v>
          </cell>
        </row>
        <row r="22">
          <cell r="F22">
            <v>63000</v>
          </cell>
        </row>
      </sheetData>
      <sheetData sheetId="31">
        <row r="8">
          <cell r="F8">
            <v>624138</v>
          </cell>
        </row>
        <row r="22">
          <cell r="F22">
            <v>520114.99999999994</v>
          </cell>
        </row>
      </sheetData>
      <sheetData sheetId="32">
        <row r="7">
          <cell r="F7">
            <v>322868.7</v>
          </cell>
        </row>
        <row r="21">
          <cell r="F21">
            <v>156821.94</v>
          </cell>
        </row>
      </sheetData>
      <sheetData sheetId="33">
        <row r="7">
          <cell r="F7">
            <v>510825</v>
          </cell>
        </row>
        <row r="10">
          <cell r="F10">
            <v>270153.45</v>
          </cell>
        </row>
        <row r="21">
          <cell r="F21">
            <v>262710</v>
          </cell>
        </row>
        <row r="26">
          <cell r="F26">
            <v>1174240.7249999999</v>
          </cell>
        </row>
      </sheetData>
      <sheetData sheetId="34">
        <row r="7">
          <cell r="F7">
            <v>10000</v>
          </cell>
        </row>
      </sheetData>
      <sheetData sheetId="35">
        <row r="7">
          <cell r="F7">
            <v>339408.44</v>
          </cell>
        </row>
        <row r="21">
          <cell r="F21">
            <v>218191.13999999998</v>
          </cell>
        </row>
      </sheetData>
      <sheetData sheetId="36">
        <row r="12">
          <cell r="F12">
            <v>336932.98</v>
          </cell>
        </row>
        <row r="26">
          <cell r="F26">
            <v>614618.41999999993</v>
          </cell>
        </row>
      </sheetData>
      <sheetData sheetId="37">
        <row r="27">
          <cell r="F27">
            <v>1172000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务策划汇总表"/>
      <sheetName val="商务策划清单明细表"/>
      <sheetName val="策划效益计算书"/>
      <sheetName val="1.1土方侧壁回填"/>
      <sheetName val="1.2砖胎膜材料优化"/>
      <sheetName val="1.3直螺纹连接优化"/>
      <sheetName val="1.4铝模深化修改外墙结构"/>
      <sheetName val="1.5铝模深化修改二次结构 "/>
      <sheetName val="1.6铝模深化优化装饰做法 "/>
      <sheetName val="1.7承台模板优化 "/>
      <sheetName val="1.8天棚JS取消 "/>
      <sheetName val="1.9防水做法优化 "/>
      <sheetName val="1.10天然石粉 "/>
      <sheetName val="1.11楼梯间踢脚工艺优化 "/>
      <sheetName val="1.1417层外凸板优化 "/>
      <sheetName val="1.15钢筋翻样优化 "/>
      <sheetName val="1.16装配式构件 "/>
      <sheetName val="1.17屋面结构变更 "/>
      <sheetName val="1.18涂料施工说明变更 "/>
      <sheetName val="1.19混凝土标号修正 "/>
      <sheetName val="1.20陶粒混凝土做法优化 "/>
      <sheetName val="2.1"/>
      <sheetName val="1.1土方侧壁回填 (3)"/>
      <sheetName val="商务策划（执行版）"/>
      <sheetName val="01品牌策划佐证"/>
      <sheetName val="02防火漆策划"/>
      <sheetName val="03铝模深化开槽策划"/>
      <sheetName val="04室外排水管道品牌策划"/>
      <sheetName val="06高低压配电图纸策划"/>
      <sheetName val="07PVC立管规格型号策划"/>
      <sheetName val="09排水管道材质策划"/>
      <sheetName val="10套管策划"/>
      <sheetName val="WpsReserved_CellImg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7">
          <cell r="F7">
            <v>96899.516000000003</v>
          </cell>
        </row>
        <row r="21">
          <cell r="F21">
            <v>25551.0864</v>
          </cell>
        </row>
      </sheetData>
      <sheetData sheetId="8">
        <row r="7">
          <cell r="F7">
            <v>52136.265599999992</v>
          </cell>
        </row>
        <row r="21">
          <cell r="F21">
            <v>0</v>
          </cell>
        </row>
      </sheetData>
      <sheetData sheetId="9">
        <row r="7">
          <cell r="F7">
            <v>30000</v>
          </cell>
        </row>
        <row r="21">
          <cell r="F21">
            <v>0</v>
          </cell>
        </row>
      </sheetData>
      <sheetData sheetId="10">
        <row r="7">
          <cell r="F7">
            <v>153354.30000000002</v>
          </cell>
        </row>
        <row r="12">
          <cell r="F12">
            <v>68907.198800000013</v>
          </cell>
        </row>
        <row r="21">
          <cell r="F21">
            <v>0</v>
          </cell>
        </row>
        <row r="26">
          <cell r="F26">
            <v>0</v>
          </cell>
        </row>
      </sheetData>
      <sheetData sheetId="11">
        <row r="7">
          <cell r="F7">
            <v>261937.8</v>
          </cell>
        </row>
        <row r="12">
          <cell r="F12">
            <v>400259.33999999997</v>
          </cell>
        </row>
        <row r="23">
          <cell r="F23">
            <v>422827.34939999995</v>
          </cell>
        </row>
        <row r="28">
          <cell r="F28">
            <v>725567.70599999989</v>
          </cell>
        </row>
      </sheetData>
      <sheetData sheetId="12">
        <row r="7">
          <cell r="F7">
            <v>1414859.1800000002</v>
          </cell>
        </row>
        <row r="12">
          <cell r="F12">
            <v>1565264.8017000002</v>
          </cell>
        </row>
        <row r="21">
          <cell r="F21">
            <v>754946.24</v>
          </cell>
        </row>
        <row r="26">
          <cell r="F26">
            <v>1565264.8017000002</v>
          </cell>
        </row>
      </sheetData>
      <sheetData sheetId="13">
        <row r="7">
          <cell r="F7">
            <v>67304</v>
          </cell>
        </row>
        <row r="12">
          <cell r="F12">
            <v>56367.1</v>
          </cell>
        </row>
        <row r="21">
          <cell r="F21">
            <v>42065</v>
          </cell>
        </row>
        <row r="26">
          <cell r="F26">
            <v>35334.6</v>
          </cell>
        </row>
      </sheetData>
      <sheetData sheetId="14">
        <row r="7">
          <cell r="F7">
            <v>91040.417999999991</v>
          </cell>
        </row>
      </sheetData>
      <sheetData sheetId="15">
        <row r="7">
          <cell r="F7">
            <v>11423055</v>
          </cell>
        </row>
        <row r="21">
          <cell r="F21">
            <v>10509210.600000001</v>
          </cell>
        </row>
      </sheetData>
      <sheetData sheetId="16">
        <row r="7">
          <cell r="F7">
            <v>0</v>
          </cell>
        </row>
        <row r="13">
          <cell r="F13">
            <v>0</v>
          </cell>
        </row>
        <row r="21">
          <cell r="F21">
            <v>0</v>
          </cell>
        </row>
        <row r="26">
          <cell r="F26">
            <v>111536.52034</v>
          </cell>
        </row>
      </sheetData>
      <sheetData sheetId="17">
        <row r="8">
          <cell r="F8">
            <v>1372000</v>
          </cell>
        </row>
        <row r="22">
          <cell r="F22">
            <v>1323759.9999999998</v>
          </cell>
        </row>
      </sheetData>
      <sheetData sheetId="18">
        <row r="22">
          <cell r="F22">
            <v>25600</v>
          </cell>
        </row>
        <row r="27">
          <cell r="F27">
            <v>64800</v>
          </cell>
        </row>
      </sheetData>
      <sheetData sheetId="19">
        <row r="27">
          <cell r="F27">
            <v>636.92999999999995</v>
          </cell>
        </row>
      </sheetData>
      <sheetData sheetId="20">
        <row r="8">
          <cell r="F8">
            <v>59397.25</v>
          </cell>
        </row>
        <row r="22">
          <cell r="F22">
            <v>41038.1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商务策划清单汇总表"/>
      <sheetName val="1.1支护桩钢筋优化"/>
      <sheetName val="1.2肥槽1.5m改1.2m"/>
      <sheetName val="1.3换撑梁钢筋优化"/>
      <sheetName val="1.4腰梁植筋优化"/>
      <sheetName val="1.5支护桩钢筋优化"/>
      <sheetName val="1.6栈桥板防撞栏杆优化"/>
      <sheetName val="1.7内支撑垫层优化"/>
      <sheetName val="1.8支护形式优化"/>
      <sheetName val="1.9检测桩优化减少声测管"/>
      <sheetName val="1.10栈桥布置优化"/>
      <sheetName val="1.11工程桩钢筋优化"/>
      <sheetName val="1.12桩充盈系数策划"/>
      <sheetName val="1.13减少入岩长度"/>
      <sheetName val="2.1塔楼钢柱调整至裙楼部分"/>
      <sheetName val="2.2主体混凝土含量优化"/>
      <sheetName val="2.3钢筋含量优化"/>
      <sheetName val="2.4二次结构优化成一次结构"/>
      <sheetName val="2.5混凝土屋面变更钢结构屋面"/>
      <sheetName val="2.6增加建筑面积创效"/>
      <sheetName val="2.7桁架楼承板，支撑钢筋间距优化"/>
      <sheetName val="2.8钢筋翻样优化"/>
      <sheetName val="3.1管道井防水材料优化"/>
      <sheetName val="3.2防静电架空地板楼面防水材料优化"/>
      <sheetName val="3.3楼面2防水材料优化"/>
      <sheetName val="3.4屋面1a防水材料优化"/>
      <sheetName val="3.5种植屋面防水材料优化"/>
      <sheetName val="4.1幕墙形式优化"/>
      <sheetName val="4.2幕墙设计优化"/>
      <sheetName val="4.3外立面材料优化"/>
      <sheetName val="5.1钢筋网片间距优化"/>
      <sheetName val="5.2塔楼铝膜提前施工，二层开始使用"/>
      <sheetName val="5.3地下室内墙抹灰"/>
      <sheetName val="5.4架空地板水泥砂浆找平层取消策划"/>
      <sheetName val="5.5环氧地面优化"/>
      <sheetName val="5.6精装修策划"/>
      <sheetName val="5.7吊顶材料优化"/>
      <sheetName val="6.1园林绿化策划"/>
      <sheetName val="7.1材料调拨策划"/>
      <sheetName val="7.2模木枋招采降本"/>
      <sheetName val="7.3挤塑板策划"/>
      <sheetName val="7.4混凝土品牌策划"/>
      <sheetName val="8.1提前使用正式电梯"/>
      <sheetName val="8.2施工电梯优化"/>
      <sheetName val="8.3安全文明施工费调整"/>
      <sheetName val="8.4支护桩桩长工程量增加·"/>
      <sheetName val="8.5税点策划"/>
      <sheetName val="Sheet5 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6">
          <cell r="F26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25">
          <cell r="G25">
            <v>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5E8AD-8FA0-42BE-93AB-FD8E5F5DBEDE}">
  <dimension ref="A1:F17"/>
  <sheetViews>
    <sheetView view="pageBreakPreview" topLeftCell="A9" zoomScaleNormal="120" workbookViewId="0">
      <selection activeCell="C6" sqref="C6:F6"/>
    </sheetView>
  </sheetViews>
  <sheetFormatPr defaultColWidth="8.75" defaultRowHeight="15.75"/>
  <cols>
    <col min="1" max="1" width="4.75" style="161" customWidth="1"/>
    <col min="2" max="2" width="17.5" style="390" customWidth="1"/>
    <col min="3" max="4" width="9" style="161" bestFit="1" customWidth="1"/>
    <col min="5" max="5" width="17.125" style="161" customWidth="1"/>
    <col min="6" max="6" width="26.25" style="161" customWidth="1"/>
    <col min="7" max="32" width="9" style="161" bestFit="1" customWidth="1"/>
    <col min="33" max="16384" width="8.75" style="161"/>
  </cols>
  <sheetData>
    <row r="1" spans="1:6" ht="33.75" customHeight="1">
      <c r="A1" s="394" t="s">
        <v>0</v>
      </c>
      <c r="B1" s="395"/>
      <c r="C1" s="395"/>
      <c r="D1" s="395"/>
      <c r="E1" s="395"/>
      <c r="F1" s="396"/>
    </row>
    <row r="2" spans="1:6" ht="19.5" customHeight="1">
      <c r="A2" s="405" t="s">
        <v>1</v>
      </c>
      <c r="B2" s="406"/>
      <c r="C2" s="406"/>
      <c r="D2" s="406"/>
      <c r="E2" s="406"/>
      <c r="F2" s="391" t="s">
        <v>2</v>
      </c>
    </row>
    <row r="3" spans="1:6" ht="16.5" customHeight="1">
      <c r="A3" s="405"/>
      <c r="B3" s="406"/>
      <c r="C3" s="406"/>
      <c r="D3" s="406"/>
      <c r="E3" s="406"/>
      <c r="F3" s="391" t="s">
        <v>3</v>
      </c>
    </row>
    <row r="4" spans="1:6" ht="23.25" customHeight="1">
      <c r="A4" s="392"/>
      <c r="B4" s="397"/>
      <c r="C4" s="397"/>
      <c r="D4" s="397"/>
      <c r="E4" s="397"/>
      <c r="F4" s="398"/>
    </row>
    <row r="5" spans="1:6" ht="44.25" customHeight="1">
      <c r="A5" s="392"/>
      <c r="B5" s="393" t="s">
        <v>4</v>
      </c>
      <c r="C5" s="399" t="s">
        <v>5</v>
      </c>
      <c r="D5" s="399"/>
      <c r="E5" s="399"/>
      <c r="F5" s="400"/>
    </row>
    <row r="6" spans="1:6" ht="44.25" customHeight="1">
      <c r="A6" s="392"/>
      <c r="B6" s="393" t="s">
        <v>6</v>
      </c>
      <c r="C6" s="399" t="s">
        <v>7</v>
      </c>
      <c r="D6" s="399"/>
      <c r="E6" s="399"/>
      <c r="F6" s="400"/>
    </row>
    <row r="7" spans="1:6" ht="44.25" customHeight="1">
      <c r="A7" s="392"/>
      <c r="B7" s="393" t="s">
        <v>8</v>
      </c>
      <c r="C7" s="399" t="s">
        <v>9</v>
      </c>
      <c r="D7" s="399"/>
      <c r="E7" s="399"/>
      <c r="F7" s="400"/>
    </row>
    <row r="8" spans="1:6" ht="44.25" customHeight="1">
      <c r="A8" s="392"/>
      <c r="B8" s="393" t="s">
        <v>10</v>
      </c>
      <c r="C8" s="399" t="s">
        <v>11</v>
      </c>
      <c r="D8" s="399"/>
      <c r="E8" s="399"/>
      <c r="F8" s="400"/>
    </row>
    <row r="9" spans="1:6" ht="44.25" customHeight="1">
      <c r="A9" s="392"/>
      <c r="B9" s="393" t="s">
        <v>12</v>
      </c>
      <c r="C9" s="407">
        <f>+汇总表!D21</f>
        <v>111113709.71559635</v>
      </c>
      <c r="D9" s="407"/>
      <c r="E9" s="407"/>
      <c r="F9" s="408"/>
    </row>
    <row r="10" spans="1:6" ht="44.25" customHeight="1">
      <c r="A10" s="392"/>
      <c r="B10" s="393" t="s">
        <v>13</v>
      </c>
      <c r="C10" s="407">
        <f>+汇总表!E21</f>
        <v>111079106.66900179</v>
      </c>
      <c r="D10" s="407"/>
      <c r="E10" s="407"/>
      <c r="F10" s="408"/>
    </row>
    <row r="11" spans="1:6" ht="44.25" customHeight="1">
      <c r="A11" s="392"/>
      <c r="B11" s="393" t="s">
        <v>14</v>
      </c>
      <c r="C11" s="407">
        <f>+C10</f>
        <v>111079106.66900179</v>
      </c>
      <c r="D11" s="407"/>
      <c r="E11" s="407"/>
      <c r="F11" s="408"/>
    </row>
    <row r="12" spans="1:6" ht="44.25" customHeight="1">
      <c r="A12" s="392"/>
      <c r="B12" s="393" t="s">
        <v>15</v>
      </c>
      <c r="C12" s="399">
        <f>+汇总表!L21</f>
        <v>47000639.425066657</v>
      </c>
      <c r="D12" s="399"/>
      <c r="E12" s="399"/>
      <c r="F12" s="400"/>
    </row>
    <row r="13" spans="1:6" ht="44.25" customHeight="1">
      <c r="A13" s="392"/>
      <c r="B13" s="393" t="s">
        <v>16</v>
      </c>
      <c r="C13" s="399" t="s">
        <v>17</v>
      </c>
      <c r="D13" s="399"/>
      <c r="E13" s="399"/>
      <c r="F13" s="400"/>
    </row>
    <row r="14" spans="1:6" ht="44.25" customHeight="1">
      <c r="A14" s="392"/>
      <c r="B14" s="393" t="s">
        <v>18</v>
      </c>
      <c r="C14" s="399" t="s">
        <v>19</v>
      </c>
      <c r="D14" s="399"/>
      <c r="E14" s="399"/>
      <c r="F14" s="400"/>
    </row>
    <row r="15" spans="1:6" ht="44.25" customHeight="1">
      <c r="A15" s="392"/>
      <c r="B15" s="393" t="s">
        <v>20</v>
      </c>
      <c r="C15" s="399" t="s">
        <v>5</v>
      </c>
      <c r="D15" s="399"/>
      <c r="E15" s="399"/>
      <c r="F15" s="400"/>
    </row>
    <row r="16" spans="1:6" ht="44.25" customHeight="1">
      <c r="A16" s="392"/>
      <c r="B16" s="393" t="s">
        <v>21</v>
      </c>
      <c r="C16" s="401">
        <v>45407</v>
      </c>
      <c r="D16" s="399"/>
      <c r="E16" s="399"/>
      <c r="F16" s="400"/>
    </row>
    <row r="17" spans="1:6" ht="55.5" customHeight="1">
      <c r="A17" s="402"/>
      <c r="B17" s="403"/>
      <c r="C17" s="403"/>
      <c r="D17" s="403"/>
      <c r="E17" s="403"/>
      <c r="F17" s="404"/>
    </row>
  </sheetData>
  <mergeCells count="16">
    <mergeCell ref="C8:F8"/>
    <mergeCell ref="C15:F15"/>
    <mergeCell ref="C16:F16"/>
    <mergeCell ref="A17:F17"/>
    <mergeCell ref="A2:E3"/>
    <mergeCell ref="C9:F9"/>
    <mergeCell ref="C10:F10"/>
    <mergeCell ref="C11:F11"/>
    <mergeCell ref="C12:F12"/>
    <mergeCell ref="C13:F13"/>
    <mergeCell ref="C14:F14"/>
    <mergeCell ref="A1:F1"/>
    <mergeCell ref="B4:F4"/>
    <mergeCell ref="C5:F5"/>
    <mergeCell ref="C6:F6"/>
    <mergeCell ref="C7:F7"/>
  </mergeCells>
  <phoneticPr fontId="76" type="noConversion"/>
  <pageMargins left="0.8" right="0.82" top="0.91" bottom="0.76" header="0.5" footer="0.5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DBCE-B1D5-4B2A-BA80-F7A372A09E2D}">
  <dimension ref="A1:Q8"/>
  <sheetViews>
    <sheetView workbookViewId="0">
      <selection activeCell="A9" sqref="A9"/>
    </sheetView>
  </sheetViews>
  <sheetFormatPr defaultColWidth="8.75" defaultRowHeight="14.25"/>
  <sheetData>
    <row r="1" spans="1:17" ht="35.25" customHeight="1">
      <c r="A1" s="409" t="s">
        <v>22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  <c r="O1" s="409"/>
      <c r="P1" s="409"/>
      <c r="Q1" s="409"/>
    </row>
    <row r="2" spans="1:17" ht="37.5" customHeight="1">
      <c r="A2" s="410" t="s">
        <v>23</v>
      </c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</row>
    <row r="3" spans="1:17" ht="39.75" customHeight="1">
      <c r="A3" s="410" t="s">
        <v>24</v>
      </c>
      <c r="B3" s="410"/>
      <c r="C3" s="410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</row>
    <row r="4" spans="1:17" ht="54.75" customHeight="1">
      <c r="A4" s="411" t="s">
        <v>25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</row>
    <row r="5" spans="1:17" ht="20.100000000000001" customHeight="1">
      <c r="A5" s="409" t="s">
        <v>26</v>
      </c>
      <c r="B5" s="409"/>
      <c r="C5" s="409"/>
      <c r="D5" s="409"/>
      <c r="E5" s="409"/>
      <c r="F5" s="409"/>
      <c r="G5" s="409"/>
      <c r="H5" s="409"/>
      <c r="I5" s="409"/>
      <c r="J5" s="409"/>
      <c r="K5" s="409"/>
      <c r="L5" s="409"/>
      <c r="M5" s="409"/>
      <c r="N5" s="409"/>
      <c r="O5" s="409"/>
      <c r="P5" s="409"/>
      <c r="Q5" s="409"/>
    </row>
    <row r="6" spans="1:17" ht="20.100000000000001" customHeight="1">
      <c r="A6" s="409" t="s">
        <v>27</v>
      </c>
      <c r="B6" s="409"/>
      <c r="C6" s="409"/>
      <c r="D6" s="409"/>
      <c r="E6" s="409"/>
      <c r="F6" s="409"/>
      <c r="G6" s="409"/>
      <c r="H6" s="409"/>
      <c r="I6" s="409"/>
      <c r="J6" s="409"/>
      <c r="K6" s="409"/>
      <c r="L6" s="409"/>
      <c r="M6" s="409"/>
      <c r="N6" s="409"/>
      <c r="O6" s="409"/>
      <c r="P6" s="409"/>
      <c r="Q6" s="409"/>
    </row>
    <row r="7" spans="1:17" ht="20.100000000000001" customHeight="1">
      <c r="A7" s="389" t="s">
        <v>28</v>
      </c>
    </row>
    <row r="8" spans="1:17">
      <c r="A8" s="389" t="s">
        <v>29</v>
      </c>
    </row>
  </sheetData>
  <mergeCells count="6">
    <mergeCell ref="A6:Q6"/>
    <mergeCell ref="A1:Q1"/>
    <mergeCell ref="A2:Q2"/>
    <mergeCell ref="A3:Q3"/>
    <mergeCell ref="A4:Q4"/>
    <mergeCell ref="A5:Q5"/>
  </mergeCells>
  <phoneticPr fontId="76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AB92-BE2E-4C5B-85B6-ECB5092B8C0B}">
  <sheetPr>
    <tabColor rgb="FFFFFF00"/>
    <pageSetUpPr fitToPage="1"/>
  </sheetPr>
  <dimension ref="A1:Z45"/>
  <sheetViews>
    <sheetView view="pageBreakPreview" zoomScale="115" zoomScaleNormal="85" workbookViewId="0">
      <pane xSplit="3" ySplit="4" topLeftCell="D15" activePane="bottomRight" state="frozen"/>
      <selection pane="topRight"/>
      <selection pane="bottomLeft"/>
      <selection pane="bottomRight" activeCell="E27" sqref="E27"/>
    </sheetView>
  </sheetViews>
  <sheetFormatPr defaultColWidth="7.625" defaultRowHeight="15.75"/>
  <cols>
    <col min="1" max="1" width="7.625" style="375" customWidth="1"/>
    <col min="2" max="2" width="15.875" style="375" customWidth="1"/>
    <col min="3" max="3" width="7.625" style="375" customWidth="1"/>
    <col min="4" max="4" width="12.125" style="375" customWidth="1"/>
    <col min="5" max="5" width="12.375" style="375" customWidth="1"/>
    <col min="6" max="6" width="11.375" style="375" customWidth="1"/>
    <col min="7" max="14" width="11.875" style="375" customWidth="1"/>
    <col min="15" max="15" width="11.125" style="161" bestFit="1" customWidth="1"/>
    <col min="16" max="16384" width="7.625" style="161"/>
  </cols>
  <sheetData>
    <row r="1" spans="1:15" ht="19.5" customHeight="1">
      <c r="A1" s="412" t="s">
        <v>30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  <c r="N1" s="412"/>
      <c r="O1" s="412"/>
    </row>
    <row r="2" spans="1:15" s="160" customFormat="1" ht="18.75" customHeight="1">
      <c r="A2" s="413" t="s">
        <v>31</v>
      </c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</row>
    <row r="3" spans="1:15" s="374" customFormat="1" ht="28.5" customHeight="1">
      <c r="A3" s="418" t="s">
        <v>32</v>
      </c>
      <c r="B3" s="420" t="s">
        <v>33</v>
      </c>
      <c r="C3" s="420" t="s">
        <v>34</v>
      </c>
      <c r="D3" s="414" t="s">
        <v>35</v>
      </c>
      <c r="E3" s="415"/>
      <c r="F3" s="416"/>
      <c r="G3" s="414" t="s">
        <v>36</v>
      </c>
      <c r="H3" s="415"/>
      <c r="I3" s="415"/>
      <c r="J3" s="416"/>
      <c r="K3" s="414" t="s">
        <v>37</v>
      </c>
      <c r="L3" s="415"/>
      <c r="M3" s="415"/>
      <c r="N3" s="416"/>
      <c r="O3" s="421" t="s">
        <v>38</v>
      </c>
    </row>
    <row r="4" spans="1:15" s="160" customFormat="1" ht="42.75" customHeight="1">
      <c r="A4" s="419"/>
      <c r="B4" s="420"/>
      <c r="C4" s="420"/>
      <c r="D4" s="113" t="s">
        <v>39</v>
      </c>
      <c r="E4" s="113" t="s">
        <v>40</v>
      </c>
      <c r="F4" s="113" t="s">
        <v>41</v>
      </c>
      <c r="G4" s="113" t="s">
        <v>42</v>
      </c>
      <c r="H4" s="113" t="s">
        <v>43</v>
      </c>
      <c r="I4" s="113" t="s">
        <v>44</v>
      </c>
      <c r="J4" s="113" t="s">
        <v>45</v>
      </c>
      <c r="K4" s="113" t="s">
        <v>42</v>
      </c>
      <c r="L4" s="113" t="s">
        <v>43</v>
      </c>
      <c r="M4" s="113" t="s">
        <v>44</v>
      </c>
      <c r="N4" s="113" t="s">
        <v>45</v>
      </c>
      <c r="O4" s="421"/>
    </row>
    <row r="5" spans="1:15" s="371" customFormat="1" ht="23.1" customHeight="1">
      <c r="A5" s="113">
        <v>1</v>
      </c>
      <c r="B5" s="199" t="s">
        <v>46</v>
      </c>
      <c r="C5" s="113" t="s">
        <v>47</v>
      </c>
      <c r="D5" s="165">
        <f>+人工费!G282</f>
        <v>6552396.22807837</v>
      </c>
      <c r="E5" s="165">
        <f>+人工费!J282</f>
        <v>7593488.4550000001</v>
      </c>
      <c r="F5" s="165">
        <f>D5-E5</f>
        <v>-1041092.2269216301</v>
      </c>
      <c r="G5" s="165">
        <f>+人工费!M282</f>
        <v>343218.9069983167</v>
      </c>
      <c r="H5" s="165">
        <f>+人工费!P282</f>
        <v>335618.08373999997</v>
      </c>
      <c r="I5" s="165">
        <f>+G5-H5</f>
        <v>7600.8232583167264</v>
      </c>
      <c r="J5" s="382">
        <f>I5/G5</f>
        <v>2.2145700902060167E-2</v>
      </c>
      <c r="K5" s="165">
        <f>+人工费!S282</f>
        <v>4279381.2720054034</v>
      </c>
      <c r="L5" s="165">
        <f>+人工费!V282</f>
        <v>4368817.0864499994</v>
      </c>
      <c r="M5" s="165">
        <f>+K5-L5</f>
        <v>-89435.814444595948</v>
      </c>
      <c r="N5" s="382">
        <f t="shared" ref="N5:N21" si="0">M5/K5</f>
        <v>-2.0899239576913076E-2</v>
      </c>
      <c r="O5" s="113"/>
    </row>
    <row r="6" spans="1:15" s="371" customFormat="1" ht="23.1" customHeight="1">
      <c r="A6" s="113">
        <v>2</v>
      </c>
      <c r="B6" s="199" t="s">
        <v>48</v>
      </c>
      <c r="C6" s="113" t="s">
        <v>47</v>
      </c>
      <c r="D6" s="165">
        <f>+材料费!G283</f>
        <v>27372618.452060003</v>
      </c>
      <c r="E6" s="165">
        <f>+材料费!J283</f>
        <v>21407207.491581015</v>
      </c>
      <c r="F6" s="165">
        <f t="shared" ref="F6:F21" si="1">D6-E6</f>
        <v>5965410.9604789875</v>
      </c>
      <c r="G6" s="165">
        <f>+材料费!M283</f>
        <v>1142978.8340927495</v>
      </c>
      <c r="H6" s="165">
        <f>+材料费!P283</f>
        <v>2726428.2266492881</v>
      </c>
      <c r="I6" s="165">
        <f t="shared" ref="I6:I20" si="2">+G6-H6</f>
        <v>-1583449.3925565386</v>
      </c>
      <c r="J6" s="382">
        <f t="shared" ref="J6:J21" si="3">I6/G6</f>
        <v>-1.3853707044482733</v>
      </c>
      <c r="K6" s="165">
        <f>+材料费!S283</f>
        <v>19534317.477337923</v>
      </c>
      <c r="L6" s="165">
        <f>+材料费!V283</f>
        <v>16261971.121068221</v>
      </c>
      <c r="M6" s="165">
        <f t="shared" ref="M6:M20" si="4">+K6-L6</f>
        <v>3272346.3562697023</v>
      </c>
      <c r="N6" s="382">
        <f t="shared" si="0"/>
        <v>0.16751782395602019</v>
      </c>
      <c r="O6" s="113"/>
    </row>
    <row r="7" spans="1:15" s="371" customFormat="1" ht="23.1" customHeight="1">
      <c r="A7" s="113">
        <v>3</v>
      </c>
      <c r="B7" s="199" t="s">
        <v>49</v>
      </c>
      <c r="C7" s="113" t="s">
        <v>47</v>
      </c>
      <c r="D7" s="165">
        <f>+机械费!F26</f>
        <v>2908349.6742887339</v>
      </c>
      <c r="E7" s="165">
        <f>+机械费!I26</f>
        <v>5310305.4964849558</v>
      </c>
      <c r="F7" s="165">
        <f t="shared" si="1"/>
        <v>-2401955.8221962219</v>
      </c>
      <c r="G7" s="165">
        <f>+机械费!L26</f>
        <v>112946.8162373829</v>
      </c>
      <c r="H7" s="165">
        <f>+机械费!P26</f>
        <v>317779.38778761064</v>
      </c>
      <c r="I7" s="165">
        <f t="shared" si="2"/>
        <v>-204832.57155022776</v>
      </c>
      <c r="J7" s="382">
        <f t="shared" si="3"/>
        <v>-1.8135311677995993</v>
      </c>
      <c r="K7" s="165">
        <f>+机械费!S26</f>
        <v>1292176.1194843678</v>
      </c>
      <c r="L7" s="165">
        <f>+机械费!W26</f>
        <v>2222622.5677876109</v>
      </c>
      <c r="M7" s="165">
        <f t="shared" si="4"/>
        <v>-930446.44830324315</v>
      </c>
      <c r="N7" s="382">
        <f t="shared" si="0"/>
        <v>-0.72006163422562719</v>
      </c>
      <c r="O7" s="113"/>
    </row>
    <row r="8" spans="1:15" s="371" customFormat="1" ht="23.1" customHeight="1">
      <c r="A8" s="113">
        <v>4</v>
      </c>
      <c r="B8" s="199" t="s">
        <v>50</v>
      </c>
      <c r="C8" s="113" t="s">
        <v>47</v>
      </c>
      <c r="D8" s="165">
        <f>+专业分包费!G582</f>
        <v>36605671.573349737</v>
      </c>
      <c r="E8" s="165">
        <f>+专业分包费!J582</f>
        <v>41376860.529474653</v>
      </c>
      <c r="F8" s="165">
        <f t="shared" si="1"/>
        <v>-4771188.9561249167</v>
      </c>
      <c r="G8" s="165">
        <f>+专业分包费!M582</f>
        <v>-594003.68504380458</v>
      </c>
      <c r="H8" s="165">
        <f>+专业分包费!P582</f>
        <v>-51802.339278069092</v>
      </c>
      <c r="I8" s="165">
        <f t="shared" si="2"/>
        <v>-542201.34576573549</v>
      </c>
      <c r="J8" s="382">
        <f t="shared" si="3"/>
        <v>0.91279121563993504</v>
      </c>
      <c r="K8" s="165">
        <f>+专业分包费!S582</f>
        <v>5450338.1774102151</v>
      </c>
      <c r="L8" s="165">
        <f>+专业分包费!V582</f>
        <v>6581032.4537174087</v>
      </c>
      <c r="M8" s="165">
        <f t="shared" si="4"/>
        <v>-1130694.2763071936</v>
      </c>
      <c r="N8" s="382">
        <f t="shared" si="0"/>
        <v>-0.20745396698383489</v>
      </c>
      <c r="O8" s="113"/>
    </row>
    <row r="9" spans="1:15" s="371" customFormat="1" ht="23.1" customHeight="1">
      <c r="A9" s="113">
        <v>5</v>
      </c>
      <c r="B9" s="199" t="s">
        <v>51</v>
      </c>
      <c r="C9" s="113" t="s">
        <v>47</v>
      </c>
      <c r="D9" s="165">
        <f>+周转料具!G153</f>
        <v>14850943.841520071</v>
      </c>
      <c r="E9" s="165">
        <f>+周转料具!J153</f>
        <v>15189226.0803</v>
      </c>
      <c r="F9" s="165">
        <f t="shared" si="1"/>
        <v>-338282.23877992854</v>
      </c>
      <c r="G9" s="165">
        <f>+周转料具!M153</f>
        <v>2428271.3933446626</v>
      </c>
      <c r="H9" s="165">
        <f>+周转料具!P153</f>
        <v>881602.17302280094</v>
      </c>
      <c r="I9" s="165">
        <f t="shared" si="2"/>
        <v>1546669.2203218616</v>
      </c>
      <c r="J9" s="382">
        <f t="shared" si="3"/>
        <v>0.63694248697280242</v>
      </c>
      <c r="K9" s="165">
        <f>+周转料具!S153</f>
        <v>8875550.6524821352</v>
      </c>
      <c r="L9" s="165">
        <f>+周转料具!V153</f>
        <v>7555071.6270044362</v>
      </c>
      <c r="M9" s="165">
        <f t="shared" si="4"/>
        <v>1320479.025477699</v>
      </c>
      <c r="N9" s="382">
        <f t="shared" si="0"/>
        <v>0.14877713813828711</v>
      </c>
      <c r="O9" s="113"/>
    </row>
    <row r="10" spans="1:15" s="371" customFormat="1" ht="23.1" customHeight="1">
      <c r="A10" s="113">
        <v>6</v>
      </c>
      <c r="B10" s="199" t="s">
        <v>52</v>
      </c>
      <c r="C10" s="113" t="s">
        <v>47</v>
      </c>
      <c r="D10" s="165">
        <f>+安全文明施工费!E36</f>
        <v>3721871.0533395964</v>
      </c>
      <c r="E10" s="165">
        <f>+安全文明施工费!G36</f>
        <v>4196897.49</v>
      </c>
      <c r="F10" s="165">
        <f t="shared" si="1"/>
        <v>-475026.43666040385</v>
      </c>
      <c r="G10" s="165">
        <f>+安全文明施工费!I36</f>
        <v>144735.76456827635</v>
      </c>
      <c r="H10" s="165">
        <f>+安全文明施工费!L36</f>
        <v>363412.05246282375</v>
      </c>
      <c r="I10" s="165">
        <f t="shared" si="2"/>
        <v>-218676.28789454739</v>
      </c>
      <c r="J10" s="382">
        <f t="shared" si="3"/>
        <v>-1.5108656008196992</v>
      </c>
      <c r="K10" s="165">
        <f>+安全文明施工费!N36</f>
        <v>1524999.1793190013</v>
      </c>
      <c r="L10" s="165">
        <f>+安全文明施工费!Q36</f>
        <v>4162523.6861731098</v>
      </c>
      <c r="M10" s="165">
        <f t="shared" si="4"/>
        <v>-2637524.5068541085</v>
      </c>
      <c r="N10" s="382">
        <f t="shared" si="0"/>
        <v>-1.7295251975361148</v>
      </c>
      <c r="O10" s="113"/>
    </row>
    <row r="11" spans="1:15" s="371" customFormat="1" ht="23.1" customHeight="1">
      <c r="A11" s="113">
        <v>7</v>
      </c>
      <c r="B11" s="199" t="s">
        <v>53</v>
      </c>
      <c r="C11" s="113" t="s">
        <v>47</v>
      </c>
      <c r="D11" s="165">
        <v>0</v>
      </c>
      <c r="E11" s="165">
        <f>+施工措施费!E22</f>
        <v>1656709.97</v>
      </c>
      <c r="F11" s="165">
        <f t="shared" si="1"/>
        <v>-1656709.97</v>
      </c>
      <c r="G11" s="165">
        <f>+施工措施费!G22</f>
        <v>0</v>
      </c>
      <c r="H11" s="165">
        <f>+施工措施费!J22</f>
        <v>8867.93</v>
      </c>
      <c r="I11" s="165">
        <f t="shared" si="2"/>
        <v>-8867.93</v>
      </c>
      <c r="J11" s="382" t="e">
        <f t="shared" si="3"/>
        <v>#DIV/0!</v>
      </c>
      <c r="K11" s="165">
        <f>+施工措施费!L22</f>
        <v>0</v>
      </c>
      <c r="L11" s="165">
        <f>+施工措施费!O22</f>
        <v>1088344.4340002302</v>
      </c>
      <c r="M11" s="165">
        <f t="shared" si="4"/>
        <v>-1088344.4340002302</v>
      </c>
      <c r="N11" s="382" t="e">
        <f t="shared" si="0"/>
        <v>#DIV/0!</v>
      </c>
      <c r="O11" s="113"/>
    </row>
    <row r="12" spans="1:15" s="371" customFormat="1" ht="23.1" customHeight="1">
      <c r="A12" s="113">
        <v>8</v>
      </c>
      <c r="B12" s="199" t="s">
        <v>54</v>
      </c>
      <c r="C12" s="113" t="s">
        <v>47</v>
      </c>
      <c r="D12" s="165">
        <f>+'管理费、利润、规费、税金'!D5</f>
        <v>4884475.8892660541</v>
      </c>
      <c r="E12" s="165">
        <f>+'管理费、利润、规费、税金'!E5</f>
        <v>13200702.434941651</v>
      </c>
      <c r="F12" s="165">
        <f t="shared" si="1"/>
        <v>-8316226.5456755972</v>
      </c>
      <c r="G12" s="165">
        <f>+'管理费、利润、规费、税金'!F5</f>
        <v>189947.02992568415</v>
      </c>
      <c r="H12" s="165">
        <f>+'管理费、利润、规费、税金'!G5</f>
        <v>-728996.59</v>
      </c>
      <c r="I12" s="165">
        <f t="shared" si="2"/>
        <v>918943.61992568406</v>
      </c>
      <c r="J12" s="382">
        <f t="shared" si="3"/>
        <v>4.8378941238787272</v>
      </c>
      <c r="K12" s="165">
        <f>+'管理费、利润、规费、税金'!H5</f>
        <v>2001364.8016769497</v>
      </c>
      <c r="L12" s="165">
        <f>+'管理费、利润、规费、税金'!I5</f>
        <v>4785734.2</v>
      </c>
      <c r="M12" s="165">
        <f t="shared" si="4"/>
        <v>-2784369.3983230507</v>
      </c>
      <c r="N12" s="382">
        <f t="shared" si="0"/>
        <v>-1.3912353190133149</v>
      </c>
      <c r="O12" s="113"/>
    </row>
    <row r="13" spans="1:15" s="371" customFormat="1" ht="23.1" customHeight="1">
      <c r="A13" s="113">
        <v>9</v>
      </c>
      <c r="B13" s="199" t="s">
        <v>55</v>
      </c>
      <c r="C13" s="113" t="s">
        <v>47</v>
      </c>
      <c r="D13" s="165">
        <f>+'管理费、利润、规费、税金'!D6</f>
        <v>4867994.59534516</v>
      </c>
      <c r="E13" s="165">
        <v>0</v>
      </c>
      <c r="F13" s="165">
        <f t="shared" si="1"/>
        <v>4867994.59534516</v>
      </c>
      <c r="G13" s="165">
        <f>+'管理费、利润、规费、税金'!F6</f>
        <v>189306.10694836211</v>
      </c>
      <c r="H13" s="165">
        <f>+'管理费、利润、规费、税金'!G6</f>
        <v>0</v>
      </c>
      <c r="I13" s="165">
        <f t="shared" si="2"/>
        <v>189306.10694836211</v>
      </c>
      <c r="J13" s="382">
        <f t="shared" si="3"/>
        <v>1</v>
      </c>
      <c r="K13" s="165">
        <f>+'管理费、利润、规费、税金'!H6</f>
        <v>1994611.7574840493</v>
      </c>
      <c r="L13" s="165">
        <f>+'管理费、利润、规费、税金'!I6</f>
        <v>0</v>
      </c>
      <c r="M13" s="165">
        <f t="shared" si="4"/>
        <v>1994611.7574840493</v>
      </c>
      <c r="N13" s="382">
        <f t="shared" si="0"/>
        <v>1</v>
      </c>
      <c r="O13" s="113"/>
    </row>
    <row r="14" spans="1:15" s="371" customFormat="1" ht="23.1" customHeight="1">
      <c r="A14" s="113">
        <v>10</v>
      </c>
      <c r="B14" s="199" t="s">
        <v>56</v>
      </c>
      <c r="C14" s="113" t="s">
        <v>47</v>
      </c>
      <c r="D14" s="165">
        <f>+'管理费、利润、规费、税金'!D7</f>
        <v>5142966.3899999997</v>
      </c>
      <c r="E14" s="165">
        <v>0</v>
      </c>
      <c r="F14" s="165">
        <f t="shared" si="1"/>
        <v>5142966.3899999997</v>
      </c>
      <c r="G14" s="165">
        <f>+'管理费、利润、规费、税金'!F7</f>
        <v>199999.18372714214</v>
      </c>
      <c r="H14" s="165">
        <f>+'管理费、利润、规费、税金'!G7</f>
        <v>0</v>
      </c>
      <c r="I14" s="165">
        <f t="shared" si="2"/>
        <v>199999.18372714214</v>
      </c>
      <c r="J14" s="382">
        <f t="shared" si="3"/>
        <v>1</v>
      </c>
      <c r="K14" s="165">
        <f>+'管理费、利润、规费、税金'!H7</f>
        <v>2107278.680968204</v>
      </c>
      <c r="L14" s="165">
        <f>+'管理费、利润、规费、税金'!I7</f>
        <v>0</v>
      </c>
      <c r="M14" s="165">
        <f t="shared" si="4"/>
        <v>2107278.680968204</v>
      </c>
      <c r="N14" s="382">
        <f t="shared" si="0"/>
        <v>1</v>
      </c>
      <c r="O14" s="113"/>
    </row>
    <row r="15" spans="1:15" s="371" customFormat="1" ht="23.1" customHeight="1">
      <c r="A15" s="113">
        <v>11</v>
      </c>
      <c r="B15" s="199" t="s">
        <v>57</v>
      </c>
      <c r="C15" s="113" t="s">
        <v>47</v>
      </c>
      <c r="D15" s="165">
        <v>0</v>
      </c>
      <c r="E15" s="165">
        <v>0</v>
      </c>
      <c r="F15" s="165">
        <f t="shared" si="1"/>
        <v>0</v>
      </c>
      <c r="G15" s="165">
        <f>+'管理费、利润、规费、税金'!F8</f>
        <v>0</v>
      </c>
      <c r="H15" s="165">
        <f>+'管理费、利润、规费、税金'!G8</f>
        <v>0</v>
      </c>
      <c r="I15" s="165">
        <f t="shared" si="2"/>
        <v>0</v>
      </c>
      <c r="J15" s="382" t="e">
        <f t="shared" si="3"/>
        <v>#DIV/0!</v>
      </c>
      <c r="K15" s="165">
        <f>+'管理费、利润、规费、税金'!H8</f>
        <v>0</v>
      </c>
      <c r="L15" s="165">
        <f>+'管理费、利润、规费、税金'!I8</f>
        <v>0</v>
      </c>
      <c r="M15" s="165">
        <f t="shared" si="4"/>
        <v>0</v>
      </c>
      <c r="N15" s="382" t="e">
        <f t="shared" si="0"/>
        <v>#DIV/0!</v>
      </c>
      <c r="O15" s="113"/>
    </row>
    <row r="16" spans="1:15" s="371" customFormat="1" ht="23.1" customHeight="1">
      <c r="A16" s="113">
        <v>12</v>
      </c>
      <c r="B16" s="199" t="s">
        <v>58</v>
      </c>
      <c r="C16" s="113" t="s">
        <v>47</v>
      </c>
      <c r="D16" s="165">
        <v>0</v>
      </c>
      <c r="E16" s="165">
        <v>0</v>
      </c>
      <c r="F16" s="165">
        <f t="shared" si="1"/>
        <v>0</v>
      </c>
      <c r="G16" s="165">
        <f>+让利!H17</f>
        <v>0</v>
      </c>
      <c r="H16" s="165">
        <f>+让利!I17</f>
        <v>0</v>
      </c>
      <c r="I16" s="165">
        <f t="shared" si="2"/>
        <v>0</v>
      </c>
      <c r="J16" s="382" t="e">
        <f t="shared" si="3"/>
        <v>#DIV/0!</v>
      </c>
      <c r="K16" s="165">
        <f>+让利!K17</f>
        <v>0</v>
      </c>
      <c r="L16" s="165">
        <f>+让利!L17</f>
        <v>0</v>
      </c>
      <c r="M16" s="165">
        <f t="shared" si="4"/>
        <v>0</v>
      </c>
      <c r="N16" s="382" t="e">
        <f t="shared" si="0"/>
        <v>#DIV/0!</v>
      </c>
      <c r="O16" s="113"/>
    </row>
    <row r="17" spans="1:26" s="371" customFormat="1" ht="23.1" customHeight="1">
      <c r="A17" s="113">
        <v>13</v>
      </c>
      <c r="B17" s="199" t="s">
        <v>59</v>
      </c>
      <c r="C17" s="113" t="s">
        <v>47</v>
      </c>
      <c r="D17" s="165">
        <v>0</v>
      </c>
      <c r="E17" s="165">
        <v>0</v>
      </c>
      <c r="F17" s="165">
        <f t="shared" si="1"/>
        <v>0</v>
      </c>
      <c r="G17" s="165">
        <f>+指定分包!G13</f>
        <v>0</v>
      </c>
      <c r="H17" s="165">
        <f>+指定分包!H13</f>
        <v>0</v>
      </c>
      <c r="I17" s="165">
        <f t="shared" si="2"/>
        <v>0</v>
      </c>
      <c r="J17" s="382" t="e">
        <f t="shared" si="3"/>
        <v>#DIV/0!</v>
      </c>
      <c r="K17" s="165">
        <f>+指定分包!J13</f>
        <v>0</v>
      </c>
      <c r="L17" s="165">
        <f>+指定分包!K13</f>
        <v>0</v>
      </c>
      <c r="M17" s="165">
        <f t="shared" si="4"/>
        <v>0</v>
      </c>
      <c r="N17" s="382" t="e">
        <f t="shared" si="0"/>
        <v>#DIV/0!</v>
      </c>
      <c r="O17" s="113"/>
    </row>
    <row r="18" spans="1:26" s="371" customFormat="1" ht="23.1" customHeight="1">
      <c r="A18" s="113">
        <v>14</v>
      </c>
      <c r="B18" s="376" t="s">
        <v>60</v>
      </c>
      <c r="C18" s="113" t="s">
        <v>47</v>
      </c>
      <c r="D18" s="165">
        <f>895000/1.09</f>
        <v>821100.91743119259</v>
      </c>
      <c r="E18" s="165">
        <f>-32982357.59/1.09*3.5%</f>
        <v>-1059066.528119266</v>
      </c>
      <c r="F18" s="165">
        <f t="shared" si="1"/>
        <v>1880167.4455504585</v>
      </c>
      <c r="G18" s="165">
        <f>+总包服务费!H17</f>
        <v>0</v>
      </c>
      <c r="H18" s="165">
        <f>+总包服务费!I17</f>
        <v>15870.871634382867</v>
      </c>
      <c r="I18" s="165">
        <f t="shared" si="2"/>
        <v>-15870.871634382867</v>
      </c>
      <c r="J18" s="382" t="e">
        <f t="shared" si="3"/>
        <v>#DIV/0!</v>
      </c>
      <c r="K18" s="165">
        <f>+总包服务费!K17</f>
        <v>0</v>
      </c>
      <c r="L18" s="165">
        <f>+总包服务费!L17</f>
        <v>-25477.751134368202</v>
      </c>
      <c r="M18" s="165">
        <f t="shared" si="4"/>
        <v>25477.751134368202</v>
      </c>
      <c r="N18" s="382" t="e">
        <f t="shared" si="0"/>
        <v>#DIV/0!</v>
      </c>
      <c r="O18" s="113"/>
    </row>
    <row r="19" spans="1:26" s="371" customFormat="1" ht="23.1" customHeight="1">
      <c r="A19" s="113">
        <v>15</v>
      </c>
      <c r="B19" s="199" t="s">
        <v>61</v>
      </c>
      <c r="C19" s="113" t="s">
        <v>47</v>
      </c>
      <c r="D19" s="165">
        <f>其它!F22</f>
        <v>3385321.1009174306</v>
      </c>
      <c r="E19" s="165">
        <f>其它!I22</f>
        <v>4496458.1980733937</v>
      </c>
      <c r="F19" s="165">
        <f t="shared" si="1"/>
        <v>-1111137.0971559631</v>
      </c>
      <c r="G19" s="165">
        <f>+其它!L22</f>
        <v>0</v>
      </c>
      <c r="H19" s="165">
        <f>+其它!O22</f>
        <v>0</v>
      </c>
      <c r="I19" s="165">
        <f t="shared" si="2"/>
        <v>0</v>
      </c>
      <c r="J19" s="382" t="e">
        <f t="shared" si="3"/>
        <v>#DIV/0!</v>
      </c>
      <c r="K19" s="165">
        <f>+其它!R22</f>
        <v>0</v>
      </c>
      <c r="L19" s="165">
        <f>+其它!U22</f>
        <v>0</v>
      </c>
      <c r="M19" s="165">
        <f t="shared" si="4"/>
        <v>0</v>
      </c>
      <c r="N19" s="382" t="e">
        <f t="shared" si="0"/>
        <v>#DIV/0!</v>
      </c>
      <c r="O19" s="383"/>
      <c r="P19" s="384"/>
      <c r="Q19" s="384"/>
      <c r="R19" s="384"/>
      <c r="S19" s="384"/>
      <c r="T19" s="384"/>
      <c r="U19" s="384"/>
      <c r="V19" s="384"/>
      <c r="W19" s="384"/>
      <c r="X19" s="384"/>
      <c r="Y19" s="384"/>
      <c r="Z19" s="384"/>
    </row>
    <row r="20" spans="1:26" s="371" customFormat="1" ht="23.1" customHeight="1">
      <c r="A20" s="113">
        <v>16</v>
      </c>
      <c r="B20" s="199" t="s">
        <v>62</v>
      </c>
      <c r="C20" s="113" t="s">
        <v>47</v>
      </c>
      <c r="D20" s="165">
        <v>0</v>
      </c>
      <c r="E20" s="165">
        <v>-2289682.948734602</v>
      </c>
      <c r="F20" s="165">
        <f t="shared" si="1"/>
        <v>2289682.948734602</v>
      </c>
      <c r="G20" s="165"/>
      <c r="H20" s="165"/>
      <c r="I20" s="165">
        <f t="shared" si="2"/>
        <v>0</v>
      </c>
      <c r="J20" s="382" t="e">
        <f t="shared" si="3"/>
        <v>#DIV/0!</v>
      </c>
      <c r="K20" s="165"/>
      <c r="L20" s="165"/>
      <c r="M20" s="165">
        <f t="shared" si="4"/>
        <v>0</v>
      </c>
      <c r="N20" s="382" t="e">
        <f t="shared" si="0"/>
        <v>#DIV/0!</v>
      </c>
      <c r="O20" s="383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</row>
    <row r="21" spans="1:26" s="371" customFormat="1" ht="23.1" customHeight="1">
      <c r="A21" s="113"/>
      <c r="B21" s="113" t="s">
        <v>63</v>
      </c>
      <c r="C21" s="113" t="s">
        <v>47</v>
      </c>
      <c r="D21" s="165">
        <f>SUM(D5:D20)</f>
        <v>111113709.71559635</v>
      </c>
      <c r="E21" s="165">
        <f>SUM(E5:E20)</f>
        <v>111079106.66900179</v>
      </c>
      <c r="F21" s="165">
        <f t="shared" si="1"/>
        <v>34603.046594560146</v>
      </c>
      <c r="G21" s="165">
        <f>SUM(G5:G20)</f>
        <v>4157400.3507987717</v>
      </c>
      <c r="H21" s="165">
        <f>SUM(H5:H20)</f>
        <v>3868779.796018837</v>
      </c>
      <c r="I21" s="165">
        <f>G21-H21</f>
        <v>288620.5547799347</v>
      </c>
      <c r="J21" s="382">
        <f t="shared" si="3"/>
        <v>6.942332477661943E-2</v>
      </c>
      <c r="K21" s="165">
        <f>SUM(K5:K20)</f>
        <v>47060018.11816825</v>
      </c>
      <c r="L21" s="165">
        <f>SUM(L5:L20)</f>
        <v>47000639.425066657</v>
      </c>
      <c r="M21" s="165">
        <f>K21-L21</f>
        <v>59378.693101592362</v>
      </c>
      <c r="N21" s="382">
        <f t="shared" si="0"/>
        <v>1.2617651984852998E-3</v>
      </c>
      <c r="O21" s="383"/>
      <c r="P21" s="384" t="s">
        <v>64</v>
      </c>
      <c r="Q21" s="384" t="s">
        <v>64</v>
      </c>
      <c r="R21" s="384" t="s">
        <v>64</v>
      </c>
      <c r="S21" s="384" t="s">
        <v>64</v>
      </c>
      <c r="T21" s="384" t="s">
        <v>64</v>
      </c>
      <c r="U21" s="384" t="s">
        <v>64</v>
      </c>
      <c r="V21" s="384" t="s">
        <v>64</v>
      </c>
      <c r="W21" s="384" t="s">
        <v>64</v>
      </c>
      <c r="X21" s="384" t="s">
        <v>64</v>
      </c>
      <c r="Y21" s="384" t="s">
        <v>64</v>
      </c>
      <c r="Z21" s="384" t="s">
        <v>64</v>
      </c>
    </row>
    <row r="22" spans="1:26" ht="32.1" customHeight="1">
      <c r="A22" s="417" t="s">
        <v>65</v>
      </c>
      <c r="B22" s="417"/>
      <c r="C22" s="417"/>
      <c r="D22" s="417"/>
      <c r="E22" s="417"/>
      <c r="F22" s="417"/>
      <c r="G22" s="417"/>
      <c r="H22" s="417"/>
      <c r="I22" s="417"/>
      <c r="J22" s="417"/>
      <c r="K22" s="417"/>
      <c r="L22" s="417"/>
      <c r="M22" s="417"/>
      <c r="N22" s="417"/>
      <c r="O22" s="417"/>
      <c r="P22" s="385"/>
    </row>
    <row r="23" spans="1:26" ht="18" customHeight="1">
      <c r="A23" s="377"/>
      <c r="B23" s="377"/>
      <c r="C23" s="377"/>
      <c r="D23" s="378" t="s">
        <v>66</v>
      </c>
      <c r="H23" s="377"/>
      <c r="I23" s="377"/>
      <c r="J23" s="377"/>
      <c r="K23" s="377"/>
      <c r="L23" s="377"/>
      <c r="M23" s="377"/>
      <c r="N23" s="377"/>
      <c r="O23" s="377"/>
      <c r="P23" s="385"/>
    </row>
    <row r="24" spans="1:26" ht="18" customHeight="1">
      <c r="A24" s="377"/>
      <c r="B24" s="377"/>
      <c r="C24" s="377"/>
      <c r="D24" s="378"/>
      <c r="H24" s="377"/>
      <c r="I24" s="377"/>
      <c r="J24" s="377"/>
      <c r="K24" s="377"/>
      <c r="L24" s="377"/>
      <c r="M24" s="377"/>
      <c r="N24" s="377"/>
      <c r="O24" s="377"/>
      <c r="P24" s="385"/>
    </row>
    <row r="25" spans="1:26" s="162" customFormat="1">
      <c r="A25" s="379"/>
      <c r="B25" s="380"/>
      <c r="C25" s="380"/>
      <c r="D25" s="379">
        <f>D5+D6+D7+D8+D9</f>
        <v>88289979.769296914</v>
      </c>
      <c r="E25" s="379"/>
      <c r="F25" s="379"/>
      <c r="G25" s="379">
        <f>G5+G6+G7+G8+G9</f>
        <v>3433412.2656293074</v>
      </c>
      <c r="H25" s="379"/>
      <c r="I25" s="379"/>
      <c r="J25" s="379"/>
      <c r="K25" s="379">
        <f>(K5+K6+K7+K8+K9)/1.09</f>
        <v>36175929.998825729</v>
      </c>
      <c r="L25" s="379"/>
      <c r="M25" s="379"/>
      <c r="N25" s="379"/>
    </row>
    <row r="26" spans="1:26">
      <c r="A26" s="379"/>
      <c r="B26" s="381"/>
      <c r="D26" s="378"/>
    </row>
    <row r="28" spans="1:26">
      <c r="A28" s="379"/>
      <c r="B28" s="379"/>
      <c r="C28" s="379"/>
      <c r="D28" s="379"/>
      <c r="E28" s="379"/>
      <c r="F28" s="379"/>
      <c r="G28" s="379"/>
      <c r="H28" s="379"/>
      <c r="I28" s="386" t="s">
        <v>67</v>
      </c>
      <c r="J28" s="387" t="s">
        <v>68</v>
      </c>
      <c r="K28" s="387" t="s">
        <v>69</v>
      </c>
      <c r="L28" s="379"/>
    </row>
    <row r="29" spans="1:26">
      <c r="I29" s="387" t="s">
        <v>42</v>
      </c>
      <c r="J29" s="388">
        <f>+G21-专业分包费!M581</f>
        <v>4302401.7304299995</v>
      </c>
      <c r="K29" s="388">
        <f>+K21-专业分包费!S581</f>
        <v>46043006.2184873</v>
      </c>
    </row>
    <row r="30" spans="1:26">
      <c r="I30" s="387" t="s">
        <v>43</v>
      </c>
      <c r="J30" s="388">
        <f>+H21-专业分包费!P581</f>
        <v>4662323.3777379803</v>
      </c>
      <c r="K30" s="388">
        <f>+L21-专业分包费!V581</f>
        <v>45726751.868348248</v>
      </c>
    </row>
    <row r="31" spans="1:26">
      <c r="I31" s="386" t="s">
        <v>70</v>
      </c>
      <c r="J31" s="388" t="s">
        <v>68</v>
      </c>
      <c r="K31" s="388" t="s">
        <v>69</v>
      </c>
    </row>
    <row r="32" spans="1:26">
      <c r="A32" s="379"/>
      <c r="B32" s="379"/>
      <c r="D32" s="379"/>
      <c r="E32" s="379"/>
      <c r="F32" s="379"/>
      <c r="G32" s="379"/>
      <c r="H32" s="379"/>
      <c r="I32" s="387" t="s">
        <v>42</v>
      </c>
      <c r="J32" s="388">
        <f>+专业分包费!M581</f>
        <v>-145001.37963122781</v>
      </c>
      <c r="K32" s="388">
        <f>+专业分包费!S581</f>
        <v>1017011.89968095</v>
      </c>
      <c r="L32" s="379"/>
    </row>
    <row r="33" spans="1:14">
      <c r="C33" s="379"/>
      <c r="I33" s="387" t="s">
        <v>43</v>
      </c>
      <c r="J33" s="388">
        <f>+专业分包费!P581</f>
        <v>-793543.58171914332</v>
      </c>
      <c r="K33" s="388">
        <f>+专业分包费!V581</f>
        <v>1273887.55671841</v>
      </c>
    </row>
    <row r="34" spans="1:14">
      <c r="B34" s="381"/>
    </row>
    <row r="35" spans="1:14">
      <c r="A35" s="379"/>
      <c r="B35" s="381"/>
    </row>
    <row r="37" spans="1:14">
      <c r="D37" s="379"/>
      <c r="E37" s="379"/>
      <c r="F37" s="379"/>
      <c r="G37" s="379"/>
      <c r="H37" s="379"/>
      <c r="J37" s="379"/>
      <c r="K37" s="379"/>
      <c r="L37" s="379"/>
      <c r="N37" s="379"/>
    </row>
    <row r="41" spans="1:14">
      <c r="D41" s="379"/>
      <c r="E41" s="379"/>
      <c r="F41" s="379"/>
      <c r="G41" s="379"/>
      <c r="H41" s="379"/>
      <c r="J41" s="379"/>
      <c r="K41" s="379"/>
      <c r="L41" s="379"/>
      <c r="N41" s="379"/>
    </row>
    <row r="45" spans="1:14">
      <c r="D45" s="379"/>
      <c r="E45" s="379"/>
      <c r="F45" s="379"/>
      <c r="G45" s="379"/>
      <c r="H45" s="379"/>
      <c r="J45" s="379"/>
      <c r="K45" s="379"/>
      <c r="L45" s="379"/>
      <c r="N45" s="379"/>
    </row>
  </sheetData>
  <mergeCells count="10">
    <mergeCell ref="A22:O22"/>
    <mergeCell ref="A3:A4"/>
    <mergeCell ref="B3:B4"/>
    <mergeCell ref="C3:C4"/>
    <mergeCell ref="O3:O4"/>
    <mergeCell ref="A1:O1"/>
    <mergeCell ref="A2:O2"/>
    <mergeCell ref="D3:F3"/>
    <mergeCell ref="G3:J3"/>
    <mergeCell ref="K3:N3"/>
  </mergeCells>
  <phoneticPr fontId="76" type="noConversion"/>
  <pageMargins left="0.74803149606299213" right="0.74803149606299213" top="0.98425196850393715" bottom="0.98425196850393715" header="0.51181102362204722" footer="0.51181102362204722"/>
  <pageSetup paperSize="9" scale="70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D360-6F5A-402B-91CD-403B37C29A89}">
  <dimension ref="A1:F20"/>
  <sheetViews>
    <sheetView view="pageBreakPreview" topLeftCell="A13" zoomScale="130" zoomScaleNormal="100" workbookViewId="0">
      <selection activeCell="G36" sqref="G36"/>
    </sheetView>
  </sheetViews>
  <sheetFormatPr defaultColWidth="8.75" defaultRowHeight="21" customHeight="1"/>
  <cols>
    <col min="1" max="1" width="4.25" style="367" customWidth="1"/>
    <col min="2" max="2" width="11.25" style="368" customWidth="1"/>
    <col min="3" max="3" width="8.125" style="367" customWidth="1"/>
    <col min="4" max="5" width="8.75" style="367"/>
    <col min="6" max="6" width="13.125" style="367" customWidth="1"/>
    <col min="7" max="16384" width="8.75" style="367"/>
  </cols>
  <sheetData>
    <row r="1" spans="1:6" ht="29.1" customHeight="1">
      <c r="A1" s="422" t="s">
        <v>71</v>
      </c>
      <c r="B1" s="422"/>
      <c r="C1" s="422"/>
      <c r="D1" s="422"/>
      <c r="E1" s="422"/>
      <c r="F1" s="422"/>
    </row>
    <row r="2" spans="1:6" ht="21" customHeight="1">
      <c r="A2" s="369" t="s">
        <v>72</v>
      </c>
      <c r="B2" s="423" t="s">
        <v>73</v>
      </c>
      <c r="C2" s="423"/>
      <c r="D2" s="423"/>
      <c r="E2" s="423"/>
      <c r="F2" s="423"/>
    </row>
    <row r="3" spans="1:6" ht="21" customHeight="1">
      <c r="A3" s="369">
        <v>1</v>
      </c>
      <c r="B3" s="368" t="s">
        <v>74</v>
      </c>
    </row>
    <row r="4" spans="1:6" ht="21" customHeight="1">
      <c r="A4" s="369">
        <v>1.1000000000000001</v>
      </c>
      <c r="B4" s="423" t="s">
        <v>75</v>
      </c>
      <c r="C4" s="423"/>
      <c r="D4" s="423"/>
      <c r="E4" s="423"/>
      <c r="F4" s="423"/>
    </row>
    <row r="5" spans="1:6" ht="27.95" customHeight="1">
      <c r="A5" s="369">
        <v>1.2</v>
      </c>
      <c r="B5" s="423" t="s">
        <v>76</v>
      </c>
      <c r="C5" s="423"/>
      <c r="D5" s="423"/>
      <c r="E5" s="423"/>
      <c r="F5" s="423"/>
    </row>
    <row r="6" spans="1:6" ht="27.95" customHeight="1">
      <c r="A6" s="369">
        <v>1.2999999999999998</v>
      </c>
      <c r="B6" s="423" t="s">
        <v>77</v>
      </c>
      <c r="C6" s="423"/>
      <c r="D6" s="423"/>
      <c r="E6" s="423"/>
      <c r="F6" s="423"/>
    </row>
    <row r="7" spans="1:6" ht="27.95" customHeight="1">
      <c r="A7" s="369">
        <v>1.3999999999999997</v>
      </c>
      <c r="B7" s="423" t="s">
        <v>78</v>
      </c>
      <c r="C7" s="423"/>
      <c r="D7" s="423"/>
      <c r="E7" s="423"/>
      <c r="F7" s="423"/>
    </row>
    <row r="8" spans="1:6" ht="27.95" customHeight="1">
      <c r="A8" s="369">
        <v>1.4999999999999996</v>
      </c>
      <c r="B8" s="423" t="s">
        <v>79</v>
      </c>
      <c r="C8" s="423"/>
      <c r="D8" s="423"/>
      <c r="E8" s="423"/>
      <c r="F8" s="423"/>
    </row>
    <row r="9" spans="1:6" ht="21" customHeight="1">
      <c r="A9" s="370"/>
      <c r="B9" s="423"/>
      <c r="C9" s="423"/>
      <c r="D9" s="423"/>
      <c r="E9" s="423"/>
      <c r="F9" s="423"/>
    </row>
    <row r="10" spans="1:6" ht="21" customHeight="1">
      <c r="A10" s="369" t="s">
        <v>80</v>
      </c>
      <c r="B10" s="423" t="s">
        <v>81</v>
      </c>
      <c r="C10" s="423"/>
      <c r="D10" s="423"/>
      <c r="E10" s="423"/>
      <c r="F10" s="423"/>
    </row>
    <row r="11" spans="1:6" ht="21" customHeight="1">
      <c r="A11" s="370">
        <v>1</v>
      </c>
      <c r="B11" s="423" t="s">
        <v>82</v>
      </c>
      <c r="C11" s="423"/>
      <c r="D11" s="423"/>
      <c r="E11" s="423"/>
      <c r="F11" s="371"/>
    </row>
    <row r="12" spans="1:6" ht="21" customHeight="1">
      <c r="A12" s="369">
        <v>2</v>
      </c>
      <c r="B12" s="368" t="s">
        <v>83</v>
      </c>
      <c r="C12" s="372">
        <f>+汇总表!K21/10000</f>
        <v>4706.0018118168246</v>
      </c>
      <c r="D12" s="373" t="s">
        <v>84</v>
      </c>
      <c r="E12" s="371"/>
      <c r="F12" s="371"/>
    </row>
    <row r="13" spans="1:6" ht="21" customHeight="1">
      <c r="A13" s="369">
        <v>3</v>
      </c>
      <c r="B13" s="368" t="s">
        <v>85</v>
      </c>
      <c r="C13" s="372">
        <f>+汇总表!L21/10000</f>
        <v>4700.0639425066656</v>
      </c>
      <c r="D13" s="373" t="s">
        <v>84</v>
      </c>
    </row>
    <row r="14" spans="1:6" ht="21" customHeight="1">
      <c r="A14" s="369"/>
    </row>
    <row r="15" spans="1:6" ht="21" customHeight="1">
      <c r="A15" s="369" t="s">
        <v>86</v>
      </c>
      <c r="B15" s="423" t="s">
        <v>87</v>
      </c>
      <c r="C15" s="423"/>
      <c r="D15" s="423"/>
      <c r="E15" s="423"/>
      <c r="F15" s="423"/>
    </row>
    <row r="16" spans="1:6" ht="27.95" customHeight="1">
      <c r="A16" s="369">
        <v>1</v>
      </c>
      <c r="B16" s="424" t="s">
        <v>1478</v>
      </c>
      <c r="C16" s="424"/>
      <c r="D16" s="424"/>
      <c r="E16" s="424"/>
      <c r="F16" s="424"/>
    </row>
    <row r="17" spans="1:6" ht="27.95" customHeight="1">
      <c r="A17" s="369">
        <v>2</v>
      </c>
      <c r="B17" s="423" t="s">
        <v>88</v>
      </c>
      <c r="C17" s="423"/>
      <c r="D17" s="423"/>
      <c r="E17" s="423"/>
      <c r="F17" s="423"/>
    </row>
    <row r="18" spans="1:6" ht="21" customHeight="1">
      <c r="A18" s="369"/>
      <c r="C18" s="371"/>
      <c r="D18" s="371"/>
      <c r="E18" s="371"/>
      <c r="F18" s="371"/>
    </row>
    <row r="19" spans="1:6" ht="21" customHeight="1">
      <c r="A19" s="369"/>
      <c r="C19" s="371"/>
      <c r="D19" s="371"/>
      <c r="E19" s="371"/>
      <c r="F19" s="371"/>
    </row>
    <row r="20" spans="1:6" ht="21" customHeight="1">
      <c r="C20" s="371"/>
      <c r="D20" s="371"/>
      <c r="E20" s="371"/>
      <c r="F20" s="371"/>
    </row>
  </sheetData>
  <mergeCells count="13">
    <mergeCell ref="B7:F7"/>
    <mergeCell ref="B17:F17"/>
    <mergeCell ref="B8:F8"/>
    <mergeCell ref="B9:F9"/>
    <mergeCell ref="B10:F10"/>
    <mergeCell ref="B11:E11"/>
    <mergeCell ref="B15:F15"/>
    <mergeCell ref="B16:F16"/>
    <mergeCell ref="A1:F1"/>
    <mergeCell ref="B2:F2"/>
    <mergeCell ref="B4:F4"/>
    <mergeCell ref="B5:F5"/>
    <mergeCell ref="B6:F6"/>
  </mergeCells>
  <phoneticPr fontId="76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420B-FF55-4341-9618-0EACD5F2653F}">
  <sheetPr>
    <tabColor rgb="FF92D050"/>
    <outlinePr summaryBelow="0"/>
  </sheetPr>
  <dimension ref="A1:Z556"/>
  <sheetViews>
    <sheetView zoomScale="115" zoomScaleNormal="115" zoomScaleSheetLayoutView="90" workbookViewId="0">
      <pane ySplit="5" topLeftCell="A6" activePane="bottomLeft" state="frozen"/>
      <selection pane="bottomLeft" activeCell="D288" sqref="D288:F288"/>
    </sheetView>
  </sheetViews>
  <sheetFormatPr defaultColWidth="8.75" defaultRowHeight="23.1" customHeight="1" outlineLevelRow="2"/>
  <cols>
    <col min="1" max="1" width="5.625" customWidth="1"/>
    <col min="2" max="2" width="17.5" customWidth="1"/>
    <col min="3" max="3" width="22.25" customWidth="1"/>
    <col min="4" max="4" width="5.625" customWidth="1"/>
    <col min="5" max="5" width="7.75" style="61" customWidth="1"/>
    <col min="6" max="6" width="8.25" style="61" customWidth="1"/>
    <col min="7" max="7" width="12.75" style="61" customWidth="1"/>
    <col min="8" max="8" width="7.5" style="61" customWidth="1"/>
    <col min="9" max="9" width="6.75" style="61" customWidth="1"/>
    <col min="10" max="10" width="12.75" style="61" customWidth="1"/>
    <col min="11" max="12" width="9.5" style="61" customWidth="1"/>
    <col min="13" max="13" width="11.625" style="61" customWidth="1"/>
    <col min="14" max="15" width="7.75" style="61" customWidth="1"/>
    <col min="16" max="16" width="12.75" style="61" customWidth="1"/>
    <col min="17" max="18" width="9.5" style="61" customWidth="1"/>
    <col min="19" max="19" width="12.75" style="61" customWidth="1"/>
    <col min="20" max="21" width="9.5" style="61" customWidth="1"/>
    <col min="22" max="22" width="12.75" style="61" customWidth="1"/>
    <col min="23" max="23" width="7.625" customWidth="1"/>
    <col min="24" max="24" width="7.875" customWidth="1"/>
    <col min="25" max="25" width="4.875" customWidth="1"/>
    <col min="26" max="26" width="14.25" style="61" customWidth="1"/>
  </cols>
  <sheetData>
    <row r="1" spans="1:26" ht="17.100000000000001" customHeight="1">
      <c r="A1" s="425" t="s">
        <v>1479</v>
      </c>
      <c r="B1" s="425"/>
      <c r="C1" s="425"/>
      <c r="D1" s="425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7"/>
      <c r="T1" s="426"/>
      <c r="U1" s="426"/>
      <c r="V1" s="426"/>
      <c r="W1" s="425"/>
    </row>
    <row r="2" spans="1:26" s="59" customFormat="1" ht="17.100000000000001" customHeight="1">
      <c r="A2" s="428" t="s">
        <v>89</v>
      </c>
      <c r="B2" s="428"/>
      <c r="C2" s="428"/>
      <c r="D2" s="428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8"/>
      <c r="Z2" s="270"/>
    </row>
    <row r="3" spans="1:26" s="59" customFormat="1" ht="17.100000000000001" customHeight="1">
      <c r="A3" s="453" t="s">
        <v>32</v>
      </c>
      <c r="B3" s="454" t="s">
        <v>90</v>
      </c>
      <c r="C3" s="455" t="s">
        <v>91</v>
      </c>
      <c r="D3" s="457" t="s">
        <v>34</v>
      </c>
      <c r="E3" s="430" t="s">
        <v>92</v>
      </c>
      <c r="F3" s="430"/>
      <c r="G3" s="430"/>
      <c r="H3" s="430"/>
      <c r="I3" s="430"/>
      <c r="J3" s="430"/>
      <c r="K3" s="430" t="s">
        <v>36</v>
      </c>
      <c r="L3" s="430"/>
      <c r="M3" s="430"/>
      <c r="N3" s="430"/>
      <c r="O3" s="430"/>
      <c r="P3" s="430"/>
      <c r="Q3" s="430" t="s">
        <v>37</v>
      </c>
      <c r="R3" s="430"/>
      <c r="S3" s="430"/>
      <c r="T3" s="430"/>
      <c r="U3" s="430"/>
      <c r="V3" s="430"/>
      <c r="W3" s="447" t="s">
        <v>38</v>
      </c>
      <c r="Z3" s="114" t="s">
        <v>93</v>
      </c>
    </row>
    <row r="4" spans="1:26" s="59" customFormat="1" ht="17.100000000000001" customHeight="1">
      <c r="A4" s="420"/>
      <c r="B4" s="420"/>
      <c r="C4" s="456"/>
      <c r="D4" s="420"/>
      <c r="E4" s="430" t="s">
        <v>42</v>
      </c>
      <c r="F4" s="430"/>
      <c r="G4" s="430"/>
      <c r="H4" s="430" t="s">
        <v>94</v>
      </c>
      <c r="I4" s="431"/>
      <c r="J4" s="431"/>
      <c r="K4" s="430" t="s">
        <v>42</v>
      </c>
      <c r="L4" s="430"/>
      <c r="M4" s="430"/>
      <c r="N4" s="430" t="s">
        <v>43</v>
      </c>
      <c r="O4" s="430"/>
      <c r="P4" s="430"/>
      <c r="Q4" s="430" t="s">
        <v>42</v>
      </c>
      <c r="R4" s="430"/>
      <c r="S4" s="430"/>
      <c r="T4" s="430" t="s">
        <v>43</v>
      </c>
      <c r="U4" s="430"/>
      <c r="V4" s="430"/>
      <c r="W4" s="447"/>
      <c r="Z4" s="114" t="s">
        <v>42</v>
      </c>
    </row>
    <row r="5" spans="1:26" s="59" customFormat="1" ht="17.100000000000001" customHeight="1">
      <c r="A5" s="420"/>
      <c r="B5" s="420"/>
      <c r="C5" s="456"/>
      <c r="D5" s="420"/>
      <c r="E5" s="114" t="s">
        <v>95</v>
      </c>
      <c r="F5" s="114" t="s">
        <v>96</v>
      </c>
      <c r="G5" s="114" t="s">
        <v>97</v>
      </c>
      <c r="H5" s="114" t="s">
        <v>95</v>
      </c>
      <c r="I5" s="114" t="s">
        <v>96</v>
      </c>
      <c r="J5" s="114" t="s">
        <v>63</v>
      </c>
      <c r="K5" s="114" t="s">
        <v>95</v>
      </c>
      <c r="L5" s="114" t="s">
        <v>96</v>
      </c>
      <c r="M5" s="114" t="s">
        <v>97</v>
      </c>
      <c r="N5" s="114" t="s">
        <v>95</v>
      </c>
      <c r="O5" s="114" t="s">
        <v>96</v>
      </c>
      <c r="P5" s="114" t="s">
        <v>97</v>
      </c>
      <c r="Q5" s="114" t="s">
        <v>95</v>
      </c>
      <c r="R5" s="114" t="s">
        <v>96</v>
      </c>
      <c r="S5" s="114" t="s">
        <v>97</v>
      </c>
      <c r="T5" s="114" t="s">
        <v>95</v>
      </c>
      <c r="U5" s="114" t="s">
        <v>96</v>
      </c>
      <c r="V5" s="114" t="s">
        <v>97</v>
      </c>
      <c r="W5" s="447"/>
      <c r="Z5" s="114" t="s">
        <v>95</v>
      </c>
    </row>
    <row r="6" spans="1:26" s="215" customFormat="1" ht="23.1" customHeight="1" collapsed="1">
      <c r="A6" s="337" t="s">
        <v>98</v>
      </c>
      <c r="B6" s="337" t="s">
        <v>99</v>
      </c>
      <c r="C6" s="338"/>
      <c r="D6" s="221"/>
      <c r="E6" s="222"/>
      <c r="F6" s="222"/>
      <c r="G6" s="222">
        <v>2347723.931222246</v>
      </c>
      <c r="H6" s="222"/>
      <c r="I6" s="266"/>
      <c r="J6" s="222">
        <v>2769234.8600000003</v>
      </c>
      <c r="K6" s="222"/>
      <c r="L6" s="266"/>
      <c r="M6" s="222">
        <f>+M7+M33</f>
        <v>-45348.832029357793</v>
      </c>
      <c r="N6" s="222"/>
      <c r="O6" s="222"/>
      <c r="P6" s="222">
        <f>+P7+P33</f>
        <v>-64500</v>
      </c>
      <c r="Q6" s="222"/>
      <c r="R6" s="266"/>
      <c r="S6" s="222">
        <f>+S7+S33</f>
        <v>2297592.4669826441</v>
      </c>
      <c r="T6" s="222"/>
      <c r="U6" s="222"/>
      <c r="V6" s="222">
        <f>+V7+V33</f>
        <v>2434226.1799999997</v>
      </c>
      <c r="W6" s="137"/>
      <c r="Z6" s="283"/>
    </row>
    <row r="7" spans="1:26" s="215" customFormat="1" ht="23.1" hidden="1" customHeight="1" outlineLevel="1" collapsed="1">
      <c r="A7" s="337">
        <v>1</v>
      </c>
      <c r="B7" s="220" t="s">
        <v>100</v>
      </c>
      <c r="C7" s="220"/>
      <c r="D7" s="220"/>
      <c r="E7" s="222"/>
      <c r="F7" s="222"/>
      <c r="G7" s="222"/>
      <c r="H7" s="222"/>
      <c r="I7" s="266"/>
      <c r="J7" s="222"/>
      <c r="K7" s="222"/>
      <c r="L7" s="266"/>
      <c r="M7" s="222">
        <f>SUM(M8:M32)</f>
        <v>0</v>
      </c>
      <c r="N7" s="222"/>
      <c r="O7" s="222"/>
      <c r="P7" s="222">
        <f>SUM(P8:P32)</f>
        <v>0</v>
      </c>
      <c r="Q7" s="222"/>
      <c r="R7" s="266"/>
      <c r="S7" s="222">
        <f>SUM(S8:S32)</f>
        <v>770848.73768801184</v>
      </c>
      <c r="T7" s="222"/>
      <c r="U7" s="222"/>
      <c r="V7" s="222">
        <f>SUM(V8:V32)</f>
        <v>612004.43000000005</v>
      </c>
      <c r="W7" s="137"/>
      <c r="Z7" s="283"/>
    </row>
    <row r="8" spans="1:26" s="216" customFormat="1" ht="23.1" hidden="1" customHeight="1" outlineLevel="2">
      <c r="A8" s="339">
        <v>1.1000000000000001</v>
      </c>
      <c r="B8" s="223" t="s">
        <v>101</v>
      </c>
      <c r="C8" s="223" t="s">
        <v>102</v>
      </c>
      <c r="D8" s="223" t="s">
        <v>103</v>
      </c>
      <c r="E8" s="207">
        <v>530.03</v>
      </c>
      <c r="F8" s="205">
        <v>44.018139302752289</v>
      </c>
      <c r="G8" s="205">
        <v>23330.934374637793</v>
      </c>
      <c r="H8" s="207">
        <v>530.03</v>
      </c>
      <c r="I8" s="345">
        <v>180</v>
      </c>
      <c r="J8" s="207">
        <v>95405.4</v>
      </c>
      <c r="K8" s="207">
        <f>+Q8-Z8</f>
        <v>0</v>
      </c>
      <c r="L8" s="267">
        <f>+F8</f>
        <v>44.018139302752289</v>
      </c>
      <c r="M8" s="205">
        <f>+L8*K8</f>
        <v>0</v>
      </c>
      <c r="N8" s="207">
        <f>+K8</f>
        <v>0</v>
      </c>
      <c r="O8" s="207">
        <f>+U8</f>
        <v>150</v>
      </c>
      <c r="P8" s="205">
        <f>+O8*N8</f>
        <v>0</v>
      </c>
      <c r="Q8" s="206">
        <v>530.03</v>
      </c>
      <c r="R8" s="267">
        <f>+F8</f>
        <v>44.018139302752289</v>
      </c>
      <c r="S8" s="205">
        <f>+R8*Q8</f>
        <v>23330.934374637793</v>
      </c>
      <c r="T8" s="207">
        <f>+Q8</f>
        <v>530.03</v>
      </c>
      <c r="U8" s="207">
        <v>150</v>
      </c>
      <c r="V8" s="205">
        <f>+U8*T8</f>
        <v>79504.5</v>
      </c>
      <c r="W8" s="123"/>
      <c r="Z8" s="346">
        <v>530.03</v>
      </c>
    </row>
    <row r="9" spans="1:26" s="216" customFormat="1" ht="23.1" hidden="1" customHeight="1" outlineLevel="2">
      <c r="A9" s="339">
        <v>1.2</v>
      </c>
      <c r="B9" s="223" t="s">
        <v>104</v>
      </c>
      <c r="C9" s="223" t="s">
        <v>105</v>
      </c>
      <c r="D9" s="223" t="s">
        <v>103</v>
      </c>
      <c r="E9" s="207">
        <v>3895.64</v>
      </c>
      <c r="F9" s="205">
        <v>47.75508110091743</v>
      </c>
      <c r="G9" s="205">
        <v>186036.60413997798</v>
      </c>
      <c r="H9" s="207">
        <v>3895.64</v>
      </c>
      <c r="I9" s="345">
        <v>48.5</v>
      </c>
      <c r="J9" s="207">
        <v>188938.54</v>
      </c>
      <c r="K9" s="207">
        <f t="shared" ref="K9:K32" si="0">+Q9-Z9</f>
        <v>0</v>
      </c>
      <c r="L9" s="267">
        <f t="shared" ref="L9:L31" si="1">+F9</f>
        <v>47.75508110091743</v>
      </c>
      <c r="M9" s="205">
        <f t="shared" ref="M9:M72" si="2">+L9*K9</f>
        <v>0</v>
      </c>
      <c r="N9" s="207">
        <f t="shared" ref="N9:N32" si="3">+K9</f>
        <v>0</v>
      </c>
      <c r="O9" s="207">
        <f t="shared" ref="O9:O31" si="4">+U9</f>
        <v>48.5</v>
      </c>
      <c r="P9" s="205">
        <f t="shared" ref="P9:P20" si="5">+O9*N9</f>
        <v>0</v>
      </c>
      <c r="Q9" s="206">
        <v>3895.64</v>
      </c>
      <c r="R9" s="267">
        <f t="shared" ref="R9:R31" si="6">+F9</f>
        <v>47.75508110091743</v>
      </c>
      <c r="S9" s="205">
        <f t="shared" ref="S9:S32" si="7">+R9*Q9</f>
        <v>186036.60413997798</v>
      </c>
      <c r="T9" s="207">
        <f t="shared" ref="T9:T31" si="8">+Q9</f>
        <v>3895.64</v>
      </c>
      <c r="U9" s="207">
        <v>48.5</v>
      </c>
      <c r="V9" s="205">
        <f t="shared" ref="V9:V72" si="9">+U9*T9</f>
        <v>188938.54</v>
      </c>
      <c r="W9" s="123"/>
      <c r="Z9" s="346">
        <v>3895.64</v>
      </c>
    </row>
    <row r="10" spans="1:26" s="216" customFormat="1" ht="23.1" hidden="1" customHeight="1" outlineLevel="2">
      <c r="A10" s="339">
        <v>1.2999999999999998</v>
      </c>
      <c r="B10" s="223" t="s">
        <v>106</v>
      </c>
      <c r="C10" s="223" t="s">
        <v>107</v>
      </c>
      <c r="D10" s="223" t="s">
        <v>103</v>
      </c>
      <c r="E10" s="207">
        <v>1201.57</v>
      </c>
      <c r="F10" s="205">
        <v>80.439094899082562</v>
      </c>
      <c r="G10" s="205">
        <v>96653.203257890622</v>
      </c>
      <c r="H10" s="207">
        <v>1201.57</v>
      </c>
      <c r="I10" s="345">
        <v>48.5</v>
      </c>
      <c r="J10" s="207">
        <v>58276.144999999997</v>
      </c>
      <c r="K10" s="207">
        <f t="shared" si="0"/>
        <v>0</v>
      </c>
      <c r="L10" s="267">
        <f t="shared" si="1"/>
        <v>80.439094899082562</v>
      </c>
      <c r="M10" s="205">
        <f t="shared" si="2"/>
        <v>0</v>
      </c>
      <c r="N10" s="207">
        <f t="shared" si="3"/>
        <v>0</v>
      </c>
      <c r="O10" s="207">
        <f t="shared" si="4"/>
        <v>48.5</v>
      </c>
      <c r="P10" s="205">
        <f t="shared" si="5"/>
        <v>0</v>
      </c>
      <c r="Q10" s="206">
        <v>1201.57</v>
      </c>
      <c r="R10" s="267">
        <f t="shared" si="6"/>
        <v>80.439094899082562</v>
      </c>
      <c r="S10" s="205">
        <f t="shared" si="7"/>
        <v>96653.203257890622</v>
      </c>
      <c r="T10" s="207">
        <f t="shared" si="8"/>
        <v>1201.57</v>
      </c>
      <c r="U10" s="207">
        <v>48.5</v>
      </c>
      <c r="V10" s="205">
        <f t="shared" si="9"/>
        <v>58276.144999999997</v>
      </c>
      <c r="W10" s="123"/>
      <c r="Z10" s="346">
        <v>1201.57</v>
      </c>
    </row>
    <row r="11" spans="1:26" s="216" customFormat="1" ht="23.1" hidden="1" customHeight="1" outlineLevel="2">
      <c r="A11" s="339">
        <v>1.3999999999999997</v>
      </c>
      <c r="B11" s="223" t="s">
        <v>108</v>
      </c>
      <c r="C11" s="223" t="s">
        <v>109</v>
      </c>
      <c r="D11" s="223" t="s">
        <v>103</v>
      </c>
      <c r="E11" s="207">
        <v>182.21</v>
      </c>
      <c r="F11" s="205">
        <v>80.439094899082562</v>
      </c>
      <c r="G11" s="205">
        <v>14656.807481561835</v>
      </c>
      <c r="H11" s="207">
        <v>182.21</v>
      </c>
      <c r="I11" s="345">
        <v>48.5</v>
      </c>
      <c r="J11" s="207">
        <v>8837.1849999999995</v>
      </c>
      <c r="K11" s="207">
        <f t="shared" si="0"/>
        <v>0</v>
      </c>
      <c r="L11" s="267">
        <f t="shared" si="1"/>
        <v>80.439094899082562</v>
      </c>
      <c r="M11" s="205">
        <f t="shared" si="2"/>
        <v>0</v>
      </c>
      <c r="N11" s="207">
        <f t="shared" si="3"/>
        <v>0</v>
      </c>
      <c r="O11" s="207">
        <f t="shared" si="4"/>
        <v>48.5</v>
      </c>
      <c r="P11" s="205">
        <f t="shared" si="5"/>
        <v>0</v>
      </c>
      <c r="Q11" s="206">
        <v>182.21</v>
      </c>
      <c r="R11" s="267">
        <f t="shared" si="6"/>
        <v>80.439094899082562</v>
      </c>
      <c r="S11" s="205">
        <f t="shared" si="7"/>
        <v>14656.807481561835</v>
      </c>
      <c r="T11" s="207">
        <f t="shared" si="8"/>
        <v>182.21</v>
      </c>
      <c r="U11" s="207">
        <v>48.5</v>
      </c>
      <c r="V11" s="205">
        <f t="shared" si="9"/>
        <v>8837.1849999999995</v>
      </c>
      <c r="W11" s="123"/>
      <c r="Z11" s="346">
        <v>182.21</v>
      </c>
    </row>
    <row r="12" spans="1:26" s="216" customFormat="1" ht="23.1" hidden="1" customHeight="1" outlineLevel="2">
      <c r="A12" s="339">
        <v>1.4999999999999996</v>
      </c>
      <c r="B12" s="223" t="s">
        <v>110</v>
      </c>
      <c r="C12" s="223" t="s">
        <v>105</v>
      </c>
      <c r="D12" s="223" t="s">
        <v>103</v>
      </c>
      <c r="E12" s="207">
        <v>481.52</v>
      </c>
      <c r="F12" s="205">
        <v>80.439094899082562</v>
      </c>
      <c r="G12" s="205">
        <v>38733.032975806236</v>
      </c>
      <c r="H12" s="207">
        <v>481.52</v>
      </c>
      <c r="I12" s="345">
        <v>48.5</v>
      </c>
      <c r="J12" s="205">
        <v>23353.719999999998</v>
      </c>
      <c r="K12" s="207">
        <f t="shared" si="0"/>
        <v>0</v>
      </c>
      <c r="L12" s="267">
        <f t="shared" si="1"/>
        <v>80.439094899082562</v>
      </c>
      <c r="M12" s="205">
        <f t="shared" si="2"/>
        <v>0</v>
      </c>
      <c r="N12" s="207">
        <f t="shared" si="3"/>
        <v>0</v>
      </c>
      <c r="O12" s="207">
        <f t="shared" si="4"/>
        <v>48.5</v>
      </c>
      <c r="P12" s="205">
        <f t="shared" si="5"/>
        <v>0</v>
      </c>
      <c r="Q12" s="206">
        <v>481.52</v>
      </c>
      <c r="R12" s="267">
        <f t="shared" si="6"/>
        <v>80.439094899082562</v>
      </c>
      <c r="S12" s="205">
        <f t="shared" si="7"/>
        <v>38733.032975806236</v>
      </c>
      <c r="T12" s="207">
        <f t="shared" si="8"/>
        <v>481.52</v>
      </c>
      <c r="U12" s="207">
        <v>48.5</v>
      </c>
      <c r="V12" s="205">
        <f t="shared" si="9"/>
        <v>23353.719999999998</v>
      </c>
      <c r="W12" s="123"/>
      <c r="Z12" s="346">
        <v>481.52</v>
      </c>
    </row>
    <row r="13" spans="1:26" s="216" customFormat="1" ht="23.1" hidden="1" customHeight="1" outlineLevel="2">
      <c r="A13" s="339">
        <v>1.5999999999999994</v>
      </c>
      <c r="B13" s="223" t="s">
        <v>111</v>
      </c>
      <c r="C13" s="223" t="s">
        <v>112</v>
      </c>
      <c r="D13" s="223" t="s">
        <v>103</v>
      </c>
      <c r="E13" s="207">
        <v>394.28</v>
      </c>
      <c r="F13" s="205">
        <v>80.439094899082562</v>
      </c>
      <c r="G13" s="205">
        <v>31715.526336810271</v>
      </c>
      <c r="H13" s="207">
        <v>394.28</v>
      </c>
      <c r="I13" s="345">
        <v>48.5</v>
      </c>
      <c r="J13" s="205">
        <v>19122.579999999998</v>
      </c>
      <c r="K13" s="207">
        <f t="shared" si="0"/>
        <v>0</v>
      </c>
      <c r="L13" s="267">
        <f t="shared" si="1"/>
        <v>80.439094899082562</v>
      </c>
      <c r="M13" s="205">
        <f t="shared" si="2"/>
        <v>0</v>
      </c>
      <c r="N13" s="207">
        <f t="shared" si="3"/>
        <v>0</v>
      </c>
      <c r="O13" s="207">
        <f t="shared" si="4"/>
        <v>48.5</v>
      </c>
      <c r="P13" s="205">
        <f t="shared" si="5"/>
        <v>0</v>
      </c>
      <c r="Q13" s="206">
        <v>394.28</v>
      </c>
      <c r="R13" s="267">
        <f t="shared" si="6"/>
        <v>80.439094899082562</v>
      </c>
      <c r="S13" s="205">
        <f t="shared" si="7"/>
        <v>31715.526336810271</v>
      </c>
      <c r="T13" s="207">
        <f t="shared" si="8"/>
        <v>394.28</v>
      </c>
      <c r="U13" s="207">
        <v>48.5</v>
      </c>
      <c r="V13" s="205">
        <f t="shared" si="9"/>
        <v>19122.579999999998</v>
      </c>
      <c r="W13" s="123"/>
      <c r="Z13" s="346">
        <v>394.28</v>
      </c>
    </row>
    <row r="14" spans="1:26" s="216" customFormat="1" ht="23.1" hidden="1" customHeight="1" outlineLevel="2">
      <c r="A14" s="339">
        <v>1.6999999999999993</v>
      </c>
      <c r="B14" s="223" t="s">
        <v>113</v>
      </c>
      <c r="C14" s="223" t="s">
        <v>114</v>
      </c>
      <c r="D14" s="223" t="s">
        <v>103</v>
      </c>
      <c r="E14" s="207">
        <v>560.17999999999995</v>
      </c>
      <c r="F14" s="205">
        <v>80.439094899082562</v>
      </c>
      <c r="G14" s="205">
        <v>45060.372180568069</v>
      </c>
      <c r="H14" s="207">
        <v>560.17999999999995</v>
      </c>
      <c r="I14" s="345">
        <v>48.5</v>
      </c>
      <c r="J14" s="205">
        <v>27168.729999999996</v>
      </c>
      <c r="K14" s="207">
        <f t="shared" si="0"/>
        <v>0</v>
      </c>
      <c r="L14" s="267">
        <f t="shared" si="1"/>
        <v>80.439094899082562</v>
      </c>
      <c r="M14" s="205">
        <f t="shared" si="2"/>
        <v>0</v>
      </c>
      <c r="N14" s="207">
        <f t="shared" si="3"/>
        <v>0</v>
      </c>
      <c r="O14" s="207">
        <f t="shared" si="4"/>
        <v>48.5</v>
      </c>
      <c r="P14" s="205">
        <f t="shared" si="5"/>
        <v>0</v>
      </c>
      <c r="Q14" s="206">
        <v>560.17999999999995</v>
      </c>
      <c r="R14" s="267">
        <f t="shared" si="6"/>
        <v>80.439094899082562</v>
      </c>
      <c r="S14" s="205">
        <f t="shared" si="7"/>
        <v>45060.372180568069</v>
      </c>
      <c r="T14" s="207">
        <f t="shared" si="8"/>
        <v>560.17999999999995</v>
      </c>
      <c r="U14" s="207">
        <v>48.5</v>
      </c>
      <c r="V14" s="205">
        <f t="shared" si="9"/>
        <v>27168.729999999996</v>
      </c>
      <c r="W14" s="123"/>
      <c r="Z14" s="346">
        <v>560.17999999999995</v>
      </c>
    </row>
    <row r="15" spans="1:26" s="216" customFormat="1" ht="23.1" hidden="1" customHeight="1" outlineLevel="2">
      <c r="A15" s="339">
        <v>1.7999999999999992</v>
      </c>
      <c r="B15" s="223" t="s">
        <v>115</v>
      </c>
      <c r="C15" s="223" t="s">
        <v>116</v>
      </c>
      <c r="D15" s="223" t="s">
        <v>103</v>
      </c>
      <c r="E15" s="207">
        <v>335.64</v>
      </c>
      <c r="F15" s="205">
        <v>80.439094899082562</v>
      </c>
      <c r="G15" s="205">
        <v>26998.577811928069</v>
      </c>
      <c r="H15" s="207">
        <v>335.64</v>
      </c>
      <c r="I15" s="345">
        <v>48.5</v>
      </c>
      <c r="J15" s="207">
        <v>16278.54</v>
      </c>
      <c r="K15" s="207">
        <f t="shared" si="0"/>
        <v>0</v>
      </c>
      <c r="L15" s="267">
        <f t="shared" si="1"/>
        <v>80.439094899082562</v>
      </c>
      <c r="M15" s="205">
        <f t="shared" si="2"/>
        <v>0</v>
      </c>
      <c r="N15" s="207">
        <f t="shared" si="3"/>
        <v>0</v>
      </c>
      <c r="O15" s="207">
        <f t="shared" si="4"/>
        <v>48.5</v>
      </c>
      <c r="P15" s="205">
        <f t="shared" si="5"/>
        <v>0</v>
      </c>
      <c r="Q15" s="206">
        <v>335.64</v>
      </c>
      <c r="R15" s="267">
        <f t="shared" si="6"/>
        <v>80.439094899082562</v>
      </c>
      <c r="S15" s="205">
        <f t="shared" si="7"/>
        <v>26998.577811928069</v>
      </c>
      <c r="T15" s="207">
        <f t="shared" si="8"/>
        <v>335.64</v>
      </c>
      <c r="U15" s="207">
        <v>48.5</v>
      </c>
      <c r="V15" s="205">
        <f t="shared" si="9"/>
        <v>16278.539999999999</v>
      </c>
      <c r="W15" s="123"/>
      <c r="Z15" s="346">
        <v>335.64</v>
      </c>
    </row>
    <row r="16" spans="1:26" s="216" customFormat="1" ht="23.1" hidden="1" customHeight="1" outlineLevel="2">
      <c r="A16" s="339">
        <v>1.899999999999999</v>
      </c>
      <c r="B16" s="223" t="s">
        <v>117</v>
      </c>
      <c r="C16" s="223" t="s">
        <v>116</v>
      </c>
      <c r="D16" s="223" t="s">
        <v>103</v>
      </c>
      <c r="E16" s="207">
        <v>39.15</v>
      </c>
      <c r="F16" s="205">
        <v>80.439094899082562</v>
      </c>
      <c r="G16" s="205">
        <v>3149.1905652990822</v>
      </c>
      <c r="H16" s="207">
        <v>39.15</v>
      </c>
      <c r="I16" s="345">
        <v>48.5</v>
      </c>
      <c r="J16" s="207">
        <v>1898.7750000000001</v>
      </c>
      <c r="K16" s="207">
        <f t="shared" si="0"/>
        <v>0</v>
      </c>
      <c r="L16" s="267">
        <f t="shared" si="1"/>
        <v>80.439094899082562</v>
      </c>
      <c r="M16" s="205">
        <f t="shared" si="2"/>
        <v>0</v>
      </c>
      <c r="N16" s="207">
        <f t="shared" si="3"/>
        <v>0</v>
      </c>
      <c r="O16" s="207">
        <f t="shared" si="4"/>
        <v>48.5</v>
      </c>
      <c r="P16" s="205">
        <f t="shared" si="5"/>
        <v>0</v>
      </c>
      <c r="Q16" s="206">
        <v>39.15</v>
      </c>
      <c r="R16" s="267">
        <f t="shared" si="6"/>
        <v>80.439094899082562</v>
      </c>
      <c r="S16" s="205">
        <f t="shared" si="7"/>
        <v>3149.1905652990822</v>
      </c>
      <c r="T16" s="207">
        <f t="shared" si="8"/>
        <v>39.15</v>
      </c>
      <c r="U16" s="207">
        <v>48.5</v>
      </c>
      <c r="V16" s="205">
        <f t="shared" si="9"/>
        <v>1898.7749999999999</v>
      </c>
      <c r="W16" s="123"/>
      <c r="Z16" s="346">
        <v>39.15</v>
      </c>
    </row>
    <row r="17" spans="1:26" s="216" customFormat="1" ht="23.1" hidden="1" customHeight="1" outlineLevel="2">
      <c r="A17" s="340">
        <v>1.1000000000000001</v>
      </c>
      <c r="B17" s="223" t="s">
        <v>118</v>
      </c>
      <c r="C17" s="223" t="s">
        <v>119</v>
      </c>
      <c r="D17" s="223" t="s">
        <v>103</v>
      </c>
      <c r="E17" s="207">
        <v>1349.99</v>
      </c>
      <c r="F17" s="205">
        <v>73.230780770642198</v>
      </c>
      <c r="G17" s="205">
        <v>98860.821732559256</v>
      </c>
      <c r="H17" s="207">
        <v>1349.99</v>
      </c>
      <c r="I17" s="345">
        <v>48.5</v>
      </c>
      <c r="J17" s="207">
        <v>65474.514999999999</v>
      </c>
      <c r="K17" s="207">
        <f t="shared" si="0"/>
        <v>0</v>
      </c>
      <c r="L17" s="267">
        <f t="shared" si="1"/>
        <v>73.230780770642198</v>
      </c>
      <c r="M17" s="205">
        <f t="shared" si="2"/>
        <v>0</v>
      </c>
      <c r="N17" s="207">
        <f t="shared" si="3"/>
        <v>0</v>
      </c>
      <c r="O17" s="207">
        <f t="shared" si="4"/>
        <v>48.5</v>
      </c>
      <c r="P17" s="205">
        <f t="shared" si="5"/>
        <v>0</v>
      </c>
      <c r="Q17" s="206">
        <v>1349.99</v>
      </c>
      <c r="R17" s="267">
        <f t="shared" si="6"/>
        <v>73.230780770642198</v>
      </c>
      <c r="S17" s="205">
        <f t="shared" si="7"/>
        <v>98860.821732559256</v>
      </c>
      <c r="T17" s="207">
        <f t="shared" si="8"/>
        <v>1349.99</v>
      </c>
      <c r="U17" s="207">
        <v>48.5</v>
      </c>
      <c r="V17" s="205">
        <f t="shared" si="9"/>
        <v>65474.514999999999</v>
      </c>
      <c r="W17" s="123"/>
      <c r="Z17" s="346">
        <v>1349.99</v>
      </c>
    </row>
    <row r="18" spans="1:26" s="216" customFormat="1" ht="23.1" hidden="1" customHeight="1" outlineLevel="2">
      <c r="A18" s="339">
        <v>1.1100000000000001</v>
      </c>
      <c r="B18" s="223" t="s">
        <v>120</v>
      </c>
      <c r="C18" s="223" t="s">
        <v>116</v>
      </c>
      <c r="D18" s="223" t="s">
        <v>103</v>
      </c>
      <c r="E18" s="207">
        <v>1871.42</v>
      </c>
      <c r="F18" s="205">
        <v>73.230780770642198</v>
      </c>
      <c r="G18" s="205">
        <v>137045.54774979522</v>
      </c>
      <c r="H18" s="207">
        <v>1871.42</v>
      </c>
      <c r="I18" s="345">
        <v>48.5</v>
      </c>
      <c r="J18" s="207">
        <v>90763.87000000001</v>
      </c>
      <c r="K18" s="207">
        <f t="shared" si="0"/>
        <v>0</v>
      </c>
      <c r="L18" s="267">
        <f t="shared" si="1"/>
        <v>73.230780770642198</v>
      </c>
      <c r="M18" s="205">
        <f t="shared" si="2"/>
        <v>0</v>
      </c>
      <c r="N18" s="207">
        <f t="shared" si="3"/>
        <v>0</v>
      </c>
      <c r="O18" s="207">
        <f t="shared" si="4"/>
        <v>48.5</v>
      </c>
      <c r="P18" s="205">
        <f t="shared" si="5"/>
        <v>0</v>
      </c>
      <c r="Q18" s="206">
        <v>1871.42</v>
      </c>
      <c r="R18" s="267">
        <f t="shared" si="6"/>
        <v>73.230780770642198</v>
      </c>
      <c r="S18" s="205">
        <f t="shared" si="7"/>
        <v>137045.54774979522</v>
      </c>
      <c r="T18" s="207">
        <f t="shared" si="8"/>
        <v>1871.42</v>
      </c>
      <c r="U18" s="207">
        <v>48.5</v>
      </c>
      <c r="V18" s="205">
        <f t="shared" si="9"/>
        <v>90763.87000000001</v>
      </c>
      <c r="W18" s="123"/>
      <c r="Z18" s="346">
        <v>1871.42</v>
      </c>
    </row>
    <row r="19" spans="1:26" s="216" customFormat="1" ht="23.1" hidden="1" customHeight="1" outlineLevel="2">
      <c r="A19" s="340">
        <v>1.1200000000000001</v>
      </c>
      <c r="B19" s="223" t="s">
        <v>121</v>
      </c>
      <c r="C19" s="223" t="s">
        <v>116</v>
      </c>
      <c r="D19" s="223" t="s">
        <v>103</v>
      </c>
      <c r="E19" s="207">
        <v>155.94</v>
      </c>
      <c r="F19" s="205">
        <v>73.230780770642198</v>
      </c>
      <c r="G19" s="205">
        <v>11419.607953373945</v>
      </c>
      <c r="H19" s="207">
        <v>155.94</v>
      </c>
      <c r="I19" s="345">
        <v>48.5</v>
      </c>
      <c r="J19" s="207">
        <v>7563.09</v>
      </c>
      <c r="K19" s="207">
        <f t="shared" si="0"/>
        <v>0</v>
      </c>
      <c r="L19" s="267">
        <f t="shared" si="1"/>
        <v>73.230780770642198</v>
      </c>
      <c r="M19" s="205">
        <f t="shared" si="2"/>
        <v>0</v>
      </c>
      <c r="N19" s="207">
        <f t="shared" si="3"/>
        <v>0</v>
      </c>
      <c r="O19" s="207">
        <f t="shared" si="4"/>
        <v>48.5</v>
      </c>
      <c r="P19" s="205">
        <f t="shared" si="5"/>
        <v>0</v>
      </c>
      <c r="Q19" s="206">
        <v>155.94</v>
      </c>
      <c r="R19" s="267">
        <f t="shared" si="6"/>
        <v>73.230780770642198</v>
      </c>
      <c r="S19" s="205">
        <f t="shared" si="7"/>
        <v>11419.607953373945</v>
      </c>
      <c r="T19" s="207">
        <f t="shared" si="8"/>
        <v>155.94</v>
      </c>
      <c r="U19" s="207">
        <v>48.5</v>
      </c>
      <c r="V19" s="205">
        <f t="shared" si="9"/>
        <v>7563.09</v>
      </c>
      <c r="W19" s="123"/>
      <c r="Z19" s="346">
        <v>155.94</v>
      </c>
    </row>
    <row r="20" spans="1:26" s="216" customFormat="1" ht="23.1" hidden="1" customHeight="1" outlineLevel="2">
      <c r="A20" s="339">
        <v>1.1300000000000001</v>
      </c>
      <c r="B20" s="223" t="s">
        <v>122</v>
      </c>
      <c r="C20" s="223" t="s">
        <v>123</v>
      </c>
      <c r="D20" s="223" t="s">
        <v>103</v>
      </c>
      <c r="E20" s="207">
        <v>141.94</v>
      </c>
      <c r="F20" s="205">
        <v>99.104834642201823</v>
      </c>
      <c r="G20" s="205">
        <v>14066.940229114127</v>
      </c>
      <c r="H20" s="207">
        <v>141.94</v>
      </c>
      <c r="I20" s="345">
        <v>48.5</v>
      </c>
      <c r="J20" s="207">
        <v>6884.09</v>
      </c>
      <c r="K20" s="207">
        <f t="shared" si="0"/>
        <v>0</v>
      </c>
      <c r="L20" s="267">
        <f t="shared" si="1"/>
        <v>99.104834642201823</v>
      </c>
      <c r="M20" s="205">
        <f t="shared" si="2"/>
        <v>0</v>
      </c>
      <c r="N20" s="207">
        <f t="shared" si="3"/>
        <v>0</v>
      </c>
      <c r="O20" s="207">
        <f t="shared" si="4"/>
        <v>48.5</v>
      </c>
      <c r="P20" s="205">
        <f t="shared" si="5"/>
        <v>0</v>
      </c>
      <c r="Q20" s="206">
        <v>141.94</v>
      </c>
      <c r="R20" s="267">
        <f t="shared" si="6"/>
        <v>99.104834642201823</v>
      </c>
      <c r="S20" s="205">
        <f t="shared" si="7"/>
        <v>14066.940229114127</v>
      </c>
      <c r="T20" s="207">
        <f t="shared" si="8"/>
        <v>141.94</v>
      </c>
      <c r="U20" s="207">
        <v>48.5</v>
      </c>
      <c r="V20" s="205">
        <f t="shared" si="9"/>
        <v>6884.09</v>
      </c>
      <c r="W20" s="123"/>
      <c r="Z20" s="346">
        <v>141.94</v>
      </c>
    </row>
    <row r="21" spans="1:26" s="216" customFormat="1" ht="23.1" hidden="1" customHeight="1" outlineLevel="2">
      <c r="A21" s="340">
        <v>1.1400000000000001</v>
      </c>
      <c r="B21" s="223" t="s">
        <v>124</v>
      </c>
      <c r="C21" s="223" t="s">
        <v>125</v>
      </c>
      <c r="D21" s="223" t="s">
        <v>103</v>
      </c>
      <c r="E21" s="207">
        <v>26.5</v>
      </c>
      <c r="F21" s="205">
        <v>120.58750766972476</v>
      </c>
      <c r="G21" s="205">
        <v>3195.5689532477063</v>
      </c>
      <c r="H21" s="207">
        <v>26.5</v>
      </c>
      <c r="I21" s="345">
        <v>48.5</v>
      </c>
      <c r="J21" s="207">
        <v>1285.25</v>
      </c>
      <c r="K21" s="207">
        <f t="shared" si="0"/>
        <v>0</v>
      </c>
      <c r="L21" s="267">
        <f t="shared" si="1"/>
        <v>120.58750766972476</v>
      </c>
      <c r="M21" s="205">
        <f t="shared" si="2"/>
        <v>0</v>
      </c>
      <c r="N21" s="207">
        <f t="shared" si="3"/>
        <v>0</v>
      </c>
      <c r="O21" s="207">
        <f t="shared" si="4"/>
        <v>48.5</v>
      </c>
      <c r="P21" s="205">
        <f t="shared" ref="P21:P52" si="10">+O21*N21</f>
        <v>0</v>
      </c>
      <c r="Q21" s="206">
        <v>26.5</v>
      </c>
      <c r="R21" s="267">
        <f t="shared" si="6"/>
        <v>120.58750766972476</v>
      </c>
      <c r="S21" s="205">
        <f t="shared" si="7"/>
        <v>3195.5689532477063</v>
      </c>
      <c r="T21" s="207">
        <f t="shared" si="8"/>
        <v>26.5</v>
      </c>
      <c r="U21" s="207">
        <v>48.5</v>
      </c>
      <c r="V21" s="205">
        <f t="shared" si="9"/>
        <v>1285.25</v>
      </c>
      <c r="W21" s="123"/>
      <c r="Z21" s="346">
        <v>26.5</v>
      </c>
    </row>
    <row r="22" spans="1:26" s="216" customFormat="1" ht="23.1" hidden="1" customHeight="1" outlineLevel="2">
      <c r="A22" s="339">
        <v>1.1500000000000001</v>
      </c>
      <c r="B22" s="223" t="s">
        <v>126</v>
      </c>
      <c r="C22" s="223" t="s">
        <v>127</v>
      </c>
      <c r="D22" s="223" t="s">
        <v>103</v>
      </c>
      <c r="E22" s="207">
        <v>90.52</v>
      </c>
      <c r="F22" s="205">
        <v>120.58750766972476</v>
      </c>
      <c r="G22" s="205">
        <v>10915.581194263485</v>
      </c>
      <c r="H22" s="207">
        <v>90.52</v>
      </c>
      <c r="I22" s="345">
        <v>48.5</v>
      </c>
      <c r="J22" s="207">
        <v>4390.22</v>
      </c>
      <c r="K22" s="207">
        <f t="shared" si="0"/>
        <v>0</v>
      </c>
      <c r="L22" s="267">
        <f t="shared" si="1"/>
        <v>120.58750766972476</v>
      </c>
      <c r="M22" s="205">
        <f t="shared" si="2"/>
        <v>0</v>
      </c>
      <c r="N22" s="207">
        <f t="shared" si="3"/>
        <v>0</v>
      </c>
      <c r="O22" s="207">
        <f t="shared" si="4"/>
        <v>48.5</v>
      </c>
      <c r="P22" s="205">
        <f t="shared" si="10"/>
        <v>0</v>
      </c>
      <c r="Q22" s="206">
        <v>90.52</v>
      </c>
      <c r="R22" s="267">
        <f t="shared" si="6"/>
        <v>120.58750766972476</v>
      </c>
      <c r="S22" s="205">
        <f t="shared" si="7"/>
        <v>10915.581194263485</v>
      </c>
      <c r="T22" s="207">
        <f t="shared" si="8"/>
        <v>90.52</v>
      </c>
      <c r="U22" s="207">
        <v>48.5</v>
      </c>
      <c r="V22" s="205">
        <f t="shared" si="9"/>
        <v>4390.22</v>
      </c>
      <c r="W22" s="123"/>
      <c r="Z22" s="346">
        <v>90.52</v>
      </c>
    </row>
    <row r="23" spans="1:26" s="216" customFormat="1" ht="23.1" hidden="1" customHeight="1" outlineLevel="2">
      <c r="A23" s="340">
        <v>1.1600000000000001</v>
      </c>
      <c r="B23" s="223" t="s">
        <v>128</v>
      </c>
      <c r="C23" s="223" t="s">
        <v>129</v>
      </c>
      <c r="D23" s="223" t="s">
        <v>103</v>
      </c>
      <c r="E23" s="207">
        <v>86.71</v>
      </c>
      <c r="F23" s="205">
        <v>120.58750766972476</v>
      </c>
      <c r="G23" s="205">
        <v>10456.142790041833</v>
      </c>
      <c r="H23" s="207">
        <v>86.71</v>
      </c>
      <c r="I23" s="345">
        <v>48.5</v>
      </c>
      <c r="J23" s="207">
        <v>4205.4349999999995</v>
      </c>
      <c r="K23" s="207">
        <f t="shared" si="0"/>
        <v>0</v>
      </c>
      <c r="L23" s="267">
        <f t="shared" si="1"/>
        <v>120.58750766972476</v>
      </c>
      <c r="M23" s="205">
        <f t="shared" si="2"/>
        <v>0</v>
      </c>
      <c r="N23" s="207">
        <f t="shared" si="3"/>
        <v>0</v>
      </c>
      <c r="O23" s="207">
        <f t="shared" si="4"/>
        <v>48.5</v>
      </c>
      <c r="P23" s="205">
        <f t="shared" si="10"/>
        <v>0</v>
      </c>
      <c r="Q23" s="206">
        <v>86.71</v>
      </c>
      <c r="R23" s="267">
        <f t="shared" si="6"/>
        <v>120.58750766972476</v>
      </c>
      <c r="S23" s="205">
        <f t="shared" si="7"/>
        <v>10456.142790041833</v>
      </c>
      <c r="T23" s="207">
        <f t="shared" si="8"/>
        <v>86.71</v>
      </c>
      <c r="U23" s="207">
        <v>48.5</v>
      </c>
      <c r="V23" s="205">
        <f t="shared" si="9"/>
        <v>4205.4349999999995</v>
      </c>
      <c r="W23" s="123"/>
      <c r="Z23" s="346">
        <v>86.71</v>
      </c>
    </row>
    <row r="24" spans="1:26" s="216" customFormat="1" ht="23.1" hidden="1" customHeight="1" outlineLevel="2">
      <c r="A24" s="339">
        <v>1.1700000000000002</v>
      </c>
      <c r="B24" s="223" t="s">
        <v>130</v>
      </c>
      <c r="C24" s="223" t="s">
        <v>109</v>
      </c>
      <c r="D24" s="223" t="s">
        <v>103</v>
      </c>
      <c r="E24" s="207">
        <v>109.07</v>
      </c>
      <c r="F24" s="205">
        <v>120.58750766972476</v>
      </c>
      <c r="G24" s="205">
        <v>13152.479461536879</v>
      </c>
      <c r="H24" s="207">
        <v>109.07</v>
      </c>
      <c r="I24" s="345">
        <v>48.5</v>
      </c>
      <c r="J24" s="207">
        <v>5289.8949999999995</v>
      </c>
      <c r="K24" s="207">
        <f t="shared" si="0"/>
        <v>0</v>
      </c>
      <c r="L24" s="267">
        <f t="shared" si="1"/>
        <v>120.58750766972476</v>
      </c>
      <c r="M24" s="205">
        <f t="shared" si="2"/>
        <v>0</v>
      </c>
      <c r="N24" s="207">
        <f t="shared" si="3"/>
        <v>0</v>
      </c>
      <c r="O24" s="207">
        <f t="shared" si="4"/>
        <v>48.5</v>
      </c>
      <c r="P24" s="205">
        <f t="shared" si="10"/>
        <v>0</v>
      </c>
      <c r="Q24" s="206">
        <v>109.07</v>
      </c>
      <c r="R24" s="267">
        <f t="shared" si="6"/>
        <v>120.58750766972476</v>
      </c>
      <c r="S24" s="205">
        <f t="shared" si="7"/>
        <v>13152.479461536879</v>
      </c>
      <c r="T24" s="207">
        <f t="shared" si="8"/>
        <v>109.07</v>
      </c>
      <c r="U24" s="207">
        <v>48.5</v>
      </c>
      <c r="V24" s="205">
        <f t="shared" si="9"/>
        <v>5289.8949999999995</v>
      </c>
      <c r="W24" s="123"/>
      <c r="Z24" s="346">
        <v>109.07</v>
      </c>
    </row>
    <row r="25" spans="1:26" s="216" customFormat="1" ht="23.1" hidden="1" customHeight="1" outlineLevel="2">
      <c r="A25" s="340">
        <v>1.1800000000000002</v>
      </c>
      <c r="B25" s="223" t="s">
        <v>131</v>
      </c>
      <c r="C25" s="223" t="s">
        <v>116</v>
      </c>
      <c r="D25" s="223" t="s">
        <v>103</v>
      </c>
      <c r="E25" s="207">
        <v>25.9</v>
      </c>
      <c r="F25" s="205">
        <v>111.63402275229356</v>
      </c>
      <c r="G25" s="205">
        <v>2891.3211892844029</v>
      </c>
      <c r="H25" s="207">
        <v>25.9</v>
      </c>
      <c r="I25" s="345">
        <v>48.5</v>
      </c>
      <c r="J25" s="207">
        <v>1256.1499999999999</v>
      </c>
      <c r="K25" s="207">
        <f t="shared" si="0"/>
        <v>0</v>
      </c>
      <c r="L25" s="267">
        <f t="shared" si="1"/>
        <v>111.63402275229356</v>
      </c>
      <c r="M25" s="205">
        <f t="shared" si="2"/>
        <v>0</v>
      </c>
      <c r="N25" s="207">
        <f t="shared" si="3"/>
        <v>0</v>
      </c>
      <c r="O25" s="207">
        <f t="shared" si="4"/>
        <v>48.5</v>
      </c>
      <c r="P25" s="205">
        <f t="shared" si="10"/>
        <v>0</v>
      </c>
      <c r="Q25" s="206">
        <v>26.01</v>
      </c>
      <c r="R25" s="267">
        <f t="shared" si="6"/>
        <v>111.63402275229356</v>
      </c>
      <c r="S25" s="205">
        <f t="shared" si="7"/>
        <v>2903.6009317871558</v>
      </c>
      <c r="T25" s="207">
        <f t="shared" si="8"/>
        <v>26.01</v>
      </c>
      <c r="U25" s="207">
        <v>48.5</v>
      </c>
      <c r="V25" s="205">
        <f t="shared" si="9"/>
        <v>1261.4850000000001</v>
      </c>
      <c r="W25" s="123"/>
      <c r="Z25" s="346">
        <v>26.01</v>
      </c>
    </row>
    <row r="26" spans="1:26" s="216" customFormat="1" ht="23.1" hidden="1" customHeight="1" outlineLevel="2">
      <c r="A26" s="339">
        <v>1.1900000000000002</v>
      </c>
      <c r="B26" s="223" t="s">
        <v>132</v>
      </c>
      <c r="C26" s="223" t="s">
        <v>133</v>
      </c>
      <c r="D26" s="223" t="s">
        <v>103</v>
      </c>
      <c r="E26" s="207">
        <v>60.5</v>
      </c>
      <c r="F26" s="205">
        <v>201.99403420183486</v>
      </c>
      <c r="G26" s="205">
        <v>12220.639069211009</v>
      </c>
      <c r="H26" s="207">
        <v>60.5</v>
      </c>
      <c r="I26" s="345">
        <v>1350</v>
      </c>
      <c r="J26" s="207">
        <v>81675</v>
      </c>
      <c r="K26" s="207">
        <f t="shared" si="0"/>
        <v>0</v>
      </c>
      <c r="L26" s="267">
        <f t="shared" si="1"/>
        <v>201.99403420183486</v>
      </c>
      <c r="M26" s="205">
        <f t="shared" si="2"/>
        <v>0</v>
      </c>
      <c r="N26" s="207">
        <f t="shared" si="3"/>
        <v>0</v>
      </c>
      <c r="O26" s="207">
        <f t="shared" si="4"/>
        <v>48.5</v>
      </c>
      <c r="P26" s="205">
        <f t="shared" si="10"/>
        <v>0</v>
      </c>
      <c r="Q26" s="206">
        <v>0</v>
      </c>
      <c r="R26" s="267">
        <f t="shared" si="6"/>
        <v>201.99403420183486</v>
      </c>
      <c r="S26" s="205">
        <f t="shared" si="7"/>
        <v>0</v>
      </c>
      <c r="T26" s="207">
        <f t="shared" si="8"/>
        <v>0</v>
      </c>
      <c r="U26" s="207">
        <v>48.5</v>
      </c>
      <c r="V26" s="205">
        <f t="shared" si="9"/>
        <v>0</v>
      </c>
      <c r="W26" s="123"/>
      <c r="Z26" s="346">
        <v>0</v>
      </c>
    </row>
    <row r="27" spans="1:26" s="216" customFormat="1" ht="23.1" hidden="1" customHeight="1" outlineLevel="2">
      <c r="A27" s="340">
        <v>1.2000000000000002</v>
      </c>
      <c r="B27" s="223" t="s">
        <v>134</v>
      </c>
      <c r="C27" s="223" t="s">
        <v>133</v>
      </c>
      <c r="D27" s="223" t="s">
        <v>103</v>
      </c>
      <c r="E27" s="207">
        <v>16.98</v>
      </c>
      <c r="F27" s="205">
        <v>199.13916242201833</v>
      </c>
      <c r="G27" s="205">
        <v>3381.3829779258713</v>
      </c>
      <c r="H27" s="207">
        <v>16.98</v>
      </c>
      <c r="I27" s="345">
        <v>1350</v>
      </c>
      <c r="J27" s="207">
        <v>22923</v>
      </c>
      <c r="K27" s="207">
        <f t="shared" si="0"/>
        <v>0</v>
      </c>
      <c r="L27" s="267">
        <f t="shared" si="1"/>
        <v>199.13916242201833</v>
      </c>
      <c r="M27" s="205">
        <f t="shared" si="2"/>
        <v>0</v>
      </c>
      <c r="N27" s="207">
        <f t="shared" si="3"/>
        <v>0</v>
      </c>
      <c r="O27" s="207">
        <f t="shared" si="4"/>
        <v>48.5</v>
      </c>
      <c r="P27" s="205">
        <f t="shared" si="10"/>
        <v>0</v>
      </c>
      <c r="Q27" s="206">
        <v>0</v>
      </c>
      <c r="R27" s="267">
        <f t="shared" si="6"/>
        <v>199.13916242201833</v>
      </c>
      <c r="S27" s="205">
        <f t="shared" si="7"/>
        <v>0</v>
      </c>
      <c r="T27" s="207">
        <f t="shared" si="8"/>
        <v>0</v>
      </c>
      <c r="U27" s="207">
        <v>48.5</v>
      </c>
      <c r="V27" s="205">
        <f t="shared" si="9"/>
        <v>0</v>
      </c>
      <c r="W27" s="123"/>
      <c r="Z27" s="346">
        <v>0</v>
      </c>
    </row>
    <row r="28" spans="1:26" s="216" customFormat="1" ht="23.1" hidden="1" customHeight="1" outlineLevel="2">
      <c r="A28" s="339">
        <v>1.2100000000000002</v>
      </c>
      <c r="B28" s="223" t="s">
        <v>135</v>
      </c>
      <c r="C28" s="223" t="s">
        <v>136</v>
      </c>
      <c r="D28" s="223" t="s">
        <v>103</v>
      </c>
      <c r="E28" s="207">
        <v>10</v>
      </c>
      <c r="F28" s="205">
        <v>158.0328026422018</v>
      </c>
      <c r="G28" s="205">
        <v>1580.328026422018</v>
      </c>
      <c r="H28" s="207">
        <v>10</v>
      </c>
      <c r="I28" s="345">
        <v>900</v>
      </c>
      <c r="J28" s="207">
        <v>9000</v>
      </c>
      <c r="K28" s="207">
        <f t="shared" si="0"/>
        <v>0</v>
      </c>
      <c r="L28" s="267">
        <f t="shared" si="1"/>
        <v>158.0328026422018</v>
      </c>
      <c r="M28" s="205">
        <f t="shared" si="2"/>
        <v>0</v>
      </c>
      <c r="N28" s="207">
        <f t="shared" si="3"/>
        <v>0</v>
      </c>
      <c r="O28" s="207">
        <f t="shared" si="4"/>
        <v>48.5</v>
      </c>
      <c r="P28" s="205">
        <f t="shared" si="10"/>
        <v>0</v>
      </c>
      <c r="Q28" s="206">
        <v>0</v>
      </c>
      <c r="R28" s="267">
        <f t="shared" si="6"/>
        <v>158.0328026422018</v>
      </c>
      <c r="S28" s="205">
        <f t="shared" si="7"/>
        <v>0</v>
      </c>
      <c r="T28" s="207">
        <f t="shared" si="8"/>
        <v>0</v>
      </c>
      <c r="U28" s="207">
        <v>48.5</v>
      </c>
      <c r="V28" s="205">
        <f t="shared" si="9"/>
        <v>0</v>
      </c>
      <c r="W28" s="123"/>
      <c r="Z28" s="346">
        <v>0</v>
      </c>
    </row>
    <row r="29" spans="1:26" s="216" customFormat="1" ht="23.1" hidden="1" customHeight="1" outlineLevel="2">
      <c r="A29" s="340">
        <v>1.2200000000000002</v>
      </c>
      <c r="B29" s="223" t="s">
        <v>137</v>
      </c>
      <c r="C29" s="223" t="s">
        <v>133</v>
      </c>
      <c r="D29" s="223" t="s">
        <v>103</v>
      </c>
      <c r="E29" s="207">
        <v>108.25</v>
      </c>
      <c r="F29" s="205">
        <v>158.0328026422018</v>
      </c>
      <c r="G29" s="205">
        <v>17107.050886018344</v>
      </c>
      <c r="H29" s="207">
        <v>108.25</v>
      </c>
      <c r="I29" s="345">
        <v>900</v>
      </c>
      <c r="J29" s="207">
        <v>97425</v>
      </c>
      <c r="K29" s="207">
        <f t="shared" si="0"/>
        <v>0</v>
      </c>
      <c r="L29" s="267">
        <f t="shared" si="1"/>
        <v>158.0328026422018</v>
      </c>
      <c r="M29" s="205">
        <f t="shared" si="2"/>
        <v>0</v>
      </c>
      <c r="N29" s="207">
        <f t="shared" si="3"/>
        <v>0</v>
      </c>
      <c r="O29" s="207">
        <f t="shared" si="4"/>
        <v>48.5</v>
      </c>
      <c r="P29" s="205">
        <f t="shared" si="10"/>
        <v>0</v>
      </c>
      <c r="Q29" s="206">
        <v>0</v>
      </c>
      <c r="R29" s="267">
        <f t="shared" si="6"/>
        <v>158.0328026422018</v>
      </c>
      <c r="S29" s="205">
        <f t="shared" si="7"/>
        <v>0</v>
      </c>
      <c r="T29" s="207">
        <f t="shared" si="8"/>
        <v>0</v>
      </c>
      <c r="U29" s="207">
        <v>48.5</v>
      </c>
      <c r="V29" s="205">
        <f t="shared" si="9"/>
        <v>0</v>
      </c>
      <c r="W29" s="123"/>
      <c r="Z29" s="346">
        <v>0</v>
      </c>
    </row>
    <row r="30" spans="1:26" s="216" customFormat="1" ht="23.1" hidden="1" customHeight="1" outlineLevel="2">
      <c r="A30" s="339">
        <v>1.2300000000000002</v>
      </c>
      <c r="B30" s="223" t="s">
        <v>138</v>
      </c>
      <c r="C30" s="223" t="s">
        <v>139</v>
      </c>
      <c r="D30" s="223" t="s">
        <v>103</v>
      </c>
      <c r="E30" s="207">
        <v>31.09</v>
      </c>
      <c r="F30" s="205">
        <v>80.35373328440366</v>
      </c>
      <c r="G30" s="205">
        <v>2498.1975678121098</v>
      </c>
      <c r="H30" s="207">
        <v>31.09</v>
      </c>
      <c r="I30" s="345">
        <v>900</v>
      </c>
      <c r="J30" s="207">
        <v>27981</v>
      </c>
      <c r="K30" s="207">
        <f t="shared" si="0"/>
        <v>0</v>
      </c>
      <c r="L30" s="267">
        <f t="shared" si="1"/>
        <v>80.35373328440366</v>
      </c>
      <c r="M30" s="205">
        <f t="shared" si="2"/>
        <v>0</v>
      </c>
      <c r="N30" s="207">
        <f t="shared" si="3"/>
        <v>0</v>
      </c>
      <c r="O30" s="207">
        <f t="shared" si="4"/>
        <v>48.5</v>
      </c>
      <c r="P30" s="205">
        <f t="shared" si="10"/>
        <v>0</v>
      </c>
      <c r="Q30" s="206">
        <v>31.09</v>
      </c>
      <c r="R30" s="267">
        <f t="shared" si="6"/>
        <v>80.35373328440366</v>
      </c>
      <c r="S30" s="205">
        <f t="shared" si="7"/>
        <v>2498.1975678121098</v>
      </c>
      <c r="T30" s="207">
        <f t="shared" si="8"/>
        <v>31.09</v>
      </c>
      <c r="U30" s="207">
        <v>48.5</v>
      </c>
      <c r="V30" s="205">
        <f t="shared" si="9"/>
        <v>1507.865</v>
      </c>
      <c r="W30" s="123"/>
      <c r="Z30" s="346">
        <v>31.09</v>
      </c>
    </row>
    <row r="31" spans="1:26" s="216" customFormat="1" ht="23.1" hidden="1" customHeight="1" outlineLevel="2">
      <c r="A31" s="340">
        <v>1.2400000000000002</v>
      </c>
      <c r="B31" s="223" t="s">
        <v>140</v>
      </c>
      <c r="C31" s="223" t="s">
        <v>141</v>
      </c>
      <c r="D31" s="223" t="s">
        <v>103</v>
      </c>
      <c r="E31" s="207">
        <v>44.04</v>
      </c>
      <c r="F31" s="205">
        <v>52.772447119266054</v>
      </c>
      <c r="G31" s="205">
        <v>2324.098571132477</v>
      </c>
      <c r="H31" s="207">
        <v>44.04</v>
      </c>
      <c r="I31" s="345">
        <v>50</v>
      </c>
      <c r="J31" s="207">
        <v>2202</v>
      </c>
      <c r="K31" s="207">
        <f t="shared" si="0"/>
        <v>0</v>
      </c>
      <c r="L31" s="267">
        <f t="shared" si="1"/>
        <v>52.772447119266054</v>
      </c>
      <c r="M31" s="205">
        <f t="shared" si="2"/>
        <v>0</v>
      </c>
      <c r="N31" s="207">
        <f t="shared" si="3"/>
        <v>0</v>
      </c>
      <c r="O31" s="207">
        <f t="shared" si="4"/>
        <v>48.5</v>
      </c>
      <c r="P31" s="205">
        <f t="shared" si="10"/>
        <v>0</v>
      </c>
      <c r="Q31" s="206">
        <v>0</v>
      </c>
      <c r="R31" s="267">
        <f t="shared" si="6"/>
        <v>52.772447119266054</v>
      </c>
      <c r="S31" s="205">
        <f t="shared" si="7"/>
        <v>0</v>
      </c>
      <c r="T31" s="207">
        <f t="shared" si="8"/>
        <v>0</v>
      </c>
      <c r="U31" s="207">
        <v>48.5</v>
      </c>
      <c r="V31" s="205">
        <f t="shared" si="9"/>
        <v>0</v>
      </c>
      <c r="W31" s="123"/>
      <c r="Z31" s="346">
        <v>0</v>
      </c>
    </row>
    <row r="32" spans="1:26" s="216" customFormat="1" ht="23.1" hidden="1" customHeight="1" outlineLevel="2">
      <c r="A32" s="339">
        <v>1.2500000000000002</v>
      </c>
      <c r="B32" s="223" t="s">
        <v>142</v>
      </c>
      <c r="C32" s="223"/>
      <c r="D32" s="223" t="s">
        <v>143</v>
      </c>
      <c r="E32" s="207">
        <v>1</v>
      </c>
      <c r="F32" s="205">
        <v>-68531.026351266046</v>
      </c>
      <c r="G32" s="205">
        <v>-68531.026351266046</v>
      </c>
      <c r="H32" s="207">
        <v>1</v>
      </c>
      <c r="I32" s="345"/>
      <c r="J32" s="207">
        <v>0</v>
      </c>
      <c r="K32" s="207">
        <f t="shared" si="0"/>
        <v>0</v>
      </c>
      <c r="L32" s="267"/>
      <c r="M32" s="205"/>
      <c r="N32" s="207">
        <f t="shared" si="3"/>
        <v>0</v>
      </c>
      <c r="O32" s="207"/>
      <c r="P32" s="205"/>
      <c r="Q32" s="207"/>
      <c r="R32" s="267"/>
      <c r="S32" s="205">
        <f t="shared" si="7"/>
        <v>0</v>
      </c>
      <c r="T32" s="207"/>
      <c r="U32" s="207"/>
      <c r="V32" s="205">
        <f t="shared" si="9"/>
        <v>0</v>
      </c>
      <c r="W32" s="123"/>
      <c r="Z32" s="347"/>
    </row>
    <row r="33" spans="1:26" s="215" customFormat="1" ht="23.1" hidden="1" customHeight="1" outlineLevel="1" collapsed="1">
      <c r="A33" s="337">
        <v>2</v>
      </c>
      <c r="B33" s="220" t="s">
        <v>144</v>
      </c>
      <c r="C33" s="220"/>
      <c r="D33" s="220"/>
      <c r="E33" s="229"/>
      <c r="F33" s="222"/>
      <c r="G33" s="222">
        <f>SUM(G34:G61)</f>
        <v>1608805.0000972941</v>
      </c>
      <c r="H33" s="229"/>
      <c r="I33" s="345"/>
      <c r="J33" s="222">
        <f>SUM(J34:J61)</f>
        <v>1901636.7300000002</v>
      </c>
      <c r="K33" s="229"/>
      <c r="L33" s="266"/>
      <c r="M33" s="222">
        <f>SUM(M34:M61)</f>
        <v>-45348.832029357793</v>
      </c>
      <c r="N33" s="229"/>
      <c r="O33" s="229"/>
      <c r="P33" s="222">
        <f>SUM(P34:P61)</f>
        <v>-64500</v>
      </c>
      <c r="Q33" s="229"/>
      <c r="R33" s="266"/>
      <c r="S33" s="222">
        <f>SUM(S34:S61)</f>
        <v>1526743.7292946321</v>
      </c>
      <c r="T33" s="229"/>
      <c r="U33" s="229"/>
      <c r="V33" s="222">
        <f>SUM(V34:V61)</f>
        <v>1822221.7499999998</v>
      </c>
      <c r="W33" s="137"/>
      <c r="Z33" s="283"/>
    </row>
    <row r="34" spans="1:26" s="216" customFormat="1" ht="23.1" hidden="1" customHeight="1" outlineLevel="2">
      <c r="A34" s="339">
        <v>2.1</v>
      </c>
      <c r="B34" s="223" t="s">
        <v>145</v>
      </c>
      <c r="C34" s="223" t="s">
        <v>146</v>
      </c>
      <c r="D34" s="223" t="s">
        <v>147</v>
      </c>
      <c r="E34" s="207">
        <v>4.5</v>
      </c>
      <c r="F34" s="205">
        <v>1673.7231175045872</v>
      </c>
      <c r="G34" s="205">
        <v>7531.7540287706424</v>
      </c>
      <c r="H34" s="207">
        <v>4.5</v>
      </c>
      <c r="I34" s="345">
        <v>1290</v>
      </c>
      <c r="J34" s="207">
        <v>5805</v>
      </c>
      <c r="K34" s="207">
        <f>+Q34-Z34</f>
        <v>0</v>
      </c>
      <c r="L34" s="267">
        <v>1673.7231175045872</v>
      </c>
      <c r="M34" s="205">
        <f>+L34*K34</f>
        <v>0</v>
      </c>
      <c r="N34" s="207">
        <f>+K34</f>
        <v>0</v>
      </c>
      <c r="O34" s="207">
        <v>1290</v>
      </c>
      <c r="P34" s="205">
        <f t="shared" si="10"/>
        <v>0</v>
      </c>
      <c r="Q34" s="206"/>
      <c r="R34" s="267">
        <v>1673.7231175045872</v>
      </c>
      <c r="S34" s="205">
        <f>+R34*Q34</f>
        <v>0</v>
      </c>
      <c r="T34" s="207">
        <f>+Q34</f>
        <v>0</v>
      </c>
      <c r="U34" s="207">
        <v>1290</v>
      </c>
      <c r="V34" s="205">
        <f t="shared" si="9"/>
        <v>0</v>
      </c>
      <c r="W34" s="123"/>
      <c r="Z34" s="346"/>
    </row>
    <row r="35" spans="1:26" s="216" customFormat="1" ht="23.1" hidden="1" customHeight="1" outlineLevel="2">
      <c r="A35" s="339">
        <v>2.2000000000000002</v>
      </c>
      <c r="B35" s="223" t="s">
        <v>145</v>
      </c>
      <c r="C35" s="223" t="s">
        <v>148</v>
      </c>
      <c r="D35" s="223" t="s">
        <v>147</v>
      </c>
      <c r="E35" s="207">
        <v>0.2</v>
      </c>
      <c r="F35" s="205">
        <v>1235.7231879633025</v>
      </c>
      <c r="G35" s="205">
        <v>247.1446375926605</v>
      </c>
      <c r="H35" s="207">
        <v>0.2</v>
      </c>
      <c r="I35" s="345">
        <v>1290</v>
      </c>
      <c r="J35" s="207">
        <v>258</v>
      </c>
      <c r="K35" s="207">
        <f t="shared" ref="K35:K61" si="11">+Q35-Z35</f>
        <v>0</v>
      </c>
      <c r="L35" s="267">
        <v>1235.7231879633025</v>
      </c>
      <c r="M35" s="205">
        <f t="shared" ref="M35:M61" si="12">+L35*K35</f>
        <v>0</v>
      </c>
      <c r="N35" s="207">
        <f t="shared" ref="N35:N61" si="13">+K35</f>
        <v>0</v>
      </c>
      <c r="O35" s="207">
        <v>1290</v>
      </c>
      <c r="P35" s="205">
        <f t="shared" si="10"/>
        <v>0</v>
      </c>
      <c r="Q35" s="206"/>
      <c r="R35" s="267">
        <v>1235.7231879633025</v>
      </c>
      <c r="S35" s="205">
        <f t="shared" ref="S35:S61" si="14">+R35*Q35</f>
        <v>0</v>
      </c>
      <c r="T35" s="207">
        <f t="shared" ref="T35:T61" si="15">+Q35</f>
        <v>0</v>
      </c>
      <c r="U35" s="207">
        <v>1290</v>
      </c>
      <c r="V35" s="205">
        <f t="shared" si="9"/>
        <v>0</v>
      </c>
      <c r="W35" s="123"/>
      <c r="Z35" s="346"/>
    </row>
    <row r="36" spans="1:26" s="216" customFormat="1" ht="23.1" hidden="1" customHeight="1" outlineLevel="2">
      <c r="A36" s="339">
        <v>2.3000000000000003</v>
      </c>
      <c r="B36" s="223" t="s">
        <v>145</v>
      </c>
      <c r="C36" s="223" t="s">
        <v>149</v>
      </c>
      <c r="D36" s="223" t="s">
        <v>147</v>
      </c>
      <c r="E36" s="207">
        <v>0.2</v>
      </c>
      <c r="F36" s="205">
        <v>953.9065594128441</v>
      </c>
      <c r="G36" s="205">
        <v>190.78131188256884</v>
      </c>
      <c r="H36" s="207">
        <v>0.2</v>
      </c>
      <c r="I36" s="345">
        <v>1290</v>
      </c>
      <c r="J36" s="207">
        <v>258</v>
      </c>
      <c r="K36" s="207">
        <f t="shared" si="11"/>
        <v>0</v>
      </c>
      <c r="L36" s="267">
        <v>953.9065594128441</v>
      </c>
      <c r="M36" s="205">
        <f t="shared" si="12"/>
        <v>0</v>
      </c>
      <c r="N36" s="207">
        <f t="shared" si="13"/>
        <v>0</v>
      </c>
      <c r="O36" s="207">
        <v>1290</v>
      </c>
      <c r="P36" s="205">
        <f t="shared" si="10"/>
        <v>0</v>
      </c>
      <c r="Q36" s="206"/>
      <c r="R36" s="267">
        <v>953.9065594128441</v>
      </c>
      <c r="S36" s="205">
        <f t="shared" si="14"/>
        <v>0</v>
      </c>
      <c r="T36" s="207">
        <f t="shared" si="15"/>
        <v>0</v>
      </c>
      <c r="U36" s="207">
        <v>1290</v>
      </c>
      <c r="V36" s="205">
        <f t="shared" si="9"/>
        <v>0</v>
      </c>
      <c r="W36" s="123"/>
      <c r="Z36" s="346"/>
    </row>
    <row r="37" spans="1:26" s="216" customFormat="1" ht="23.1" hidden="1" customHeight="1" outlineLevel="2">
      <c r="A37" s="339">
        <v>2.4000000000000004</v>
      </c>
      <c r="B37" s="223" t="s">
        <v>145</v>
      </c>
      <c r="C37" s="223" t="s">
        <v>150</v>
      </c>
      <c r="D37" s="223" t="s">
        <v>147</v>
      </c>
      <c r="E37" s="207">
        <v>2.1999999999999999E-2</v>
      </c>
      <c r="F37" s="205">
        <v>1024.4911301284403</v>
      </c>
      <c r="G37" s="205">
        <v>22.538804862825685</v>
      </c>
      <c r="H37" s="207">
        <v>2.1999999999999999E-2</v>
      </c>
      <c r="I37" s="345">
        <v>1290</v>
      </c>
      <c r="J37" s="207">
        <v>28.38</v>
      </c>
      <c r="K37" s="207">
        <f t="shared" si="11"/>
        <v>0</v>
      </c>
      <c r="L37" s="267">
        <v>1024.4911301284403</v>
      </c>
      <c r="M37" s="205">
        <f t="shared" si="12"/>
        <v>0</v>
      </c>
      <c r="N37" s="207">
        <f t="shared" si="13"/>
        <v>0</v>
      </c>
      <c r="O37" s="207">
        <v>1290</v>
      </c>
      <c r="P37" s="205">
        <f t="shared" si="10"/>
        <v>0</v>
      </c>
      <c r="Q37" s="206"/>
      <c r="R37" s="267">
        <v>1024.4911301284403</v>
      </c>
      <c r="S37" s="205">
        <f t="shared" si="14"/>
        <v>0</v>
      </c>
      <c r="T37" s="207">
        <f t="shared" si="15"/>
        <v>0</v>
      </c>
      <c r="U37" s="207">
        <v>1290</v>
      </c>
      <c r="V37" s="205">
        <f t="shared" si="9"/>
        <v>0</v>
      </c>
      <c r="W37" s="123"/>
      <c r="Z37" s="346"/>
    </row>
    <row r="38" spans="1:26" s="216" customFormat="1" ht="23.1" hidden="1" customHeight="1" outlineLevel="2">
      <c r="A38" s="339">
        <v>2.5000000000000004</v>
      </c>
      <c r="B38" s="223" t="s">
        <v>145</v>
      </c>
      <c r="C38" s="223" t="s">
        <v>151</v>
      </c>
      <c r="D38" s="223" t="s">
        <v>147</v>
      </c>
      <c r="E38" s="207">
        <v>36.244999999999997</v>
      </c>
      <c r="F38" s="205">
        <v>1024.4911301284403</v>
      </c>
      <c r="G38" s="205">
        <v>37132.681011505316</v>
      </c>
      <c r="H38" s="207">
        <v>36.244999999999997</v>
      </c>
      <c r="I38" s="345">
        <v>1290</v>
      </c>
      <c r="J38" s="207">
        <v>46756.05</v>
      </c>
      <c r="K38" s="207">
        <f t="shared" si="11"/>
        <v>0</v>
      </c>
      <c r="L38" s="267">
        <v>1024.4911301284403</v>
      </c>
      <c r="M38" s="205">
        <f t="shared" si="12"/>
        <v>0</v>
      </c>
      <c r="N38" s="207">
        <f t="shared" si="13"/>
        <v>0</v>
      </c>
      <c r="O38" s="207">
        <v>1290</v>
      </c>
      <c r="P38" s="205">
        <f t="shared" si="10"/>
        <v>0</v>
      </c>
      <c r="Q38" s="206">
        <v>36.244999999999997</v>
      </c>
      <c r="R38" s="267">
        <v>1024.4911301284403</v>
      </c>
      <c r="S38" s="205">
        <f t="shared" si="14"/>
        <v>37132.681011505316</v>
      </c>
      <c r="T38" s="207">
        <f t="shared" si="15"/>
        <v>36.244999999999997</v>
      </c>
      <c r="U38" s="207">
        <v>1290</v>
      </c>
      <c r="V38" s="205">
        <f t="shared" si="9"/>
        <v>46756.049999999996</v>
      </c>
      <c r="W38" s="123"/>
      <c r="Z38" s="346">
        <v>36.244999999999997</v>
      </c>
    </row>
    <row r="39" spans="1:26" s="216" customFormat="1" ht="23.1" hidden="1" customHeight="1" outlineLevel="2">
      <c r="A39" s="339">
        <v>2.6000000000000005</v>
      </c>
      <c r="B39" s="223" t="s">
        <v>145</v>
      </c>
      <c r="C39" s="223" t="s">
        <v>152</v>
      </c>
      <c r="D39" s="223" t="s">
        <v>147</v>
      </c>
      <c r="E39" s="207">
        <v>177.25800000000001</v>
      </c>
      <c r="F39" s="205">
        <v>1024.4911301284403</v>
      </c>
      <c r="G39" s="205">
        <v>181599.24874430709</v>
      </c>
      <c r="H39" s="207">
        <v>177.25800000000001</v>
      </c>
      <c r="I39" s="345">
        <v>1290</v>
      </c>
      <c r="J39" s="207">
        <v>228662.82</v>
      </c>
      <c r="K39" s="207">
        <f t="shared" si="11"/>
        <v>0</v>
      </c>
      <c r="L39" s="267">
        <v>1024.4911301284403</v>
      </c>
      <c r="M39" s="205">
        <f t="shared" si="12"/>
        <v>0</v>
      </c>
      <c r="N39" s="207">
        <f t="shared" si="13"/>
        <v>0</v>
      </c>
      <c r="O39" s="207">
        <v>1290</v>
      </c>
      <c r="P39" s="205">
        <f t="shared" si="10"/>
        <v>0</v>
      </c>
      <c r="Q39" s="206">
        <v>177.25800000000001</v>
      </c>
      <c r="R39" s="267">
        <v>1024.4911301284403</v>
      </c>
      <c r="S39" s="205">
        <f t="shared" si="14"/>
        <v>181599.24874430709</v>
      </c>
      <c r="T39" s="207">
        <f t="shared" si="15"/>
        <v>177.25800000000001</v>
      </c>
      <c r="U39" s="207">
        <v>1290</v>
      </c>
      <c r="V39" s="205">
        <f t="shared" si="9"/>
        <v>228662.82</v>
      </c>
      <c r="W39" s="123"/>
      <c r="Z39" s="346">
        <v>177.25800000000001</v>
      </c>
    </row>
    <row r="40" spans="1:26" s="216" customFormat="1" ht="23.1" hidden="1" customHeight="1" outlineLevel="2">
      <c r="A40" s="339">
        <v>2.7000000000000006</v>
      </c>
      <c r="B40" s="223" t="s">
        <v>145</v>
      </c>
      <c r="C40" s="223" t="s">
        <v>153</v>
      </c>
      <c r="D40" s="223" t="s">
        <v>147</v>
      </c>
      <c r="E40" s="207">
        <v>313.589</v>
      </c>
      <c r="F40" s="205">
        <v>906.97664058715588</v>
      </c>
      <c r="G40" s="205">
        <v>284417.89774508565</v>
      </c>
      <c r="H40" s="207">
        <v>313.589</v>
      </c>
      <c r="I40" s="345">
        <v>1290</v>
      </c>
      <c r="J40" s="207">
        <v>404529.81</v>
      </c>
      <c r="K40" s="207">
        <f t="shared" si="11"/>
        <v>-50</v>
      </c>
      <c r="L40" s="267">
        <v>906.97664058715588</v>
      </c>
      <c r="M40" s="205">
        <f t="shared" si="12"/>
        <v>-45348.832029357793</v>
      </c>
      <c r="N40" s="207">
        <f t="shared" si="13"/>
        <v>-50</v>
      </c>
      <c r="O40" s="207">
        <v>1290</v>
      </c>
      <c r="P40" s="205">
        <f t="shared" si="10"/>
        <v>-64500</v>
      </c>
      <c r="Q40" s="206">
        <f>313.589-50</f>
        <v>263.589</v>
      </c>
      <c r="R40" s="267">
        <v>906.97664058715588</v>
      </c>
      <c r="S40" s="205">
        <f t="shared" si="14"/>
        <v>239069.06571572783</v>
      </c>
      <c r="T40" s="207">
        <f t="shared" si="15"/>
        <v>263.589</v>
      </c>
      <c r="U40" s="207">
        <v>1290</v>
      </c>
      <c r="V40" s="205">
        <f t="shared" si="9"/>
        <v>340029.81</v>
      </c>
      <c r="W40" s="123"/>
      <c r="Z40" s="346">
        <v>313.589</v>
      </c>
    </row>
    <row r="41" spans="1:26" s="216" customFormat="1" ht="23.1" hidden="1" customHeight="1" outlineLevel="2">
      <c r="A41" s="339">
        <v>2.8000000000000007</v>
      </c>
      <c r="B41" s="223" t="s">
        <v>145</v>
      </c>
      <c r="C41" s="223" t="s">
        <v>154</v>
      </c>
      <c r="D41" s="223" t="s">
        <v>147</v>
      </c>
      <c r="E41" s="207">
        <v>72.128</v>
      </c>
      <c r="F41" s="205">
        <v>906.97664058715588</v>
      </c>
      <c r="G41" s="205">
        <v>65418.411132270383</v>
      </c>
      <c r="H41" s="207">
        <v>72.128</v>
      </c>
      <c r="I41" s="345">
        <v>1290</v>
      </c>
      <c r="J41" s="207">
        <v>93045.119999999995</v>
      </c>
      <c r="K41" s="207">
        <f t="shared" si="11"/>
        <v>0</v>
      </c>
      <c r="L41" s="267">
        <v>906.97664058715588</v>
      </c>
      <c r="M41" s="205">
        <f t="shared" si="12"/>
        <v>0</v>
      </c>
      <c r="N41" s="207">
        <f t="shared" si="13"/>
        <v>0</v>
      </c>
      <c r="O41" s="207">
        <v>1290</v>
      </c>
      <c r="P41" s="205">
        <f t="shared" si="10"/>
        <v>0</v>
      </c>
      <c r="Q41" s="206">
        <v>72.128</v>
      </c>
      <c r="R41" s="267">
        <v>906.97664058715588</v>
      </c>
      <c r="S41" s="205">
        <f t="shared" si="14"/>
        <v>65418.411132270383</v>
      </c>
      <c r="T41" s="207">
        <f t="shared" si="15"/>
        <v>72.128</v>
      </c>
      <c r="U41" s="207">
        <v>1290</v>
      </c>
      <c r="V41" s="205">
        <f t="shared" si="9"/>
        <v>93045.119999999995</v>
      </c>
      <c r="W41" s="123"/>
      <c r="Z41" s="346">
        <v>72.128</v>
      </c>
    </row>
    <row r="42" spans="1:26" s="216" customFormat="1" ht="23.1" hidden="1" customHeight="1" outlineLevel="2">
      <c r="A42" s="339">
        <v>2.9000000000000008</v>
      </c>
      <c r="B42" s="223" t="s">
        <v>145</v>
      </c>
      <c r="C42" s="223" t="s">
        <v>155</v>
      </c>
      <c r="D42" s="223" t="s">
        <v>147</v>
      </c>
      <c r="E42" s="207">
        <v>320.69099999999997</v>
      </c>
      <c r="F42" s="205">
        <v>906.97664058715588</v>
      </c>
      <c r="G42" s="205">
        <v>290859.2458465356</v>
      </c>
      <c r="H42" s="207">
        <v>320.69099999999997</v>
      </c>
      <c r="I42" s="345">
        <v>1290</v>
      </c>
      <c r="J42" s="207">
        <v>413691.38999999996</v>
      </c>
      <c r="K42" s="207">
        <f t="shared" si="11"/>
        <v>0</v>
      </c>
      <c r="L42" s="267">
        <v>906.97664058715588</v>
      </c>
      <c r="M42" s="205">
        <f t="shared" si="12"/>
        <v>0</v>
      </c>
      <c r="N42" s="207">
        <f t="shared" si="13"/>
        <v>0</v>
      </c>
      <c r="O42" s="207">
        <v>1290</v>
      </c>
      <c r="P42" s="205">
        <f t="shared" si="10"/>
        <v>0</v>
      </c>
      <c r="Q42" s="206">
        <v>320.69099999999997</v>
      </c>
      <c r="R42" s="267">
        <v>906.97664058715588</v>
      </c>
      <c r="S42" s="205">
        <f t="shared" si="14"/>
        <v>290859.2458465356</v>
      </c>
      <c r="T42" s="207">
        <f t="shared" si="15"/>
        <v>320.69099999999997</v>
      </c>
      <c r="U42" s="207">
        <v>1290</v>
      </c>
      <c r="V42" s="205">
        <f t="shared" si="9"/>
        <v>413691.38999999996</v>
      </c>
      <c r="W42" s="123"/>
      <c r="Z42" s="346">
        <v>320.69099999999997</v>
      </c>
    </row>
    <row r="43" spans="1:26" s="216" customFormat="1" ht="23.1" hidden="1" customHeight="1" outlineLevel="2">
      <c r="A43" s="340">
        <v>2.1</v>
      </c>
      <c r="B43" s="223" t="s">
        <v>145</v>
      </c>
      <c r="C43" s="223" t="s">
        <v>156</v>
      </c>
      <c r="D43" s="223" t="s">
        <v>147</v>
      </c>
      <c r="E43" s="207">
        <v>65.534999999999997</v>
      </c>
      <c r="F43" s="205">
        <v>906.97664058715588</v>
      </c>
      <c r="G43" s="205">
        <v>59438.71414087926</v>
      </c>
      <c r="H43" s="207">
        <v>65.534999999999997</v>
      </c>
      <c r="I43" s="345">
        <v>1290</v>
      </c>
      <c r="J43" s="207">
        <v>84540.15</v>
      </c>
      <c r="K43" s="207">
        <f t="shared" si="11"/>
        <v>0</v>
      </c>
      <c r="L43" s="267">
        <v>906.97664058715588</v>
      </c>
      <c r="M43" s="205">
        <f t="shared" si="12"/>
        <v>0</v>
      </c>
      <c r="N43" s="207">
        <f t="shared" si="13"/>
        <v>0</v>
      </c>
      <c r="O43" s="207">
        <v>1290</v>
      </c>
      <c r="P43" s="205">
        <f t="shared" si="10"/>
        <v>0</v>
      </c>
      <c r="Q43" s="206">
        <v>65.534999999999997</v>
      </c>
      <c r="R43" s="267">
        <v>906.97664058715588</v>
      </c>
      <c r="S43" s="205">
        <f t="shared" si="14"/>
        <v>59438.71414087926</v>
      </c>
      <c r="T43" s="207">
        <f t="shared" si="15"/>
        <v>65.534999999999997</v>
      </c>
      <c r="U43" s="207">
        <v>1290</v>
      </c>
      <c r="V43" s="205">
        <f t="shared" si="9"/>
        <v>84540.15</v>
      </c>
      <c r="W43" s="123"/>
      <c r="Z43" s="346">
        <v>65.534999999999997</v>
      </c>
    </row>
    <row r="44" spans="1:26" s="216" customFormat="1" ht="23.1" hidden="1" customHeight="1" outlineLevel="2">
      <c r="A44" s="339">
        <v>2.11</v>
      </c>
      <c r="B44" s="223" t="s">
        <v>145</v>
      </c>
      <c r="C44" s="223" t="s">
        <v>157</v>
      </c>
      <c r="D44" s="223" t="s">
        <v>147</v>
      </c>
      <c r="E44" s="207">
        <v>84.293000000000006</v>
      </c>
      <c r="F44" s="205">
        <v>906.97664058715588</v>
      </c>
      <c r="G44" s="205">
        <v>76451.781965013142</v>
      </c>
      <c r="H44" s="207">
        <v>84.293000000000006</v>
      </c>
      <c r="I44" s="345">
        <v>1290</v>
      </c>
      <c r="J44" s="207">
        <v>108737.97</v>
      </c>
      <c r="K44" s="207">
        <f t="shared" si="11"/>
        <v>0</v>
      </c>
      <c r="L44" s="267">
        <v>906.97664058715588</v>
      </c>
      <c r="M44" s="205">
        <f t="shared" si="12"/>
        <v>0</v>
      </c>
      <c r="N44" s="207">
        <f t="shared" si="13"/>
        <v>0</v>
      </c>
      <c r="O44" s="207">
        <v>1290</v>
      </c>
      <c r="P44" s="205">
        <f t="shared" si="10"/>
        <v>0</v>
      </c>
      <c r="Q44" s="206">
        <v>84.293000000000006</v>
      </c>
      <c r="R44" s="267">
        <v>906.97664058715588</v>
      </c>
      <c r="S44" s="205">
        <f t="shared" si="14"/>
        <v>76451.781965013142</v>
      </c>
      <c r="T44" s="207">
        <f t="shared" si="15"/>
        <v>84.293000000000006</v>
      </c>
      <c r="U44" s="207">
        <v>1290</v>
      </c>
      <c r="V44" s="205">
        <f t="shared" si="9"/>
        <v>108737.97</v>
      </c>
      <c r="W44" s="123"/>
      <c r="Z44" s="346">
        <v>84.293000000000006</v>
      </c>
    </row>
    <row r="45" spans="1:26" s="216" customFormat="1" ht="23.1" hidden="1" customHeight="1" outlineLevel="2">
      <c r="A45" s="340">
        <v>2.1199999999999997</v>
      </c>
      <c r="B45" s="223" t="s">
        <v>145</v>
      </c>
      <c r="C45" s="223" t="s">
        <v>158</v>
      </c>
      <c r="D45" s="223" t="s">
        <v>147</v>
      </c>
      <c r="E45" s="207">
        <v>59.776000000000003</v>
      </c>
      <c r="F45" s="205">
        <v>906.97664058715588</v>
      </c>
      <c r="G45" s="205">
        <v>54215.435667737831</v>
      </c>
      <c r="H45" s="207">
        <v>59.776000000000003</v>
      </c>
      <c r="I45" s="345">
        <v>1290</v>
      </c>
      <c r="J45" s="207">
        <v>77111.040000000008</v>
      </c>
      <c r="K45" s="207">
        <f t="shared" si="11"/>
        <v>0</v>
      </c>
      <c r="L45" s="267">
        <v>906.97664058715588</v>
      </c>
      <c r="M45" s="205">
        <f t="shared" si="12"/>
        <v>0</v>
      </c>
      <c r="N45" s="207">
        <f t="shared" si="13"/>
        <v>0</v>
      </c>
      <c r="O45" s="207">
        <v>1290</v>
      </c>
      <c r="P45" s="205">
        <f t="shared" si="10"/>
        <v>0</v>
      </c>
      <c r="Q45" s="206">
        <v>59.776000000000003</v>
      </c>
      <c r="R45" s="267">
        <v>906.97664058715588</v>
      </c>
      <c r="S45" s="205">
        <f t="shared" si="14"/>
        <v>54215.435667737831</v>
      </c>
      <c r="T45" s="207">
        <f t="shared" si="15"/>
        <v>59.776000000000003</v>
      </c>
      <c r="U45" s="207">
        <v>1290</v>
      </c>
      <c r="V45" s="205">
        <f t="shared" si="9"/>
        <v>77111.040000000008</v>
      </c>
      <c r="W45" s="123"/>
      <c r="Z45" s="346">
        <v>59.776000000000003</v>
      </c>
    </row>
    <row r="46" spans="1:26" s="216" customFormat="1" ht="23.1" hidden="1" customHeight="1" outlineLevel="2">
      <c r="A46" s="339">
        <v>2.1299999999999994</v>
      </c>
      <c r="B46" s="223" t="s">
        <v>145</v>
      </c>
      <c r="C46" s="223" t="s">
        <v>159</v>
      </c>
      <c r="D46" s="223" t="s">
        <v>147</v>
      </c>
      <c r="E46" s="207">
        <v>77.28</v>
      </c>
      <c r="F46" s="205">
        <v>906.97664058715588</v>
      </c>
      <c r="G46" s="205">
        <v>70091.15478457541</v>
      </c>
      <c r="H46" s="207">
        <v>77.28</v>
      </c>
      <c r="I46" s="345">
        <v>1290</v>
      </c>
      <c r="J46" s="207">
        <v>99691.199999999997</v>
      </c>
      <c r="K46" s="207">
        <f t="shared" si="11"/>
        <v>0</v>
      </c>
      <c r="L46" s="267">
        <v>906.97664058715588</v>
      </c>
      <c r="M46" s="205">
        <f t="shared" si="12"/>
        <v>0</v>
      </c>
      <c r="N46" s="207">
        <f t="shared" si="13"/>
        <v>0</v>
      </c>
      <c r="O46" s="207">
        <v>1290</v>
      </c>
      <c r="P46" s="205">
        <f t="shared" si="10"/>
        <v>0</v>
      </c>
      <c r="Q46" s="206">
        <v>77.28</v>
      </c>
      <c r="R46" s="267">
        <v>906.97664058715588</v>
      </c>
      <c r="S46" s="205">
        <f t="shared" si="14"/>
        <v>70091.15478457541</v>
      </c>
      <c r="T46" s="207">
        <f t="shared" si="15"/>
        <v>77.28</v>
      </c>
      <c r="U46" s="207">
        <v>1290</v>
      </c>
      <c r="V46" s="205">
        <f t="shared" si="9"/>
        <v>99691.199999999997</v>
      </c>
      <c r="W46" s="123"/>
      <c r="Z46" s="346">
        <v>77.28</v>
      </c>
    </row>
    <row r="47" spans="1:26" s="216" customFormat="1" ht="23.1" hidden="1" customHeight="1" outlineLevel="2">
      <c r="A47" s="340">
        <v>2.1399999999999992</v>
      </c>
      <c r="B47" s="223" t="s">
        <v>145</v>
      </c>
      <c r="C47" s="223" t="s">
        <v>160</v>
      </c>
      <c r="D47" s="223" t="s">
        <v>147</v>
      </c>
      <c r="E47" s="207">
        <v>10.911</v>
      </c>
      <c r="F47" s="205">
        <v>805.99385042201834</v>
      </c>
      <c r="G47" s="205">
        <v>8794.1989019546418</v>
      </c>
      <c r="H47" s="207">
        <v>10.911</v>
      </c>
      <c r="I47" s="345">
        <v>1290</v>
      </c>
      <c r="J47" s="207">
        <v>14075.189999999999</v>
      </c>
      <c r="K47" s="207">
        <f t="shared" si="11"/>
        <v>0</v>
      </c>
      <c r="L47" s="267">
        <v>805.99385042201834</v>
      </c>
      <c r="M47" s="205">
        <f t="shared" si="12"/>
        <v>0</v>
      </c>
      <c r="N47" s="207">
        <f t="shared" si="13"/>
        <v>0</v>
      </c>
      <c r="O47" s="207">
        <v>1290</v>
      </c>
      <c r="P47" s="205">
        <f t="shared" si="10"/>
        <v>0</v>
      </c>
      <c r="Q47" s="206">
        <v>10.911</v>
      </c>
      <c r="R47" s="267">
        <v>805.99385042201834</v>
      </c>
      <c r="S47" s="205">
        <f t="shared" si="14"/>
        <v>8794.1989019546418</v>
      </c>
      <c r="T47" s="207">
        <f t="shared" si="15"/>
        <v>10.911</v>
      </c>
      <c r="U47" s="207">
        <v>1290</v>
      </c>
      <c r="V47" s="205">
        <f t="shared" si="9"/>
        <v>14075.189999999999</v>
      </c>
      <c r="W47" s="123"/>
      <c r="Z47" s="346">
        <v>10.911</v>
      </c>
    </row>
    <row r="48" spans="1:26" s="216" customFormat="1" ht="23.1" hidden="1" customHeight="1" outlineLevel="2">
      <c r="A48" s="339">
        <v>2.149999999999999</v>
      </c>
      <c r="B48" s="223" t="s">
        <v>145</v>
      </c>
      <c r="C48" s="223" t="s">
        <v>161</v>
      </c>
      <c r="D48" s="223" t="s">
        <v>147</v>
      </c>
      <c r="E48" s="207">
        <v>0.2</v>
      </c>
      <c r="F48" s="205">
        <v>805.99385042201834</v>
      </c>
      <c r="G48" s="205">
        <v>161.19877008440369</v>
      </c>
      <c r="H48" s="207">
        <v>0.2</v>
      </c>
      <c r="I48" s="345">
        <v>1290</v>
      </c>
      <c r="J48" s="207">
        <v>258</v>
      </c>
      <c r="K48" s="207">
        <f t="shared" si="11"/>
        <v>0</v>
      </c>
      <c r="L48" s="267">
        <v>805.99385042201834</v>
      </c>
      <c r="M48" s="205">
        <f t="shared" si="12"/>
        <v>0</v>
      </c>
      <c r="N48" s="207">
        <f t="shared" si="13"/>
        <v>0</v>
      </c>
      <c r="O48" s="207">
        <v>1290</v>
      </c>
      <c r="P48" s="205">
        <f t="shared" si="10"/>
        <v>0</v>
      </c>
      <c r="Q48" s="206">
        <v>0</v>
      </c>
      <c r="R48" s="267">
        <v>805.99385042201834</v>
      </c>
      <c r="S48" s="205">
        <f t="shared" si="14"/>
        <v>0</v>
      </c>
      <c r="T48" s="207">
        <f t="shared" si="15"/>
        <v>0</v>
      </c>
      <c r="U48" s="207">
        <v>1290</v>
      </c>
      <c r="V48" s="205">
        <f t="shared" si="9"/>
        <v>0</v>
      </c>
      <c r="W48" s="123"/>
      <c r="Z48" s="346">
        <v>0</v>
      </c>
    </row>
    <row r="49" spans="1:26" s="216" customFormat="1" ht="23.1" hidden="1" customHeight="1" outlineLevel="2">
      <c r="A49" s="340">
        <v>2.1599999999999988</v>
      </c>
      <c r="B49" s="223" t="s">
        <v>162</v>
      </c>
      <c r="C49" s="223" t="s">
        <v>148</v>
      </c>
      <c r="D49" s="223" t="s">
        <v>147</v>
      </c>
      <c r="E49" s="207">
        <v>2.4689999999999999</v>
      </c>
      <c r="F49" s="205">
        <v>1706.5494006605504</v>
      </c>
      <c r="G49" s="205">
        <v>4213.4704702308991</v>
      </c>
      <c r="H49" s="207">
        <v>2.4689999999999999</v>
      </c>
      <c r="I49" s="345">
        <v>1290</v>
      </c>
      <c r="J49" s="207">
        <v>3185.01</v>
      </c>
      <c r="K49" s="207">
        <f t="shared" si="11"/>
        <v>0</v>
      </c>
      <c r="L49" s="267">
        <v>1706.5494006605504</v>
      </c>
      <c r="M49" s="205">
        <f t="shared" si="12"/>
        <v>0</v>
      </c>
      <c r="N49" s="207">
        <f t="shared" si="13"/>
        <v>0</v>
      </c>
      <c r="O49" s="207">
        <v>1290</v>
      </c>
      <c r="P49" s="205">
        <f t="shared" si="10"/>
        <v>0</v>
      </c>
      <c r="Q49" s="206"/>
      <c r="R49" s="267">
        <v>1706.5494006605504</v>
      </c>
      <c r="S49" s="205">
        <f t="shared" si="14"/>
        <v>0</v>
      </c>
      <c r="T49" s="207">
        <f t="shared" si="15"/>
        <v>0</v>
      </c>
      <c r="U49" s="207">
        <v>1290</v>
      </c>
      <c r="V49" s="205">
        <f t="shared" si="9"/>
        <v>0</v>
      </c>
      <c r="W49" s="123"/>
      <c r="Z49" s="346"/>
    </row>
    <row r="50" spans="1:26" s="216" customFormat="1" ht="23.1" hidden="1" customHeight="1" outlineLevel="2">
      <c r="A50" s="339">
        <v>2.1699999999999986</v>
      </c>
      <c r="B50" s="223" t="s">
        <v>162</v>
      </c>
      <c r="C50" s="223" t="s">
        <v>163</v>
      </c>
      <c r="D50" s="223" t="s">
        <v>147</v>
      </c>
      <c r="E50" s="207">
        <v>1.6759999999999999</v>
      </c>
      <c r="F50" s="205">
        <v>1038.860335266055</v>
      </c>
      <c r="G50" s="205">
        <v>1741.1299219059081</v>
      </c>
      <c r="H50" s="207">
        <v>1.6759999999999999</v>
      </c>
      <c r="I50" s="345">
        <v>1290</v>
      </c>
      <c r="J50" s="207">
        <v>2162.04</v>
      </c>
      <c r="K50" s="207">
        <f t="shared" si="11"/>
        <v>0</v>
      </c>
      <c r="L50" s="267">
        <v>1038.860335266055</v>
      </c>
      <c r="M50" s="205">
        <f t="shared" si="12"/>
        <v>0</v>
      </c>
      <c r="N50" s="207">
        <f t="shared" si="13"/>
        <v>0</v>
      </c>
      <c r="O50" s="207">
        <v>1290</v>
      </c>
      <c r="P50" s="205">
        <f t="shared" si="10"/>
        <v>0</v>
      </c>
      <c r="Q50" s="206"/>
      <c r="R50" s="267">
        <v>1038.860335266055</v>
      </c>
      <c r="S50" s="205">
        <f t="shared" si="14"/>
        <v>0</v>
      </c>
      <c r="T50" s="207">
        <f t="shared" si="15"/>
        <v>0</v>
      </c>
      <c r="U50" s="207">
        <v>1290</v>
      </c>
      <c r="V50" s="205">
        <f t="shared" si="9"/>
        <v>0</v>
      </c>
      <c r="W50" s="123"/>
      <c r="Z50" s="346"/>
    </row>
    <row r="51" spans="1:26" s="216" customFormat="1" ht="23.1" hidden="1" customHeight="1" outlineLevel="2">
      <c r="A51" s="340">
        <v>2.1799999999999984</v>
      </c>
      <c r="B51" s="223" t="s">
        <v>162</v>
      </c>
      <c r="C51" s="223" t="s">
        <v>150</v>
      </c>
      <c r="D51" s="223" t="s">
        <v>147</v>
      </c>
      <c r="E51" s="207">
        <v>5.3250000000000002</v>
      </c>
      <c r="F51" s="205">
        <v>1706.5494006605504</v>
      </c>
      <c r="G51" s="205">
        <v>9087.3755585174313</v>
      </c>
      <c r="H51" s="207">
        <v>5.3250000000000002</v>
      </c>
      <c r="I51" s="345">
        <v>1290</v>
      </c>
      <c r="J51" s="207">
        <v>6869.25</v>
      </c>
      <c r="K51" s="207">
        <f t="shared" si="11"/>
        <v>0</v>
      </c>
      <c r="L51" s="267">
        <v>1706.5494006605504</v>
      </c>
      <c r="M51" s="205">
        <f t="shared" si="12"/>
        <v>0</v>
      </c>
      <c r="N51" s="207">
        <f t="shared" si="13"/>
        <v>0</v>
      </c>
      <c r="O51" s="207">
        <v>1290</v>
      </c>
      <c r="P51" s="205">
        <f t="shared" si="10"/>
        <v>0</v>
      </c>
      <c r="Q51" s="206">
        <v>5.3250000000000002</v>
      </c>
      <c r="R51" s="267">
        <v>1706.5494006605504</v>
      </c>
      <c r="S51" s="205">
        <f t="shared" si="14"/>
        <v>9087.3755585174313</v>
      </c>
      <c r="T51" s="207">
        <f t="shared" si="15"/>
        <v>5.3250000000000002</v>
      </c>
      <c r="U51" s="207">
        <v>1290</v>
      </c>
      <c r="V51" s="205">
        <f t="shared" si="9"/>
        <v>6869.25</v>
      </c>
      <c r="W51" s="123"/>
      <c r="Z51" s="346">
        <v>5.3250000000000002</v>
      </c>
    </row>
    <row r="52" spans="1:26" s="216" customFormat="1" ht="23.1" hidden="1" customHeight="1" outlineLevel="2">
      <c r="A52" s="339">
        <v>2.1899999999999982</v>
      </c>
      <c r="B52" s="223" t="s">
        <v>162</v>
      </c>
      <c r="C52" s="223" t="s">
        <v>151</v>
      </c>
      <c r="D52" s="223" t="s">
        <v>147</v>
      </c>
      <c r="E52" s="207">
        <v>30.245999999999999</v>
      </c>
      <c r="F52" s="205">
        <v>1706.5494006605504</v>
      </c>
      <c r="G52" s="205">
        <v>51616.293172379002</v>
      </c>
      <c r="H52" s="207">
        <v>30.245999999999999</v>
      </c>
      <c r="I52" s="345">
        <v>1290</v>
      </c>
      <c r="J52" s="207">
        <v>39017.339999999997</v>
      </c>
      <c r="K52" s="207">
        <f t="shared" si="11"/>
        <v>0</v>
      </c>
      <c r="L52" s="267">
        <v>1706.5494006605504</v>
      </c>
      <c r="M52" s="205">
        <f t="shared" si="12"/>
        <v>0</v>
      </c>
      <c r="N52" s="207">
        <f t="shared" si="13"/>
        <v>0</v>
      </c>
      <c r="O52" s="207">
        <v>1290</v>
      </c>
      <c r="P52" s="205">
        <f t="shared" si="10"/>
        <v>0</v>
      </c>
      <c r="Q52" s="206">
        <v>30.245999999999999</v>
      </c>
      <c r="R52" s="267">
        <v>1706.5494006605504</v>
      </c>
      <c r="S52" s="205">
        <f t="shared" si="14"/>
        <v>51616.293172379002</v>
      </c>
      <c r="T52" s="207">
        <f t="shared" si="15"/>
        <v>30.245999999999999</v>
      </c>
      <c r="U52" s="207">
        <v>1290</v>
      </c>
      <c r="V52" s="205">
        <f t="shared" si="9"/>
        <v>39017.339999999997</v>
      </c>
      <c r="W52" s="123"/>
      <c r="Z52" s="346">
        <v>30.245999999999999</v>
      </c>
    </row>
    <row r="53" spans="1:26" s="216" customFormat="1" ht="23.1" hidden="1" customHeight="1" outlineLevel="2">
      <c r="A53" s="340">
        <v>2.199999999999998</v>
      </c>
      <c r="B53" s="223" t="s">
        <v>162</v>
      </c>
      <c r="C53" s="223" t="s">
        <v>152</v>
      </c>
      <c r="D53" s="223" t="s">
        <v>147</v>
      </c>
      <c r="E53" s="207">
        <v>74.191999999999993</v>
      </c>
      <c r="F53" s="205">
        <v>1706.5494006605504</v>
      </c>
      <c r="G53" s="205">
        <v>126612.31313380755</v>
      </c>
      <c r="H53" s="207">
        <v>74.191999999999993</v>
      </c>
      <c r="I53" s="345">
        <v>1290</v>
      </c>
      <c r="J53" s="207">
        <v>95707.68</v>
      </c>
      <c r="K53" s="207">
        <f t="shared" si="11"/>
        <v>0</v>
      </c>
      <c r="L53" s="267">
        <v>1706.5494006605504</v>
      </c>
      <c r="M53" s="205">
        <f t="shared" si="12"/>
        <v>0</v>
      </c>
      <c r="N53" s="207">
        <f t="shared" si="13"/>
        <v>0</v>
      </c>
      <c r="O53" s="207">
        <v>1290</v>
      </c>
      <c r="P53" s="205">
        <f t="shared" ref="P53:P84" si="16">+O53*N53</f>
        <v>0</v>
      </c>
      <c r="Q53" s="206">
        <v>42.624000000000002</v>
      </c>
      <c r="R53" s="267">
        <v>1706.5494006605504</v>
      </c>
      <c r="S53" s="205">
        <f t="shared" si="14"/>
        <v>72739.961653755308</v>
      </c>
      <c r="T53" s="207">
        <f t="shared" si="15"/>
        <v>42.624000000000002</v>
      </c>
      <c r="U53" s="207">
        <v>1290</v>
      </c>
      <c r="V53" s="205">
        <f t="shared" si="9"/>
        <v>54984.960000000006</v>
      </c>
      <c r="W53" s="123"/>
      <c r="Z53" s="346">
        <v>42.624000000000002</v>
      </c>
    </row>
    <row r="54" spans="1:26" s="216" customFormat="1" ht="23.1" hidden="1" customHeight="1" outlineLevel="2">
      <c r="A54" s="339">
        <v>2.2099999999999977</v>
      </c>
      <c r="B54" s="223" t="s">
        <v>162</v>
      </c>
      <c r="C54" s="223" t="s">
        <v>153</v>
      </c>
      <c r="D54" s="223" t="s">
        <v>147</v>
      </c>
      <c r="E54" s="207">
        <v>23.106000000000002</v>
      </c>
      <c r="F54" s="205">
        <v>1038.860335266055</v>
      </c>
      <c r="G54" s="205">
        <v>24003.90690665747</v>
      </c>
      <c r="H54" s="207">
        <v>23.106000000000002</v>
      </c>
      <c r="I54" s="345">
        <v>1290</v>
      </c>
      <c r="J54" s="207">
        <v>29806.74</v>
      </c>
      <c r="K54" s="207">
        <f t="shared" si="11"/>
        <v>0</v>
      </c>
      <c r="L54" s="267">
        <v>1038.860335266055</v>
      </c>
      <c r="M54" s="205">
        <f t="shared" si="12"/>
        <v>0</v>
      </c>
      <c r="N54" s="207">
        <f t="shared" si="13"/>
        <v>0</v>
      </c>
      <c r="O54" s="207">
        <v>1290</v>
      </c>
      <c r="P54" s="205">
        <f t="shared" si="16"/>
        <v>0</v>
      </c>
      <c r="Q54" s="206">
        <v>63.069000000000003</v>
      </c>
      <c r="R54" s="267">
        <v>1038.860335266055</v>
      </c>
      <c r="S54" s="205">
        <f t="shared" si="14"/>
        <v>65519.882484894828</v>
      </c>
      <c r="T54" s="207">
        <f t="shared" si="15"/>
        <v>63.069000000000003</v>
      </c>
      <c r="U54" s="207">
        <v>1290</v>
      </c>
      <c r="V54" s="205">
        <f t="shared" si="9"/>
        <v>81359.010000000009</v>
      </c>
      <c r="W54" s="123"/>
      <c r="Z54" s="346">
        <v>63.069000000000003</v>
      </c>
    </row>
    <row r="55" spans="1:26" s="216" customFormat="1" ht="23.1" hidden="1" customHeight="1" outlineLevel="2">
      <c r="A55" s="340">
        <v>2.2199999999999975</v>
      </c>
      <c r="B55" s="223" t="s">
        <v>162</v>
      </c>
      <c r="C55" s="223" t="s">
        <v>154</v>
      </c>
      <c r="D55" s="223" t="s">
        <v>147</v>
      </c>
      <c r="E55" s="207">
        <v>18.609000000000002</v>
      </c>
      <c r="F55" s="205">
        <v>1038.860335266055</v>
      </c>
      <c r="G55" s="205">
        <v>19332.15197896602</v>
      </c>
      <c r="H55" s="207">
        <v>18.609000000000002</v>
      </c>
      <c r="I55" s="345">
        <v>1290</v>
      </c>
      <c r="J55" s="207">
        <v>24005.61</v>
      </c>
      <c r="K55" s="207">
        <f t="shared" si="11"/>
        <v>0</v>
      </c>
      <c r="L55" s="267">
        <v>1038.860335266055</v>
      </c>
      <c r="M55" s="205">
        <f t="shared" si="12"/>
        <v>0</v>
      </c>
      <c r="N55" s="207">
        <f t="shared" si="13"/>
        <v>0</v>
      </c>
      <c r="O55" s="207">
        <v>1290</v>
      </c>
      <c r="P55" s="205">
        <f t="shared" si="16"/>
        <v>0</v>
      </c>
      <c r="Q55" s="206">
        <v>17.654</v>
      </c>
      <c r="R55" s="267">
        <v>1038.860335266055</v>
      </c>
      <c r="S55" s="205">
        <f t="shared" si="14"/>
        <v>18340.040358786937</v>
      </c>
      <c r="T55" s="207">
        <f t="shared" si="15"/>
        <v>17.654</v>
      </c>
      <c r="U55" s="207">
        <v>1290</v>
      </c>
      <c r="V55" s="205">
        <f t="shared" si="9"/>
        <v>22773.66</v>
      </c>
      <c r="W55" s="123"/>
      <c r="Z55" s="346">
        <v>17.654</v>
      </c>
    </row>
    <row r="56" spans="1:26" s="216" customFormat="1" ht="23.1" hidden="1" customHeight="1" outlineLevel="2">
      <c r="A56" s="339">
        <v>2.2299999999999973</v>
      </c>
      <c r="B56" s="223" t="s">
        <v>162</v>
      </c>
      <c r="C56" s="223" t="s">
        <v>155</v>
      </c>
      <c r="D56" s="223" t="s">
        <v>147</v>
      </c>
      <c r="E56" s="207">
        <v>62.289000000000001</v>
      </c>
      <c r="F56" s="205">
        <v>1038.860335266055</v>
      </c>
      <c r="G56" s="205">
        <v>64709.5714233873</v>
      </c>
      <c r="H56" s="207">
        <v>62.289000000000001</v>
      </c>
      <c r="I56" s="345">
        <v>1290</v>
      </c>
      <c r="J56" s="207">
        <v>80352.81</v>
      </c>
      <c r="K56" s="207">
        <f t="shared" si="11"/>
        <v>0</v>
      </c>
      <c r="L56" s="267">
        <v>1038.860335266055</v>
      </c>
      <c r="M56" s="205">
        <f t="shared" si="12"/>
        <v>0</v>
      </c>
      <c r="N56" s="207">
        <f t="shared" si="13"/>
        <v>0</v>
      </c>
      <c r="O56" s="207">
        <v>1290</v>
      </c>
      <c r="P56" s="205">
        <f t="shared" si="16"/>
        <v>0</v>
      </c>
      <c r="Q56" s="206">
        <v>56.475000000000001</v>
      </c>
      <c r="R56" s="267">
        <v>1038.860335266055</v>
      </c>
      <c r="S56" s="205">
        <f t="shared" si="14"/>
        <v>58669.637434150456</v>
      </c>
      <c r="T56" s="207">
        <f t="shared" si="15"/>
        <v>56.475000000000001</v>
      </c>
      <c r="U56" s="207">
        <v>1290</v>
      </c>
      <c r="V56" s="205">
        <f t="shared" si="9"/>
        <v>72852.75</v>
      </c>
      <c r="W56" s="123"/>
      <c r="Z56" s="346">
        <v>56.475000000000001</v>
      </c>
    </row>
    <row r="57" spans="1:26" s="216" customFormat="1" ht="23.1" hidden="1" customHeight="1" outlineLevel="2">
      <c r="A57" s="340">
        <v>2.2399999999999971</v>
      </c>
      <c r="B57" s="223" t="s">
        <v>162</v>
      </c>
      <c r="C57" s="223" t="s">
        <v>156</v>
      </c>
      <c r="D57" s="223" t="s">
        <v>147</v>
      </c>
      <c r="E57" s="207">
        <v>32.457000000000001</v>
      </c>
      <c r="F57" s="205">
        <v>1038.860335266055</v>
      </c>
      <c r="G57" s="205">
        <v>33718.28990173035</v>
      </c>
      <c r="H57" s="207">
        <v>32.457000000000001</v>
      </c>
      <c r="I57" s="345">
        <v>1290</v>
      </c>
      <c r="J57" s="207">
        <v>41869.53</v>
      </c>
      <c r="K57" s="207">
        <f t="shared" si="11"/>
        <v>0</v>
      </c>
      <c r="L57" s="267">
        <v>1038.860335266055</v>
      </c>
      <c r="M57" s="205">
        <f t="shared" si="12"/>
        <v>0</v>
      </c>
      <c r="N57" s="207">
        <f t="shared" si="13"/>
        <v>0</v>
      </c>
      <c r="O57" s="207">
        <v>1290</v>
      </c>
      <c r="P57" s="205">
        <f t="shared" si="16"/>
        <v>0</v>
      </c>
      <c r="Q57" s="206">
        <v>29.475999999999999</v>
      </c>
      <c r="R57" s="267">
        <v>1038.860335266055</v>
      </c>
      <c r="S57" s="205">
        <f t="shared" si="14"/>
        <v>30621.447242302238</v>
      </c>
      <c r="T57" s="207">
        <f t="shared" si="15"/>
        <v>29.475999999999999</v>
      </c>
      <c r="U57" s="207">
        <v>1290</v>
      </c>
      <c r="V57" s="205">
        <f t="shared" si="9"/>
        <v>38024.04</v>
      </c>
      <c r="W57" s="123"/>
      <c r="Z57" s="346">
        <v>29.475999999999999</v>
      </c>
    </row>
    <row r="58" spans="1:26" s="216" customFormat="1" ht="23.1" hidden="1" customHeight="1" outlineLevel="2">
      <c r="A58" s="339">
        <v>2.2499999999999969</v>
      </c>
      <c r="B58" s="341" t="s">
        <v>162</v>
      </c>
      <c r="C58" s="223" t="s">
        <v>157</v>
      </c>
      <c r="D58" s="223" t="s">
        <v>147</v>
      </c>
      <c r="E58" s="207">
        <v>0.94</v>
      </c>
      <c r="F58" s="205">
        <v>1038.860335266055</v>
      </c>
      <c r="G58" s="205">
        <v>976.52871515009167</v>
      </c>
      <c r="H58" s="207">
        <v>0.94</v>
      </c>
      <c r="I58" s="345">
        <v>1290</v>
      </c>
      <c r="J58" s="207">
        <v>1212.5999999999999</v>
      </c>
      <c r="K58" s="207">
        <f t="shared" si="11"/>
        <v>0</v>
      </c>
      <c r="L58" s="267">
        <v>1038.860335266055</v>
      </c>
      <c r="M58" s="205">
        <f t="shared" si="12"/>
        <v>0</v>
      </c>
      <c r="N58" s="207">
        <f t="shared" si="13"/>
        <v>0</v>
      </c>
      <c r="O58" s="207">
        <v>1290</v>
      </c>
      <c r="P58" s="205">
        <f t="shared" si="16"/>
        <v>0</v>
      </c>
      <c r="Q58" s="206">
        <v>0</v>
      </c>
      <c r="R58" s="267">
        <v>1038.860335266055</v>
      </c>
      <c r="S58" s="205">
        <f t="shared" si="14"/>
        <v>0</v>
      </c>
      <c r="T58" s="207">
        <f t="shared" si="15"/>
        <v>0</v>
      </c>
      <c r="U58" s="207">
        <v>1290</v>
      </c>
      <c r="V58" s="205">
        <f t="shared" si="9"/>
        <v>0</v>
      </c>
      <c r="W58" s="123"/>
      <c r="Z58" s="346">
        <v>0</v>
      </c>
    </row>
    <row r="59" spans="1:26" s="216" customFormat="1" ht="23.1" hidden="1" customHeight="1" outlineLevel="2">
      <c r="A59" s="340">
        <v>2.2599999999999967</v>
      </c>
      <c r="B59" s="196" t="s">
        <v>164</v>
      </c>
      <c r="C59" s="196" t="s">
        <v>165</v>
      </c>
      <c r="D59" s="196" t="s">
        <v>166</v>
      </c>
      <c r="E59" s="207">
        <v>10771</v>
      </c>
      <c r="F59" s="205">
        <v>7.1608910091743123</v>
      </c>
      <c r="G59" s="205">
        <v>77129.957059816516</v>
      </c>
      <c r="H59" s="207">
        <v>10771</v>
      </c>
      <c r="I59" s="345">
        <v>0</v>
      </c>
      <c r="J59" s="207">
        <v>0</v>
      </c>
      <c r="K59" s="207">
        <f t="shared" si="11"/>
        <v>0</v>
      </c>
      <c r="L59" s="267">
        <v>7.1608910091743123</v>
      </c>
      <c r="M59" s="205">
        <f t="shared" si="12"/>
        <v>0</v>
      </c>
      <c r="N59" s="207">
        <f t="shared" si="13"/>
        <v>0</v>
      </c>
      <c r="O59" s="207">
        <v>0</v>
      </c>
      <c r="P59" s="205">
        <f t="shared" si="16"/>
        <v>0</v>
      </c>
      <c r="Q59" s="206">
        <v>10771</v>
      </c>
      <c r="R59" s="267">
        <v>7.1608910091743123</v>
      </c>
      <c r="S59" s="205">
        <f t="shared" si="14"/>
        <v>77129.957059816516</v>
      </c>
      <c r="T59" s="207">
        <f t="shared" si="15"/>
        <v>10771</v>
      </c>
      <c r="U59" s="207">
        <v>0</v>
      </c>
      <c r="V59" s="205">
        <f t="shared" si="9"/>
        <v>0</v>
      </c>
      <c r="W59" s="123"/>
      <c r="Z59" s="346">
        <v>10771</v>
      </c>
    </row>
    <row r="60" spans="1:26" s="216" customFormat="1" ht="23.1" hidden="1" customHeight="1" outlineLevel="2">
      <c r="A60" s="339">
        <v>2.2699999999999965</v>
      </c>
      <c r="B60" s="196" t="s">
        <v>164</v>
      </c>
      <c r="C60" s="196" t="s">
        <v>167</v>
      </c>
      <c r="D60" s="314" t="s">
        <v>166</v>
      </c>
      <c r="E60" s="207">
        <v>6466</v>
      </c>
      <c r="F60" s="205">
        <v>8.8965771743119273</v>
      </c>
      <c r="G60" s="205">
        <v>57525.268009100924</v>
      </c>
      <c r="H60" s="207">
        <v>6466</v>
      </c>
      <c r="I60" s="345">
        <v>0</v>
      </c>
      <c r="J60" s="207">
        <v>0</v>
      </c>
      <c r="K60" s="207">
        <f t="shared" si="11"/>
        <v>0</v>
      </c>
      <c r="L60" s="267">
        <v>8.8965771743119273</v>
      </c>
      <c r="M60" s="205">
        <f t="shared" si="12"/>
        <v>0</v>
      </c>
      <c r="N60" s="207">
        <f t="shared" si="13"/>
        <v>0</v>
      </c>
      <c r="O60" s="207">
        <v>0</v>
      </c>
      <c r="P60" s="205">
        <f t="shared" si="16"/>
        <v>0</v>
      </c>
      <c r="Q60" s="206">
        <v>6466</v>
      </c>
      <c r="R60" s="267">
        <v>8.8965771743119273</v>
      </c>
      <c r="S60" s="205">
        <f t="shared" si="14"/>
        <v>57525.268009100924</v>
      </c>
      <c r="T60" s="207">
        <f t="shared" si="15"/>
        <v>6466</v>
      </c>
      <c r="U60" s="207">
        <v>0</v>
      </c>
      <c r="V60" s="205">
        <f t="shared" si="9"/>
        <v>0</v>
      </c>
      <c r="W60" s="123"/>
      <c r="Z60" s="346">
        <v>6466</v>
      </c>
    </row>
    <row r="61" spans="1:26" s="216" customFormat="1" ht="23.1" hidden="1" customHeight="1" outlineLevel="2">
      <c r="A61" s="340">
        <v>2.2799999999999963</v>
      </c>
      <c r="B61" s="196" t="s">
        <v>164</v>
      </c>
      <c r="C61" s="196" t="s">
        <v>168</v>
      </c>
      <c r="D61" s="314" t="s">
        <v>166</v>
      </c>
      <c r="E61" s="207">
        <v>148</v>
      </c>
      <c r="F61" s="205">
        <v>10.584840220183485</v>
      </c>
      <c r="G61" s="205">
        <v>1566.5563525871557</v>
      </c>
      <c r="H61" s="207">
        <v>148</v>
      </c>
      <c r="I61" s="345">
        <v>0</v>
      </c>
      <c r="J61" s="207">
        <v>0</v>
      </c>
      <c r="K61" s="207">
        <f t="shared" si="11"/>
        <v>0</v>
      </c>
      <c r="L61" s="267">
        <v>10.584840220183485</v>
      </c>
      <c r="M61" s="205">
        <f t="shared" si="12"/>
        <v>0</v>
      </c>
      <c r="N61" s="207">
        <f t="shared" si="13"/>
        <v>0</v>
      </c>
      <c r="O61" s="207">
        <v>0</v>
      </c>
      <c r="P61" s="205">
        <f t="shared" si="16"/>
        <v>0</v>
      </c>
      <c r="Q61" s="206">
        <v>229</v>
      </c>
      <c r="R61" s="267">
        <v>10.584840220183485</v>
      </c>
      <c r="S61" s="205">
        <f t="shared" si="14"/>
        <v>2423.9284104220183</v>
      </c>
      <c r="T61" s="207">
        <f t="shared" si="15"/>
        <v>229</v>
      </c>
      <c r="U61" s="207">
        <v>0</v>
      </c>
      <c r="V61" s="205">
        <f t="shared" si="9"/>
        <v>0</v>
      </c>
      <c r="W61" s="123"/>
      <c r="Z61" s="346">
        <v>229</v>
      </c>
    </row>
    <row r="62" spans="1:26" s="215" customFormat="1" ht="23.1" customHeight="1" collapsed="1">
      <c r="A62" s="337" t="s">
        <v>169</v>
      </c>
      <c r="B62" s="337" t="s">
        <v>170</v>
      </c>
      <c r="C62" s="220"/>
      <c r="D62" s="220"/>
      <c r="E62" s="229"/>
      <c r="F62" s="222"/>
      <c r="G62" s="222">
        <v>446612.47242075048</v>
      </c>
      <c r="H62" s="229"/>
      <c r="I62" s="266"/>
      <c r="J62" s="229">
        <v>440819.85499999998</v>
      </c>
      <c r="K62" s="229"/>
      <c r="L62" s="266"/>
      <c r="M62" s="222">
        <f>+M63+M91</f>
        <v>0</v>
      </c>
      <c r="N62" s="229"/>
      <c r="O62" s="229"/>
      <c r="P62" s="222">
        <f>+P63+P91</f>
        <v>0</v>
      </c>
      <c r="Q62" s="229"/>
      <c r="R62" s="266"/>
      <c r="S62" s="222">
        <f>+S63+S91</f>
        <v>365302.71662374452</v>
      </c>
      <c r="T62" s="229"/>
      <c r="U62" s="229"/>
      <c r="V62" s="222">
        <f>+V63+V91</f>
        <v>342138.70999999996</v>
      </c>
      <c r="W62" s="137"/>
      <c r="Z62" s="283"/>
    </row>
    <row r="63" spans="1:26" s="215" customFormat="1" ht="23.1" hidden="1" customHeight="1" outlineLevel="1" collapsed="1">
      <c r="A63" s="257">
        <v>1</v>
      </c>
      <c r="B63" s="342" t="s">
        <v>144</v>
      </c>
      <c r="C63" s="274"/>
      <c r="D63" s="315"/>
      <c r="E63" s="229"/>
      <c r="F63" s="222">
        <v>0</v>
      </c>
      <c r="G63" s="222"/>
      <c r="H63" s="229"/>
      <c r="I63" s="266"/>
      <c r="J63" s="229"/>
      <c r="K63" s="229"/>
      <c r="L63" s="266"/>
      <c r="M63" s="222">
        <f>SUM(M64:M90)</f>
        <v>0</v>
      </c>
      <c r="N63" s="229"/>
      <c r="O63" s="229"/>
      <c r="P63" s="222">
        <f>SUM(P64:P90)</f>
        <v>0</v>
      </c>
      <c r="Q63" s="229"/>
      <c r="R63" s="266"/>
      <c r="S63" s="222">
        <f>SUM(S64:S90)</f>
        <v>264735.64805002563</v>
      </c>
      <c r="T63" s="229"/>
      <c r="U63" s="229"/>
      <c r="V63" s="222">
        <f>SUM(V64:V90)</f>
        <v>275392.79999999993</v>
      </c>
      <c r="W63" s="137"/>
      <c r="Z63" s="283"/>
    </row>
    <row r="64" spans="1:26" s="216" customFormat="1" ht="23.1" hidden="1" customHeight="1" outlineLevel="2">
      <c r="A64" s="258">
        <v>1.1000000000000001</v>
      </c>
      <c r="B64" s="343" t="s">
        <v>145</v>
      </c>
      <c r="C64" s="275" t="s">
        <v>171</v>
      </c>
      <c r="D64" s="344" t="s">
        <v>147</v>
      </c>
      <c r="E64" s="207">
        <v>1.7430000000000001</v>
      </c>
      <c r="F64" s="205">
        <v>1831.8223125137615</v>
      </c>
      <c r="G64" s="205">
        <v>3192.8662907114867</v>
      </c>
      <c r="H64" s="207">
        <v>1.7430000000000001</v>
      </c>
      <c r="I64" s="267">
        <v>1480</v>
      </c>
      <c r="J64" s="207">
        <v>2579.6400000000003</v>
      </c>
      <c r="K64" s="207">
        <f>+Q64-Z64</f>
        <v>0</v>
      </c>
      <c r="L64" s="267">
        <v>1831.8223125137615</v>
      </c>
      <c r="M64" s="205">
        <f t="shared" si="2"/>
        <v>0</v>
      </c>
      <c r="N64" s="207">
        <f>+K64</f>
        <v>0</v>
      </c>
      <c r="O64" s="207">
        <f>+U64</f>
        <v>1380</v>
      </c>
      <c r="P64" s="205">
        <f t="shared" si="16"/>
        <v>0</v>
      </c>
      <c r="Q64" s="206"/>
      <c r="R64" s="267">
        <v>1831.8223125137615</v>
      </c>
      <c r="S64" s="205">
        <f t="shared" ref="S64:S126" si="17">+R64*Q64</f>
        <v>0</v>
      </c>
      <c r="T64" s="207">
        <f>+Q64</f>
        <v>0</v>
      </c>
      <c r="U64" s="207">
        <v>1380</v>
      </c>
      <c r="V64" s="205">
        <f t="shared" si="9"/>
        <v>0</v>
      </c>
      <c r="W64" s="123"/>
      <c r="Z64" s="346"/>
    </row>
    <row r="65" spans="1:26" s="216" customFormat="1" ht="23.1" hidden="1" customHeight="1" outlineLevel="2">
      <c r="A65" s="258">
        <v>1.2</v>
      </c>
      <c r="B65" s="343" t="s">
        <v>145</v>
      </c>
      <c r="C65" s="275" t="s">
        <v>172</v>
      </c>
      <c r="D65" s="344" t="s">
        <v>147</v>
      </c>
      <c r="E65" s="207">
        <v>0.2</v>
      </c>
      <c r="F65" s="205">
        <v>1360.6831072293576</v>
      </c>
      <c r="G65" s="205">
        <v>272.13662144587153</v>
      </c>
      <c r="H65" s="207">
        <v>0.2</v>
      </c>
      <c r="I65" s="267">
        <v>1480</v>
      </c>
      <c r="J65" s="207">
        <v>296</v>
      </c>
      <c r="K65" s="207">
        <f t="shared" ref="K65:K90" si="18">+Q65-Z65</f>
        <v>0</v>
      </c>
      <c r="L65" s="267">
        <v>1360.6831072293576</v>
      </c>
      <c r="M65" s="205">
        <f t="shared" si="2"/>
        <v>0</v>
      </c>
      <c r="N65" s="207">
        <f t="shared" ref="N65:N90" si="19">+K65</f>
        <v>0</v>
      </c>
      <c r="O65" s="207">
        <f t="shared" ref="O65:O104" si="20">+U65</f>
        <v>1380</v>
      </c>
      <c r="P65" s="205">
        <f t="shared" si="16"/>
        <v>0</v>
      </c>
      <c r="Q65" s="206"/>
      <c r="R65" s="267">
        <v>1360.6831072293576</v>
      </c>
      <c r="S65" s="205">
        <f t="shared" si="17"/>
        <v>0</v>
      </c>
      <c r="T65" s="207">
        <f t="shared" ref="T65:T90" si="21">+Q65</f>
        <v>0</v>
      </c>
      <c r="U65" s="207">
        <v>1380</v>
      </c>
      <c r="V65" s="205">
        <f t="shared" si="9"/>
        <v>0</v>
      </c>
      <c r="W65" s="123"/>
      <c r="Z65" s="346"/>
    </row>
    <row r="66" spans="1:26" s="216" customFormat="1" ht="23.1" hidden="1" customHeight="1" outlineLevel="2">
      <c r="A66" s="258">
        <v>1.2999999999999998</v>
      </c>
      <c r="B66" s="343" t="s">
        <v>145</v>
      </c>
      <c r="C66" s="275" t="s">
        <v>173</v>
      </c>
      <c r="D66" s="344" t="s">
        <v>147</v>
      </c>
      <c r="E66" s="207">
        <v>1.1000000000000001</v>
      </c>
      <c r="F66" s="205">
        <v>1052.3569550091743</v>
      </c>
      <c r="G66" s="205">
        <v>1157.5926505100917</v>
      </c>
      <c r="H66" s="207">
        <v>1.1000000000000001</v>
      </c>
      <c r="I66" s="267">
        <v>1480</v>
      </c>
      <c r="J66" s="207">
        <v>1628.0000000000002</v>
      </c>
      <c r="K66" s="207">
        <f t="shared" si="18"/>
        <v>0</v>
      </c>
      <c r="L66" s="267">
        <v>1052.3569550091743</v>
      </c>
      <c r="M66" s="205">
        <f t="shared" si="2"/>
        <v>0</v>
      </c>
      <c r="N66" s="207">
        <f t="shared" si="19"/>
        <v>0</v>
      </c>
      <c r="O66" s="207">
        <f t="shared" si="20"/>
        <v>1380</v>
      </c>
      <c r="P66" s="205">
        <f t="shared" si="16"/>
        <v>0</v>
      </c>
      <c r="Q66" s="206"/>
      <c r="R66" s="267">
        <v>1052.3569550091743</v>
      </c>
      <c r="S66" s="205">
        <f t="shared" si="17"/>
        <v>0</v>
      </c>
      <c r="T66" s="207">
        <f t="shared" si="21"/>
        <v>0</v>
      </c>
      <c r="U66" s="207">
        <v>1380</v>
      </c>
      <c r="V66" s="205">
        <f t="shared" si="9"/>
        <v>0</v>
      </c>
      <c r="W66" s="123"/>
      <c r="Z66" s="346"/>
    </row>
    <row r="67" spans="1:26" s="216" customFormat="1" ht="23.1" hidden="1" customHeight="1" outlineLevel="2">
      <c r="A67" s="258">
        <v>1.3999999999999997</v>
      </c>
      <c r="B67" s="343" t="s">
        <v>145</v>
      </c>
      <c r="C67" s="275" t="s">
        <v>174</v>
      </c>
      <c r="D67" s="344" t="s">
        <v>147</v>
      </c>
      <c r="E67" s="207">
        <v>6.0000000000000001E-3</v>
      </c>
      <c r="F67" s="205">
        <v>1127.2380603302752</v>
      </c>
      <c r="G67" s="205">
        <v>6.7634283619816511</v>
      </c>
      <c r="H67" s="207">
        <v>6.0000000000000001E-3</v>
      </c>
      <c r="I67" s="267">
        <v>1480</v>
      </c>
      <c r="J67" s="207">
        <v>8.8800000000000008</v>
      </c>
      <c r="K67" s="207">
        <f t="shared" si="18"/>
        <v>0</v>
      </c>
      <c r="L67" s="267">
        <v>1127.2380603302752</v>
      </c>
      <c r="M67" s="205">
        <f t="shared" si="2"/>
        <v>0</v>
      </c>
      <c r="N67" s="207">
        <f t="shared" si="19"/>
        <v>0</v>
      </c>
      <c r="O67" s="207">
        <f t="shared" si="20"/>
        <v>1380</v>
      </c>
      <c r="P67" s="205">
        <f t="shared" si="16"/>
        <v>0</v>
      </c>
      <c r="Q67" s="206"/>
      <c r="R67" s="267">
        <v>1127.2380603302752</v>
      </c>
      <c r="S67" s="205">
        <f t="shared" si="17"/>
        <v>0</v>
      </c>
      <c r="T67" s="207">
        <f t="shared" si="21"/>
        <v>0</v>
      </c>
      <c r="U67" s="207">
        <v>1380</v>
      </c>
      <c r="V67" s="205">
        <f t="shared" si="9"/>
        <v>0</v>
      </c>
      <c r="W67" s="123"/>
      <c r="Z67" s="346"/>
    </row>
    <row r="68" spans="1:26" s="216" customFormat="1" ht="23.1" hidden="1" customHeight="1" outlineLevel="2">
      <c r="A68" s="258">
        <v>1.4999999999999996</v>
      </c>
      <c r="B68" s="343" t="s">
        <v>145</v>
      </c>
      <c r="C68" s="275" t="s">
        <v>175</v>
      </c>
      <c r="D68" s="344" t="s">
        <v>147</v>
      </c>
      <c r="E68" s="207">
        <v>21.638000000000002</v>
      </c>
      <c r="F68" s="205">
        <v>1127.1052755963306</v>
      </c>
      <c r="G68" s="205">
        <v>24388.303953353403</v>
      </c>
      <c r="H68" s="207">
        <v>21.638000000000002</v>
      </c>
      <c r="I68" s="267">
        <v>1480</v>
      </c>
      <c r="J68" s="207">
        <v>32024.240000000002</v>
      </c>
      <c r="K68" s="207">
        <f t="shared" si="18"/>
        <v>0</v>
      </c>
      <c r="L68" s="267">
        <v>1127.1052755963306</v>
      </c>
      <c r="M68" s="205">
        <f t="shared" si="2"/>
        <v>0</v>
      </c>
      <c r="N68" s="207">
        <f t="shared" si="19"/>
        <v>0</v>
      </c>
      <c r="O68" s="207">
        <f t="shared" si="20"/>
        <v>1380</v>
      </c>
      <c r="P68" s="205">
        <f t="shared" si="16"/>
        <v>0</v>
      </c>
      <c r="Q68" s="206">
        <v>17.54</v>
      </c>
      <c r="R68" s="267">
        <v>1127.1052755963306</v>
      </c>
      <c r="S68" s="205">
        <f t="shared" si="17"/>
        <v>19769.426533959639</v>
      </c>
      <c r="T68" s="207">
        <f t="shared" si="21"/>
        <v>17.54</v>
      </c>
      <c r="U68" s="207">
        <v>1380</v>
      </c>
      <c r="V68" s="205">
        <f t="shared" si="9"/>
        <v>24205.199999999997</v>
      </c>
      <c r="W68" s="123"/>
      <c r="Z68" s="346">
        <v>17.54</v>
      </c>
    </row>
    <row r="69" spans="1:26" s="216" customFormat="1" ht="23.1" hidden="1" customHeight="1" outlineLevel="2">
      <c r="A69" s="258">
        <v>1.5999999999999994</v>
      </c>
      <c r="B69" s="343" t="s">
        <v>145</v>
      </c>
      <c r="C69" s="275" t="s">
        <v>176</v>
      </c>
      <c r="D69" s="344" t="s">
        <v>147</v>
      </c>
      <c r="E69" s="207">
        <v>12.744999999999999</v>
      </c>
      <c r="F69" s="205">
        <v>1127.1052755963306</v>
      </c>
      <c r="G69" s="205">
        <v>14364.956737475231</v>
      </c>
      <c r="H69" s="207">
        <v>12.744999999999999</v>
      </c>
      <c r="I69" s="267">
        <v>1480</v>
      </c>
      <c r="J69" s="207">
        <v>18862.599999999999</v>
      </c>
      <c r="K69" s="207">
        <f t="shared" si="18"/>
        <v>0</v>
      </c>
      <c r="L69" s="267">
        <v>1127.1052755963306</v>
      </c>
      <c r="M69" s="205">
        <f t="shared" si="2"/>
        <v>0</v>
      </c>
      <c r="N69" s="207">
        <f t="shared" si="19"/>
        <v>0</v>
      </c>
      <c r="O69" s="207">
        <f t="shared" si="20"/>
        <v>1380</v>
      </c>
      <c r="P69" s="205">
        <f t="shared" si="16"/>
        <v>0</v>
      </c>
      <c r="Q69" s="206">
        <v>13.63</v>
      </c>
      <c r="R69" s="267">
        <v>1127.1052755963306</v>
      </c>
      <c r="S69" s="205">
        <f t="shared" si="17"/>
        <v>15362.444906377987</v>
      </c>
      <c r="T69" s="207">
        <f t="shared" si="21"/>
        <v>13.63</v>
      </c>
      <c r="U69" s="207">
        <v>1380</v>
      </c>
      <c r="V69" s="205">
        <f t="shared" si="9"/>
        <v>18809.400000000001</v>
      </c>
      <c r="W69" s="123"/>
      <c r="Z69" s="346">
        <v>13.63</v>
      </c>
    </row>
    <row r="70" spans="1:26" s="216" customFormat="1" ht="23.1" hidden="1" customHeight="1" outlineLevel="2">
      <c r="A70" s="258">
        <v>1.6999999999999993</v>
      </c>
      <c r="B70" s="343" t="s">
        <v>145</v>
      </c>
      <c r="C70" s="275" t="s">
        <v>177</v>
      </c>
      <c r="D70" s="344" t="s">
        <v>147</v>
      </c>
      <c r="E70" s="207">
        <v>14.324999999999999</v>
      </c>
      <c r="F70" s="205">
        <v>1002.135871706422</v>
      </c>
      <c r="G70" s="205">
        <v>14355.596362194494</v>
      </c>
      <c r="H70" s="207">
        <v>14.324999999999999</v>
      </c>
      <c r="I70" s="267">
        <v>1480</v>
      </c>
      <c r="J70" s="207">
        <v>21201</v>
      </c>
      <c r="K70" s="207">
        <f t="shared" si="18"/>
        <v>0</v>
      </c>
      <c r="L70" s="267">
        <v>1002.135871706422</v>
      </c>
      <c r="M70" s="205">
        <f t="shared" si="2"/>
        <v>0</v>
      </c>
      <c r="N70" s="207">
        <f t="shared" si="19"/>
        <v>0</v>
      </c>
      <c r="O70" s="207">
        <f t="shared" si="20"/>
        <v>1380</v>
      </c>
      <c r="P70" s="205">
        <f t="shared" si="16"/>
        <v>0</v>
      </c>
      <c r="Q70" s="206">
        <v>6.29</v>
      </c>
      <c r="R70" s="267">
        <v>1002.135871706422</v>
      </c>
      <c r="S70" s="205">
        <f t="shared" si="17"/>
        <v>6303.4346330333947</v>
      </c>
      <c r="T70" s="207">
        <f t="shared" si="21"/>
        <v>6.29</v>
      </c>
      <c r="U70" s="207">
        <v>1380</v>
      </c>
      <c r="V70" s="205">
        <f t="shared" si="9"/>
        <v>8680.2000000000007</v>
      </c>
      <c r="W70" s="123"/>
      <c r="Z70" s="346">
        <v>6.29</v>
      </c>
    </row>
    <row r="71" spans="1:26" s="216" customFormat="1" ht="23.1" hidden="1" customHeight="1" outlineLevel="2">
      <c r="A71" s="258">
        <v>1.7999999999999992</v>
      </c>
      <c r="B71" s="343" t="s">
        <v>145</v>
      </c>
      <c r="C71" s="275" t="s">
        <v>178</v>
      </c>
      <c r="D71" s="344" t="s">
        <v>147</v>
      </c>
      <c r="E71" s="207">
        <v>3.2679999999999998</v>
      </c>
      <c r="F71" s="205">
        <v>1002.135871706422</v>
      </c>
      <c r="G71" s="205">
        <v>3274.980028736587</v>
      </c>
      <c r="H71" s="207">
        <v>3.2679999999999998</v>
      </c>
      <c r="I71" s="267">
        <v>1480</v>
      </c>
      <c r="J71" s="207">
        <v>4836.6399999999994</v>
      </c>
      <c r="K71" s="207">
        <f t="shared" si="18"/>
        <v>0</v>
      </c>
      <c r="L71" s="267">
        <v>1002.135871706422</v>
      </c>
      <c r="M71" s="205">
        <f t="shared" si="2"/>
        <v>0</v>
      </c>
      <c r="N71" s="207">
        <f t="shared" si="19"/>
        <v>0</v>
      </c>
      <c r="O71" s="207">
        <f t="shared" si="20"/>
        <v>1380</v>
      </c>
      <c r="P71" s="205">
        <f t="shared" si="16"/>
        <v>0</v>
      </c>
      <c r="Q71" s="206">
        <v>3.05</v>
      </c>
      <c r="R71" s="267">
        <v>1002.135871706422</v>
      </c>
      <c r="S71" s="205">
        <f t="shared" si="17"/>
        <v>3056.5144087045869</v>
      </c>
      <c r="T71" s="207">
        <f t="shared" si="21"/>
        <v>3.05</v>
      </c>
      <c r="U71" s="207">
        <v>1380</v>
      </c>
      <c r="V71" s="205">
        <f t="shared" si="9"/>
        <v>4209</v>
      </c>
      <c r="W71" s="123"/>
      <c r="Z71" s="346">
        <v>3.05</v>
      </c>
    </row>
    <row r="72" spans="1:26" s="216" customFormat="1" ht="23.1" hidden="1" customHeight="1" outlineLevel="2">
      <c r="A72" s="258">
        <v>1.899999999999999</v>
      </c>
      <c r="B72" s="343" t="s">
        <v>145</v>
      </c>
      <c r="C72" s="275" t="s">
        <v>179</v>
      </c>
      <c r="D72" s="344" t="s">
        <v>147</v>
      </c>
      <c r="E72" s="207">
        <v>17.43</v>
      </c>
      <c r="F72" s="205">
        <v>1002.1453563302753</v>
      </c>
      <c r="G72" s="205">
        <v>17467.393560836699</v>
      </c>
      <c r="H72" s="207">
        <v>17.43</v>
      </c>
      <c r="I72" s="267">
        <v>1480</v>
      </c>
      <c r="J72" s="207">
        <v>25796.400000000001</v>
      </c>
      <c r="K72" s="207">
        <f t="shared" si="18"/>
        <v>0</v>
      </c>
      <c r="L72" s="267">
        <v>1002.1453563302753</v>
      </c>
      <c r="M72" s="205">
        <f t="shared" si="2"/>
        <v>0</v>
      </c>
      <c r="N72" s="207">
        <f t="shared" si="19"/>
        <v>0</v>
      </c>
      <c r="O72" s="207">
        <f t="shared" si="20"/>
        <v>1380</v>
      </c>
      <c r="P72" s="205">
        <f t="shared" si="16"/>
        <v>0</v>
      </c>
      <c r="Q72" s="206">
        <v>10.78</v>
      </c>
      <c r="R72" s="267">
        <v>1002.1453563302753</v>
      </c>
      <c r="S72" s="205">
        <f t="shared" si="17"/>
        <v>10803.126941240367</v>
      </c>
      <c r="T72" s="207">
        <f t="shared" si="21"/>
        <v>10.78</v>
      </c>
      <c r="U72" s="207">
        <v>1380</v>
      </c>
      <c r="V72" s="205">
        <f t="shared" si="9"/>
        <v>14876.4</v>
      </c>
      <c r="W72" s="123"/>
      <c r="Z72" s="346">
        <v>10.78</v>
      </c>
    </row>
    <row r="73" spans="1:26" s="216" customFormat="1" ht="23.1" hidden="1" customHeight="1" outlineLevel="2">
      <c r="A73" s="348">
        <v>1.1000000000000001</v>
      </c>
      <c r="B73" s="343" t="s">
        <v>145</v>
      </c>
      <c r="C73" s="275" t="s">
        <v>180</v>
      </c>
      <c r="D73" s="344" t="s">
        <v>147</v>
      </c>
      <c r="E73" s="207">
        <v>9.7859999999999996</v>
      </c>
      <c r="F73" s="205">
        <v>1002.135871706422</v>
      </c>
      <c r="G73" s="205">
        <v>9806.901640519045</v>
      </c>
      <c r="H73" s="207">
        <v>9.7859999999999996</v>
      </c>
      <c r="I73" s="267">
        <v>1480</v>
      </c>
      <c r="J73" s="207">
        <v>14483.28</v>
      </c>
      <c r="K73" s="207">
        <f t="shared" si="18"/>
        <v>0</v>
      </c>
      <c r="L73" s="267">
        <v>1002.135871706422</v>
      </c>
      <c r="M73" s="205">
        <f t="shared" ref="M73:M136" si="22">+L73*K73</f>
        <v>0</v>
      </c>
      <c r="N73" s="207">
        <f t="shared" si="19"/>
        <v>0</v>
      </c>
      <c r="O73" s="207">
        <f t="shared" si="20"/>
        <v>1380</v>
      </c>
      <c r="P73" s="205">
        <f t="shared" si="16"/>
        <v>0</v>
      </c>
      <c r="Q73" s="206">
        <v>6.76</v>
      </c>
      <c r="R73" s="267">
        <v>1002.135871706422</v>
      </c>
      <c r="S73" s="205">
        <f t="shared" si="17"/>
        <v>6774.4384927354122</v>
      </c>
      <c r="T73" s="207">
        <f t="shared" si="21"/>
        <v>6.76</v>
      </c>
      <c r="U73" s="207">
        <v>1380</v>
      </c>
      <c r="V73" s="205">
        <f t="shared" ref="V73:V136" si="23">+U73*T73</f>
        <v>9328.7999999999993</v>
      </c>
      <c r="W73" s="123"/>
      <c r="Z73" s="346">
        <v>6.76</v>
      </c>
    </row>
    <row r="74" spans="1:26" s="216" customFormat="1" ht="23.1" hidden="1" customHeight="1" outlineLevel="2">
      <c r="A74" s="258">
        <v>1.1100000000000001</v>
      </c>
      <c r="B74" s="343" t="s">
        <v>145</v>
      </c>
      <c r="C74" s="275" t="s">
        <v>181</v>
      </c>
      <c r="D74" s="344" t="s">
        <v>147</v>
      </c>
      <c r="E74" s="207">
        <v>16.774999999999999</v>
      </c>
      <c r="F74" s="205">
        <v>1002.135871706422</v>
      </c>
      <c r="G74" s="205">
        <v>16810.829247875226</v>
      </c>
      <c r="H74" s="207">
        <v>16.774999999999999</v>
      </c>
      <c r="I74" s="267">
        <v>1480</v>
      </c>
      <c r="J74" s="207">
        <v>24826.999999999996</v>
      </c>
      <c r="K74" s="207">
        <f t="shared" si="18"/>
        <v>0</v>
      </c>
      <c r="L74" s="267">
        <v>1002.135871706422</v>
      </c>
      <c r="M74" s="205">
        <f t="shared" si="22"/>
        <v>0</v>
      </c>
      <c r="N74" s="207">
        <f t="shared" si="19"/>
        <v>0</v>
      </c>
      <c r="O74" s="207">
        <f t="shared" si="20"/>
        <v>1380</v>
      </c>
      <c r="P74" s="205">
        <f t="shared" si="16"/>
        <v>0</v>
      </c>
      <c r="Q74" s="206">
        <v>13.27</v>
      </c>
      <c r="R74" s="267">
        <v>1002.135871706422</v>
      </c>
      <c r="S74" s="205">
        <f t="shared" si="17"/>
        <v>13298.343017544219</v>
      </c>
      <c r="T74" s="207">
        <f t="shared" si="21"/>
        <v>13.27</v>
      </c>
      <c r="U74" s="207">
        <v>1380</v>
      </c>
      <c r="V74" s="205">
        <f t="shared" si="23"/>
        <v>18312.599999999999</v>
      </c>
      <c r="W74" s="123"/>
      <c r="Z74" s="346">
        <v>13.27</v>
      </c>
    </row>
    <row r="75" spans="1:26" s="216" customFormat="1" ht="23.1" hidden="1" customHeight="1" outlineLevel="2">
      <c r="A75" s="348">
        <v>1.1200000000000001</v>
      </c>
      <c r="B75" s="343" t="s">
        <v>145</v>
      </c>
      <c r="C75" s="275" t="s">
        <v>182</v>
      </c>
      <c r="D75" s="344" t="s">
        <v>147</v>
      </c>
      <c r="E75" s="207">
        <v>12.006</v>
      </c>
      <c r="F75" s="205">
        <v>1002.1453563302753</v>
      </c>
      <c r="G75" s="205">
        <v>12031.757148101286</v>
      </c>
      <c r="H75" s="207">
        <v>12.006</v>
      </c>
      <c r="I75" s="267">
        <v>1480</v>
      </c>
      <c r="J75" s="207">
        <v>17768.88</v>
      </c>
      <c r="K75" s="207">
        <f t="shared" si="18"/>
        <v>0</v>
      </c>
      <c r="L75" s="267">
        <v>1002.1453563302753</v>
      </c>
      <c r="M75" s="205">
        <f t="shared" si="22"/>
        <v>0</v>
      </c>
      <c r="N75" s="207">
        <f t="shared" si="19"/>
        <v>0</v>
      </c>
      <c r="O75" s="207">
        <f t="shared" si="20"/>
        <v>1380</v>
      </c>
      <c r="P75" s="205">
        <f t="shared" si="16"/>
        <v>0</v>
      </c>
      <c r="Q75" s="206">
        <v>12.64</v>
      </c>
      <c r="R75" s="267">
        <v>1002.1453563302753</v>
      </c>
      <c r="S75" s="205">
        <f t="shared" si="17"/>
        <v>12667.11730401468</v>
      </c>
      <c r="T75" s="207">
        <f t="shared" si="21"/>
        <v>12.64</v>
      </c>
      <c r="U75" s="207">
        <v>1380</v>
      </c>
      <c r="V75" s="205">
        <f t="shared" si="23"/>
        <v>17443.2</v>
      </c>
      <c r="W75" s="123"/>
      <c r="Z75" s="346">
        <v>12.64</v>
      </c>
    </row>
    <row r="76" spans="1:26" s="216" customFormat="1" ht="23.1" hidden="1" customHeight="1" outlineLevel="2">
      <c r="A76" s="258">
        <v>1.1300000000000001</v>
      </c>
      <c r="B76" s="343" t="s">
        <v>145</v>
      </c>
      <c r="C76" s="275" t="s">
        <v>183</v>
      </c>
      <c r="D76" s="344" t="s">
        <v>147</v>
      </c>
      <c r="E76" s="207">
        <v>24.052</v>
      </c>
      <c r="F76" s="205">
        <v>1002.1453563302753</v>
      </c>
      <c r="G76" s="205">
        <v>24103.60011045578</v>
      </c>
      <c r="H76" s="207">
        <v>24.052</v>
      </c>
      <c r="I76" s="267">
        <v>1480</v>
      </c>
      <c r="J76" s="207">
        <v>35596.959999999999</v>
      </c>
      <c r="K76" s="207">
        <f t="shared" si="18"/>
        <v>0</v>
      </c>
      <c r="L76" s="267">
        <v>1002.1453563302753</v>
      </c>
      <c r="M76" s="205">
        <f t="shared" si="22"/>
        <v>0</v>
      </c>
      <c r="N76" s="207">
        <f t="shared" si="19"/>
        <v>0</v>
      </c>
      <c r="O76" s="207">
        <f t="shared" si="20"/>
        <v>1380</v>
      </c>
      <c r="P76" s="205">
        <f t="shared" si="16"/>
        <v>0</v>
      </c>
      <c r="Q76" s="206">
        <v>25.05</v>
      </c>
      <c r="R76" s="267">
        <v>1002.1453563302753</v>
      </c>
      <c r="S76" s="205">
        <f t="shared" si="17"/>
        <v>25103.741176073396</v>
      </c>
      <c r="T76" s="207">
        <f t="shared" si="21"/>
        <v>25.05</v>
      </c>
      <c r="U76" s="207">
        <v>1380</v>
      </c>
      <c r="V76" s="205">
        <f t="shared" si="23"/>
        <v>34569</v>
      </c>
      <c r="W76" s="123"/>
      <c r="Z76" s="346">
        <v>25.05</v>
      </c>
    </row>
    <row r="77" spans="1:26" s="216" customFormat="1" ht="23.1" hidden="1" customHeight="1" outlineLevel="2">
      <c r="A77" s="348">
        <v>1.1400000000000001</v>
      </c>
      <c r="B77" s="343" t="s">
        <v>145</v>
      </c>
      <c r="C77" s="275" t="s">
        <v>184</v>
      </c>
      <c r="D77" s="344" t="s">
        <v>147</v>
      </c>
      <c r="E77" s="207">
        <v>16.812000000000001</v>
      </c>
      <c r="F77" s="205">
        <v>887.54264631192655</v>
      </c>
      <c r="G77" s="205">
        <v>14921.36696979611</v>
      </c>
      <c r="H77" s="207">
        <v>16.812000000000001</v>
      </c>
      <c r="I77" s="267">
        <v>1480</v>
      </c>
      <c r="J77" s="207">
        <v>24881.759999999998</v>
      </c>
      <c r="K77" s="207">
        <f t="shared" si="18"/>
        <v>0</v>
      </c>
      <c r="L77" s="267">
        <v>887.54264631192655</v>
      </c>
      <c r="M77" s="205">
        <f t="shared" si="22"/>
        <v>0</v>
      </c>
      <c r="N77" s="207">
        <f t="shared" si="19"/>
        <v>0</v>
      </c>
      <c r="O77" s="207">
        <f t="shared" si="20"/>
        <v>1380</v>
      </c>
      <c r="P77" s="205">
        <f t="shared" si="16"/>
        <v>0</v>
      </c>
      <c r="Q77" s="206">
        <v>15.01</v>
      </c>
      <c r="R77" s="267">
        <v>887.54264631192655</v>
      </c>
      <c r="S77" s="205">
        <f t="shared" si="17"/>
        <v>13322.015121142018</v>
      </c>
      <c r="T77" s="207">
        <f t="shared" si="21"/>
        <v>15.01</v>
      </c>
      <c r="U77" s="207">
        <v>1380</v>
      </c>
      <c r="V77" s="205">
        <f t="shared" si="23"/>
        <v>20713.8</v>
      </c>
      <c r="W77" s="123"/>
      <c r="Z77" s="346">
        <v>15.01</v>
      </c>
    </row>
    <row r="78" spans="1:26" s="216" customFormat="1" ht="23.1" hidden="1" customHeight="1" outlineLevel="2">
      <c r="A78" s="258">
        <v>1.1500000000000001</v>
      </c>
      <c r="B78" s="343" t="s">
        <v>145</v>
      </c>
      <c r="C78" s="275" t="s">
        <v>185</v>
      </c>
      <c r="D78" s="344" t="s">
        <v>147</v>
      </c>
      <c r="E78" s="207">
        <v>0.2</v>
      </c>
      <c r="F78" s="205">
        <v>887.56161555963297</v>
      </c>
      <c r="G78" s="205">
        <v>177.51232311192661</v>
      </c>
      <c r="H78" s="207">
        <v>0.2</v>
      </c>
      <c r="I78" s="267">
        <v>1480</v>
      </c>
      <c r="J78" s="207">
        <v>296</v>
      </c>
      <c r="K78" s="207">
        <f t="shared" si="18"/>
        <v>0</v>
      </c>
      <c r="L78" s="267">
        <v>887.56161555963297</v>
      </c>
      <c r="M78" s="205">
        <f t="shared" si="22"/>
        <v>0</v>
      </c>
      <c r="N78" s="207">
        <f t="shared" si="19"/>
        <v>0</v>
      </c>
      <c r="O78" s="207">
        <f t="shared" si="20"/>
        <v>1380</v>
      </c>
      <c r="P78" s="205">
        <f t="shared" si="16"/>
        <v>0</v>
      </c>
      <c r="Q78" s="206"/>
      <c r="R78" s="267">
        <v>887.56161555963297</v>
      </c>
      <c r="S78" s="205">
        <f t="shared" si="17"/>
        <v>0</v>
      </c>
      <c r="T78" s="207">
        <f t="shared" si="21"/>
        <v>0</v>
      </c>
      <c r="U78" s="207">
        <v>1380</v>
      </c>
      <c r="V78" s="205">
        <f t="shared" si="23"/>
        <v>0</v>
      </c>
      <c r="W78" s="123"/>
      <c r="Z78" s="346"/>
    </row>
    <row r="79" spans="1:26" s="216" customFormat="1" ht="23.1" hidden="1" customHeight="1" outlineLevel="2">
      <c r="A79" s="348">
        <v>1.1600000000000001</v>
      </c>
      <c r="B79" s="343" t="s">
        <v>162</v>
      </c>
      <c r="C79" s="275" t="s">
        <v>172</v>
      </c>
      <c r="D79" s="344" t="s">
        <v>147</v>
      </c>
      <c r="E79" s="207">
        <v>0.54100000000000004</v>
      </c>
      <c r="F79" s="205">
        <v>1874.5600275963302</v>
      </c>
      <c r="G79" s="205">
        <v>1014.1369749296147</v>
      </c>
      <c r="H79" s="207">
        <v>0.54100000000000004</v>
      </c>
      <c r="I79" s="267">
        <v>1480</v>
      </c>
      <c r="J79" s="207">
        <v>800.68</v>
      </c>
      <c r="K79" s="207">
        <f t="shared" si="18"/>
        <v>0</v>
      </c>
      <c r="L79" s="267">
        <v>1874.5600275963302</v>
      </c>
      <c r="M79" s="205">
        <f t="shared" si="22"/>
        <v>0</v>
      </c>
      <c r="N79" s="207">
        <f t="shared" si="19"/>
        <v>0</v>
      </c>
      <c r="O79" s="207">
        <f t="shared" si="20"/>
        <v>1380</v>
      </c>
      <c r="P79" s="205">
        <f t="shared" si="16"/>
        <v>0</v>
      </c>
      <c r="Q79" s="206"/>
      <c r="R79" s="267">
        <v>1874.5600275963302</v>
      </c>
      <c r="S79" s="205">
        <f t="shared" si="17"/>
        <v>0</v>
      </c>
      <c r="T79" s="207">
        <f t="shared" si="21"/>
        <v>0</v>
      </c>
      <c r="U79" s="207">
        <v>1380</v>
      </c>
      <c r="V79" s="205">
        <f t="shared" si="23"/>
        <v>0</v>
      </c>
      <c r="W79" s="123"/>
      <c r="Z79" s="346"/>
    </row>
    <row r="80" spans="1:26" s="216" customFormat="1" ht="23.1" hidden="1" customHeight="1" outlineLevel="2">
      <c r="A80" s="258">
        <v>1.1700000000000002</v>
      </c>
      <c r="B80" s="343" t="s">
        <v>162</v>
      </c>
      <c r="C80" s="275" t="s">
        <v>173</v>
      </c>
      <c r="D80" s="344" t="s">
        <v>147</v>
      </c>
      <c r="E80" s="207">
        <v>1.0049999999999999</v>
      </c>
      <c r="F80" s="205">
        <v>1142.8876896880734</v>
      </c>
      <c r="G80" s="205">
        <v>1148.6021281365136</v>
      </c>
      <c r="H80" s="207">
        <v>1.0049999999999999</v>
      </c>
      <c r="I80" s="267">
        <v>1480</v>
      </c>
      <c r="J80" s="207">
        <v>1487.4</v>
      </c>
      <c r="K80" s="207">
        <f t="shared" si="18"/>
        <v>0</v>
      </c>
      <c r="L80" s="267">
        <v>1142.8876896880734</v>
      </c>
      <c r="M80" s="205">
        <f t="shared" si="22"/>
        <v>0</v>
      </c>
      <c r="N80" s="207">
        <f t="shared" si="19"/>
        <v>0</v>
      </c>
      <c r="O80" s="207">
        <f t="shared" si="20"/>
        <v>1380</v>
      </c>
      <c r="P80" s="205">
        <f t="shared" si="16"/>
        <v>0</v>
      </c>
      <c r="Q80" s="206"/>
      <c r="R80" s="267">
        <v>1142.8876896880734</v>
      </c>
      <c r="S80" s="205">
        <f t="shared" si="17"/>
        <v>0</v>
      </c>
      <c r="T80" s="207">
        <f t="shared" si="21"/>
        <v>0</v>
      </c>
      <c r="U80" s="207">
        <v>1380</v>
      </c>
      <c r="V80" s="205">
        <f t="shared" si="23"/>
        <v>0</v>
      </c>
      <c r="W80" s="123"/>
      <c r="Z80" s="346"/>
    </row>
    <row r="81" spans="1:26" s="216" customFormat="1" ht="23.1" hidden="1" customHeight="1" outlineLevel="2">
      <c r="A81" s="348">
        <v>1.1800000000000002</v>
      </c>
      <c r="B81" s="343" t="s">
        <v>162</v>
      </c>
      <c r="C81" s="275" t="s">
        <v>174</v>
      </c>
      <c r="D81" s="344" t="s">
        <v>147</v>
      </c>
      <c r="E81" s="207">
        <v>1.4350000000000001</v>
      </c>
      <c r="F81" s="205">
        <v>1874.5410583486239</v>
      </c>
      <c r="G81" s="205">
        <v>2689.9664187302756</v>
      </c>
      <c r="H81" s="207">
        <v>1.4350000000000001</v>
      </c>
      <c r="I81" s="267">
        <v>1480</v>
      </c>
      <c r="J81" s="207">
        <v>2123.8000000000002</v>
      </c>
      <c r="K81" s="207">
        <f t="shared" si="18"/>
        <v>0</v>
      </c>
      <c r="L81" s="267">
        <v>1874.5410583486239</v>
      </c>
      <c r="M81" s="205">
        <f t="shared" si="22"/>
        <v>0</v>
      </c>
      <c r="N81" s="207">
        <f t="shared" si="19"/>
        <v>0</v>
      </c>
      <c r="O81" s="207">
        <f t="shared" si="20"/>
        <v>1380</v>
      </c>
      <c r="P81" s="205">
        <f t="shared" si="16"/>
        <v>0</v>
      </c>
      <c r="Q81" s="206">
        <v>1.26</v>
      </c>
      <c r="R81" s="267">
        <v>1874.5410583486239</v>
      </c>
      <c r="S81" s="205">
        <f t="shared" si="17"/>
        <v>2361.9217335192661</v>
      </c>
      <c r="T81" s="207">
        <f t="shared" si="21"/>
        <v>1.26</v>
      </c>
      <c r="U81" s="207">
        <v>1380</v>
      </c>
      <c r="V81" s="205">
        <f t="shared" si="23"/>
        <v>1738.8</v>
      </c>
      <c r="W81" s="123"/>
      <c r="Z81" s="346">
        <v>1.26</v>
      </c>
    </row>
    <row r="82" spans="1:26" s="216" customFormat="1" ht="23.1" hidden="1" customHeight="1" outlineLevel="2">
      <c r="A82" s="258">
        <v>1.1900000000000002</v>
      </c>
      <c r="B82" s="343" t="s">
        <v>162</v>
      </c>
      <c r="C82" s="275" t="s">
        <v>175</v>
      </c>
      <c r="D82" s="344" t="s">
        <v>147</v>
      </c>
      <c r="E82" s="207">
        <v>9.2720000000000002</v>
      </c>
      <c r="F82" s="205">
        <v>1874.5505429724772</v>
      </c>
      <c r="G82" s="205">
        <v>17380.832634440809</v>
      </c>
      <c r="H82" s="207">
        <v>9.2720000000000002</v>
      </c>
      <c r="I82" s="267">
        <v>1480</v>
      </c>
      <c r="J82" s="207">
        <v>13722.56</v>
      </c>
      <c r="K82" s="207">
        <f t="shared" si="18"/>
        <v>0</v>
      </c>
      <c r="L82" s="267">
        <v>1874.5505429724772</v>
      </c>
      <c r="M82" s="205">
        <f t="shared" si="22"/>
        <v>0</v>
      </c>
      <c r="N82" s="207">
        <f t="shared" si="19"/>
        <v>0</v>
      </c>
      <c r="O82" s="207">
        <f t="shared" si="20"/>
        <v>1380</v>
      </c>
      <c r="P82" s="205">
        <f t="shared" si="16"/>
        <v>0</v>
      </c>
      <c r="Q82" s="206">
        <v>11.47</v>
      </c>
      <c r="R82" s="267">
        <v>1874.5505429724772</v>
      </c>
      <c r="S82" s="205">
        <f t="shared" si="17"/>
        <v>21501.094727894313</v>
      </c>
      <c r="T82" s="207">
        <f t="shared" si="21"/>
        <v>11.47</v>
      </c>
      <c r="U82" s="207">
        <v>1380</v>
      </c>
      <c r="V82" s="205">
        <f t="shared" si="23"/>
        <v>15828.6</v>
      </c>
      <c r="W82" s="123"/>
      <c r="Z82" s="346">
        <v>11.47</v>
      </c>
    </row>
    <row r="83" spans="1:26" s="216" customFormat="1" ht="23.1" hidden="1" customHeight="1" outlineLevel="2">
      <c r="A83" s="348">
        <v>1.2000000000000002</v>
      </c>
      <c r="B83" s="343" t="s">
        <v>162</v>
      </c>
      <c r="C83" s="275" t="s">
        <v>176</v>
      </c>
      <c r="D83" s="344" t="s">
        <v>147</v>
      </c>
      <c r="E83" s="207">
        <v>28.097000000000001</v>
      </c>
      <c r="F83" s="205">
        <v>1874.5505429724772</v>
      </c>
      <c r="G83" s="205">
        <v>52669.246605897693</v>
      </c>
      <c r="H83" s="207">
        <v>28.097000000000001</v>
      </c>
      <c r="I83" s="267">
        <v>1480</v>
      </c>
      <c r="J83" s="207">
        <v>41583.560000000005</v>
      </c>
      <c r="K83" s="207">
        <f t="shared" si="18"/>
        <v>0</v>
      </c>
      <c r="L83" s="267">
        <v>1874.5505429724772</v>
      </c>
      <c r="M83" s="205">
        <f t="shared" si="22"/>
        <v>0</v>
      </c>
      <c r="N83" s="207">
        <f t="shared" si="19"/>
        <v>0</v>
      </c>
      <c r="O83" s="207">
        <f t="shared" si="20"/>
        <v>1380</v>
      </c>
      <c r="P83" s="205">
        <f t="shared" si="16"/>
        <v>0</v>
      </c>
      <c r="Q83" s="206">
        <v>23.58</v>
      </c>
      <c r="R83" s="267">
        <v>1874.5505429724772</v>
      </c>
      <c r="S83" s="205">
        <f t="shared" si="17"/>
        <v>44201.90180329101</v>
      </c>
      <c r="T83" s="207">
        <f t="shared" si="21"/>
        <v>23.58</v>
      </c>
      <c r="U83" s="207">
        <v>1380</v>
      </c>
      <c r="V83" s="205">
        <f t="shared" si="23"/>
        <v>32540.399999999998</v>
      </c>
      <c r="W83" s="123"/>
      <c r="Z83" s="346">
        <v>23.58</v>
      </c>
    </row>
    <row r="84" spans="1:26" s="216" customFormat="1" ht="23.1" hidden="1" customHeight="1" outlineLevel="2">
      <c r="A84" s="258">
        <v>1.2100000000000002</v>
      </c>
      <c r="B84" s="343" t="s">
        <v>162</v>
      </c>
      <c r="C84" s="275" t="s">
        <v>177</v>
      </c>
      <c r="D84" s="344" t="s">
        <v>147</v>
      </c>
      <c r="E84" s="207">
        <v>17.469000000000001</v>
      </c>
      <c r="F84" s="205">
        <v>1142.8971743119266</v>
      </c>
      <c r="G84" s="205">
        <v>19965.270738055049</v>
      </c>
      <c r="H84" s="207">
        <v>17.469000000000001</v>
      </c>
      <c r="I84" s="267">
        <v>1480</v>
      </c>
      <c r="J84" s="207">
        <v>25854.120000000003</v>
      </c>
      <c r="K84" s="207">
        <f t="shared" si="18"/>
        <v>0</v>
      </c>
      <c r="L84" s="267">
        <v>1142.8971743119266</v>
      </c>
      <c r="M84" s="205">
        <f t="shared" si="22"/>
        <v>0</v>
      </c>
      <c r="N84" s="207">
        <f t="shared" si="19"/>
        <v>0</v>
      </c>
      <c r="O84" s="207">
        <f t="shared" si="20"/>
        <v>1380</v>
      </c>
      <c r="P84" s="205">
        <f t="shared" si="16"/>
        <v>0</v>
      </c>
      <c r="Q84" s="206">
        <v>39.229999999999997</v>
      </c>
      <c r="R84" s="267">
        <v>1142.8971743119266</v>
      </c>
      <c r="S84" s="205">
        <f t="shared" si="17"/>
        <v>44835.856148256877</v>
      </c>
      <c r="T84" s="207">
        <f t="shared" si="21"/>
        <v>39.229999999999997</v>
      </c>
      <c r="U84" s="207">
        <v>1380</v>
      </c>
      <c r="V84" s="205">
        <f t="shared" si="23"/>
        <v>54137.399999999994</v>
      </c>
      <c r="W84" s="123"/>
      <c r="Z84" s="346">
        <v>39.229999999999997</v>
      </c>
    </row>
    <row r="85" spans="1:26" s="216" customFormat="1" ht="23.1" hidden="1" customHeight="1" outlineLevel="2">
      <c r="A85" s="348">
        <v>1.2200000000000002</v>
      </c>
      <c r="B85" s="343" t="s">
        <v>162</v>
      </c>
      <c r="C85" s="275" t="s">
        <v>178</v>
      </c>
      <c r="D85" s="344" t="s">
        <v>147</v>
      </c>
      <c r="E85" s="207">
        <v>2.8639999999999999</v>
      </c>
      <c r="F85" s="205">
        <v>1142.8971743119266</v>
      </c>
      <c r="G85" s="205">
        <v>3273.2575072293575</v>
      </c>
      <c r="H85" s="207">
        <v>2.8639999999999999</v>
      </c>
      <c r="I85" s="267">
        <v>1480</v>
      </c>
      <c r="J85" s="207">
        <v>4238.72</v>
      </c>
      <c r="K85" s="207">
        <f t="shared" si="18"/>
        <v>0</v>
      </c>
      <c r="L85" s="267">
        <v>1142.8971743119266</v>
      </c>
      <c r="M85" s="205">
        <f t="shared" si="22"/>
        <v>0</v>
      </c>
      <c r="N85" s="207">
        <f t="shared" si="19"/>
        <v>0</v>
      </c>
      <c r="O85" s="207">
        <f t="shared" si="20"/>
        <v>1380</v>
      </c>
      <c r="P85" s="205">
        <f t="shared" ref="P85:P116" si="24">+O85*N85</f>
        <v>0</v>
      </c>
      <c r="Q85" s="206"/>
      <c r="R85" s="267">
        <v>1142.8971743119266</v>
      </c>
      <c r="S85" s="205">
        <f t="shared" si="17"/>
        <v>0</v>
      </c>
      <c r="T85" s="207">
        <f t="shared" si="21"/>
        <v>0</v>
      </c>
      <c r="U85" s="207">
        <v>1380</v>
      </c>
      <c r="V85" s="205">
        <f t="shared" si="23"/>
        <v>0</v>
      </c>
      <c r="W85" s="123"/>
      <c r="Z85" s="346"/>
    </row>
    <row r="86" spans="1:26" s="216" customFormat="1" ht="23.1" hidden="1" customHeight="1" outlineLevel="2">
      <c r="A86" s="258">
        <v>1.2300000000000002</v>
      </c>
      <c r="B86" s="343" t="s">
        <v>162</v>
      </c>
      <c r="C86" s="275" t="s">
        <v>179</v>
      </c>
      <c r="D86" s="344" t="s">
        <v>147</v>
      </c>
      <c r="E86" s="207">
        <v>10.622999999999999</v>
      </c>
      <c r="F86" s="205">
        <v>1142.8971743119266</v>
      </c>
      <c r="G86" s="205">
        <v>12140.996682715595</v>
      </c>
      <c r="H86" s="207">
        <v>10.622999999999999</v>
      </c>
      <c r="I86" s="267">
        <v>1480</v>
      </c>
      <c r="J86" s="207">
        <v>15722.04</v>
      </c>
      <c r="K86" s="207">
        <f t="shared" si="18"/>
        <v>0</v>
      </c>
      <c r="L86" s="267">
        <v>1142.8971743119266</v>
      </c>
      <c r="M86" s="205">
        <f t="shared" si="22"/>
        <v>0</v>
      </c>
      <c r="N86" s="207">
        <f t="shared" si="19"/>
        <v>0</v>
      </c>
      <c r="O86" s="207">
        <f t="shared" si="20"/>
        <v>1380</v>
      </c>
      <c r="P86" s="205">
        <f t="shared" si="24"/>
        <v>0</v>
      </c>
      <c r="Q86" s="206"/>
      <c r="R86" s="267">
        <v>1142.8971743119266</v>
      </c>
      <c r="S86" s="205">
        <f t="shared" si="17"/>
        <v>0</v>
      </c>
      <c r="T86" s="207">
        <f t="shared" si="21"/>
        <v>0</v>
      </c>
      <c r="U86" s="207">
        <v>1380</v>
      </c>
      <c r="V86" s="205">
        <f t="shared" si="23"/>
        <v>0</v>
      </c>
      <c r="W86" s="123"/>
      <c r="Z86" s="346"/>
    </row>
    <row r="87" spans="1:26" s="216" customFormat="1" ht="23.1" hidden="1" customHeight="1" outlineLevel="2">
      <c r="A87" s="348">
        <v>1.2400000000000002</v>
      </c>
      <c r="B87" s="343" t="s">
        <v>162</v>
      </c>
      <c r="C87" s="275" t="s">
        <v>180</v>
      </c>
      <c r="D87" s="344" t="s">
        <v>147</v>
      </c>
      <c r="E87" s="207">
        <v>28.236999999999998</v>
      </c>
      <c r="F87" s="205">
        <v>1142.8971743119266</v>
      </c>
      <c r="G87" s="205">
        <v>32271.987511045871</v>
      </c>
      <c r="H87" s="207">
        <v>28.236999999999998</v>
      </c>
      <c r="I87" s="267">
        <v>1480</v>
      </c>
      <c r="J87" s="207">
        <v>41790.759999999995</v>
      </c>
      <c r="K87" s="207">
        <f t="shared" si="18"/>
        <v>0</v>
      </c>
      <c r="L87" s="267">
        <v>1142.8971743119266</v>
      </c>
      <c r="M87" s="205">
        <f t="shared" si="22"/>
        <v>0</v>
      </c>
      <c r="N87" s="207">
        <f t="shared" si="19"/>
        <v>0</v>
      </c>
      <c r="O87" s="207">
        <f t="shared" si="20"/>
        <v>1380</v>
      </c>
      <c r="P87" s="205">
        <f t="shared" si="24"/>
        <v>0</v>
      </c>
      <c r="Q87" s="206"/>
      <c r="R87" s="267">
        <v>1142.8971743119266</v>
      </c>
      <c r="S87" s="205">
        <f t="shared" si="17"/>
        <v>0</v>
      </c>
      <c r="T87" s="207">
        <f t="shared" si="21"/>
        <v>0</v>
      </c>
      <c r="U87" s="207">
        <v>1380</v>
      </c>
      <c r="V87" s="205">
        <f t="shared" si="23"/>
        <v>0</v>
      </c>
      <c r="W87" s="123"/>
      <c r="Z87" s="346"/>
    </row>
    <row r="88" spans="1:26" s="216" customFormat="1" ht="23.1" hidden="1" customHeight="1" outlineLevel="2">
      <c r="A88" s="258">
        <v>1.2500000000000002</v>
      </c>
      <c r="B88" s="343" t="s">
        <v>164</v>
      </c>
      <c r="C88" s="275" t="s">
        <v>186</v>
      </c>
      <c r="D88" s="344" t="s">
        <v>166</v>
      </c>
      <c r="E88" s="207">
        <v>2157</v>
      </c>
      <c r="F88" s="205">
        <v>8.2231688807339456</v>
      </c>
      <c r="G88" s="205">
        <v>17737.375275743121</v>
      </c>
      <c r="H88" s="207">
        <v>2157</v>
      </c>
      <c r="I88" s="267"/>
      <c r="J88" s="207">
        <v>0</v>
      </c>
      <c r="K88" s="207">
        <f t="shared" si="18"/>
        <v>0</v>
      </c>
      <c r="L88" s="267">
        <v>8.2231688807339456</v>
      </c>
      <c r="M88" s="205">
        <f t="shared" si="22"/>
        <v>0</v>
      </c>
      <c r="N88" s="207">
        <f t="shared" si="19"/>
        <v>0</v>
      </c>
      <c r="O88" s="207">
        <f t="shared" si="20"/>
        <v>0</v>
      </c>
      <c r="P88" s="205">
        <f t="shared" si="24"/>
        <v>0</v>
      </c>
      <c r="Q88" s="206">
        <v>2182</v>
      </c>
      <c r="R88" s="267">
        <v>8.2231688807339456</v>
      </c>
      <c r="S88" s="205">
        <f t="shared" si="17"/>
        <v>17942.954497761468</v>
      </c>
      <c r="T88" s="207">
        <f t="shared" si="21"/>
        <v>2182</v>
      </c>
      <c r="U88" s="207">
        <v>0</v>
      </c>
      <c r="V88" s="205">
        <f t="shared" si="23"/>
        <v>0</v>
      </c>
      <c r="W88" s="123"/>
      <c r="Z88" s="346">
        <v>2182</v>
      </c>
    </row>
    <row r="89" spans="1:26" s="216" customFormat="1" ht="23.1" hidden="1" customHeight="1" outlineLevel="2">
      <c r="A89" s="348">
        <v>1.2600000000000002</v>
      </c>
      <c r="B89" s="343" t="s">
        <v>164</v>
      </c>
      <c r="C89" s="275" t="s">
        <v>187</v>
      </c>
      <c r="D89" s="344" t="s">
        <v>166</v>
      </c>
      <c r="E89" s="207">
        <v>404</v>
      </c>
      <c r="F89" s="205">
        <v>10.214939889908257</v>
      </c>
      <c r="G89" s="205">
        <v>4126.835715522936</v>
      </c>
      <c r="H89" s="207">
        <v>404</v>
      </c>
      <c r="I89" s="267"/>
      <c r="J89" s="207">
        <v>0</v>
      </c>
      <c r="K89" s="207">
        <f t="shared" si="18"/>
        <v>0</v>
      </c>
      <c r="L89" s="267">
        <v>10.214939889908257</v>
      </c>
      <c r="M89" s="205">
        <f t="shared" si="22"/>
        <v>0</v>
      </c>
      <c r="N89" s="207">
        <f t="shared" si="19"/>
        <v>0</v>
      </c>
      <c r="O89" s="207">
        <f t="shared" si="20"/>
        <v>0</v>
      </c>
      <c r="P89" s="205">
        <f t="shared" si="24"/>
        <v>0</v>
      </c>
      <c r="Q89" s="206">
        <v>468</v>
      </c>
      <c r="R89" s="267">
        <v>10.214939889908257</v>
      </c>
      <c r="S89" s="205">
        <f t="shared" si="17"/>
        <v>4780.5918684770641</v>
      </c>
      <c r="T89" s="207">
        <f t="shared" si="21"/>
        <v>468</v>
      </c>
      <c r="U89" s="207">
        <v>0</v>
      </c>
      <c r="V89" s="205">
        <f t="shared" si="23"/>
        <v>0</v>
      </c>
      <c r="W89" s="123"/>
      <c r="Z89" s="346">
        <v>468</v>
      </c>
    </row>
    <row r="90" spans="1:26" s="216" customFormat="1" ht="23.1" hidden="1" customHeight="1" outlineLevel="2">
      <c r="A90" s="258">
        <v>1.2700000000000002</v>
      </c>
      <c r="B90" s="343" t="s">
        <v>164</v>
      </c>
      <c r="C90" s="275" t="s">
        <v>188</v>
      </c>
      <c r="D90" s="344" t="s">
        <v>166</v>
      </c>
      <c r="E90" s="207">
        <v>209</v>
      </c>
      <c r="F90" s="205">
        <v>12.159287779816513</v>
      </c>
      <c r="G90" s="205">
        <v>2541.291145981651</v>
      </c>
      <c r="H90" s="207">
        <v>209</v>
      </c>
      <c r="I90" s="267"/>
      <c r="J90" s="207">
        <v>0</v>
      </c>
      <c r="K90" s="207">
        <f t="shared" si="18"/>
        <v>0</v>
      </c>
      <c r="L90" s="267">
        <v>12.159287779816513</v>
      </c>
      <c r="M90" s="205">
        <f t="shared" si="22"/>
        <v>0</v>
      </c>
      <c r="N90" s="207">
        <f t="shared" si="19"/>
        <v>0</v>
      </c>
      <c r="O90" s="207">
        <f t="shared" si="20"/>
        <v>0</v>
      </c>
      <c r="P90" s="205">
        <f t="shared" si="24"/>
        <v>0</v>
      </c>
      <c r="Q90" s="206">
        <v>218</v>
      </c>
      <c r="R90" s="267">
        <v>12.159287779816513</v>
      </c>
      <c r="S90" s="205">
        <f t="shared" si="17"/>
        <v>2650.7247359999997</v>
      </c>
      <c r="T90" s="207">
        <f t="shared" si="21"/>
        <v>218</v>
      </c>
      <c r="U90" s="207">
        <v>0</v>
      </c>
      <c r="V90" s="205">
        <f t="shared" si="23"/>
        <v>0</v>
      </c>
      <c r="W90" s="123"/>
      <c r="Z90" s="346">
        <v>218</v>
      </c>
    </row>
    <row r="91" spans="1:26" s="215" customFormat="1" ht="23.1" hidden="1" customHeight="1" outlineLevel="1" collapsed="1">
      <c r="A91" s="257">
        <v>2</v>
      </c>
      <c r="B91" s="342" t="s">
        <v>189</v>
      </c>
      <c r="C91" s="274"/>
      <c r="D91" s="349"/>
      <c r="E91" s="229"/>
      <c r="F91" s="222">
        <v>0</v>
      </c>
      <c r="G91" s="222"/>
      <c r="H91" s="229"/>
      <c r="I91" s="267"/>
      <c r="J91" s="229">
        <v>0</v>
      </c>
      <c r="K91" s="229"/>
      <c r="L91" s="266"/>
      <c r="M91" s="222">
        <f>SUM(M92:M105)</f>
        <v>0</v>
      </c>
      <c r="N91" s="229"/>
      <c r="O91" s="207"/>
      <c r="P91" s="222">
        <f>SUM(P92:P105)</f>
        <v>0</v>
      </c>
      <c r="Q91" s="229"/>
      <c r="R91" s="266"/>
      <c r="S91" s="222">
        <f>SUM(S92:S105)</f>
        <v>100567.06857371891</v>
      </c>
      <c r="T91" s="229"/>
      <c r="U91" s="229"/>
      <c r="V91" s="222">
        <f>SUM(V92:V105)</f>
        <v>66745.91</v>
      </c>
      <c r="W91" s="137"/>
      <c r="Z91" s="283"/>
    </row>
    <row r="92" spans="1:26" s="216" customFormat="1" ht="23.1" hidden="1" customHeight="1" outlineLevel="2">
      <c r="A92" s="339">
        <v>2.1</v>
      </c>
      <c r="B92" s="343" t="s">
        <v>106</v>
      </c>
      <c r="C92" s="275" t="s">
        <v>190</v>
      </c>
      <c r="D92" s="344" t="s">
        <v>103</v>
      </c>
      <c r="E92" s="207">
        <v>465.16</v>
      </c>
      <c r="F92" s="205">
        <v>92.389720954128435</v>
      </c>
      <c r="G92" s="205">
        <v>42976.002599022388</v>
      </c>
      <c r="H92" s="207">
        <v>465.16</v>
      </c>
      <c r="I92" s="267">
        <v>59.5</v>
      </c>
      <c r="J92" s="207">
        <v>27677.02</v>
      </c>
      <c r="K92" s="207">
        <f>+Q92-Z92</f>
        <v>0</v>
      </c>
      <c r="L92" s="267">
        <v>92.389720954128435</v>
      </c>
      <c r="M92" s="205">
        <f t="shared" si="22"/>
        <v>0</v>
      </c>
      <c r="N92" s="207">
        <f>+K92</f>
        <v>0</v>
      </c>
      <c r="O92" s="207">
        <f t="shared" si="20"/>
        <v>59.5</v>
      </c>
      <c r="P92" s="205">
        <f t="shared" si="24"/>
        <v>0</v>
      </c>
      <c r="Q92" s="206">
        <v>543.45000000000005</v>
      </c>
      <c r="R92" s="267">
        <v>92.389720954128435</v>
      </c>
      <c r="S92" s="205">
        <f t="shared" si="17"/>
        <v>50209.193852521101</v>
      </c>
      <c r="T92" s="207">
        <f>+Q92</f>
        <v>543.45000000000005</v>
      </c>
      <c r="U92" s="207">
        <v>59.5</v>
      </c>
      <c r="V92" s="205">
        <f t="shared" si="23"/>
        <v>32335.275000000001</v>
      </c>
      <c r="W92" s="123"/>
      <c r="Z92" s="347">
        <v>543.45000000000005</v>
      </c>
    </row>
    <row r="93" spans="1:26" s="216" customFormat="1" ht="23.1" hidden="1" customHeight="1" outlineLevel="2">
      <c r="A93" s="339">
        <v>2.2000000000000002</v>
      </c>
      <c r="B93" s="343" t="s">
        <v>191</v>
      </c>
      <c r="C93" s="275" t="s">
        <v>192</v>
      </c>
      <c r="D93" s="344" t="s">
        <v>103</v>
      </c>
      <c r="E93" s="207">
        <v>164.31</v>
      </c>
      <c r="F93" s="205">
        <v>84.109644330275231</v>
      </c>
      <c r="G93" s="205">
        <v>13820.055659907523</v>
      </c>
      <c r="H93" s="207">
        <v>164.31</v>
      </c>
      <c r="I93" s="267">
        <v>59.5</v>
      </c>
      <c r="J93" s="207">
        <v>9776.4449999999997</v>
      </c>
      <c r="K93" s="207">
        <f t="shared" ref="K93:K105" si="25">+Q93-Z93</f>
        <v>0</v>
      </c>
      <c r="L93" s="267">
        <v>84.109644330275231</v>
      </c>
      <c r="M93" s="205">
        <f t="shared" si="22"/>
        <v>0</v>
      </c>
      <c r="N93" s="207">
        <f t="shared" ref="N93:N105" si="26">+K93</f>
        <v>0</v>
      </c>
      <c r="O93" s="207">
        <f t="shared" si="20"/>
        <v>59.5</v>
      </c>
      <c r="P93" s="205">
        <f t="shared" si="24"/>
        <v>0</v>
      </c>
      <c r="Q93" s="206">
        <v>244.07</v>
      </c>
      <c r="R93" s="267">
        <v>84.109644330275231</v>
      </c>
      <c r="S93" s="205">
        <f t="shared" si="17"/>
        <v>20528.640891690276</v>
      </c>
      <c r="T93" s="207">
        <f t="shared" ref="T93:T104" si="27">+Q93</f>
        <v>244.07</v>
      </c>
      <c r="U93" s="207">
        <v>59.5</v>
      </c>
      <c r="V93" s="205">
        <f t="shared" si="23"/>
        <v>14522.164999999999</v>
      </c>
      <c r="W93" s="123"/>
      <c r="Z93" s="347">
        <v>244.07</v>
      </c>
    </row>
    <row r="94" spans="1:26" s="216" customFormat="1" ht="23.1" hidden="1" customHeight="1" outlineLevel="2">
      <c r="A94" s="339">
        <v>2.3000000000000003</v>
      </c>
      <c r="B94" s="343" t="s">
        <v>193</v>
      </c>
      <c r="C94" s="275" t="s">
        <v>194</v>
      </c>
      <c r="D94" s="344" t="s">
        <v>103</v>
      </c>
      <c r="E94" s="207">
        <v>295.38</v>
      </c>
      <c r="F94" s="205">
        <v>84.109644330275231</v>
      </c>
      <c r="G94" s="205">
        <v>24844.306742276698</v>
      </c>
      <c r="H94" s="207">
        <v>295.38</v>
      </c>
      <c r="I94" s="267">
        <v>59.5</v>
      </c>
      <c r="J94" s="207">
        <v>17575.11</v>
      </c>
      <c r="K94" s="207">
        <f t="shared" si="25"/>
        <v>0</v>
      </c>
      <c r="L94" s="267">
        <v>84.109644330275231</v>
      </c>
      <c r="M94" s="205">
        <f t="shared" si="22"/>
        <v>0</v>
      </c>
      <c r="N94" s="207">
        <f t="shared" si="26"/>
        <v>0</v>
      </c>
      <c r="O94" s="207">
        <f t="shared" si="20"/>
        <v>59.5</v>
      </c>
      <c r="P94" s="205">
        <f t="shared" si="24"/>
        <v>0</v>
      </c>
      <c r="Q94" s="206">
        <v>295.38</v>
      </c>
      <c r="R94" s="267">
        <v>84.109644330275231</v>
      </c>
      <c r="S94" s="205">
        <f t="shared" si="17"/>
        <v>24844.306742276698</v>
      </c>
      <c r="T94" s="207">
        <f t="shared" si="27"/>
        <v>295.38</v>
      </c>
      <c r="U94" s="207">
        <v>59.5</v>
      </c>
      <c r="V94" s="205">
        <f t="shared" si="23"/>
        <v>17575.11</v>
      </c>
      <c r="W94" s="123"/>
      <c r="Z94" s="347">
        <v>295.38</v>
      </c>
    </row>
    <row r="95" spans="1:26" s="216" customFormat="1" ht="23.1" hidden="1" customHeight="1" outlineLevel="2">
      <c r="A95" s="339">
        <v>2.4000000000000004</v>
      </c>
      <c r="B95" s="343" t="s">
        <v>195</v>
      </c>
      <c r="C95" s="275" t="s">
        <v>192</v>
      </c>
      <c r="D95" s="344" t="s">
        <v>103</v>
      </c>
      <c r="E95" s="207">
        <v>38.880000000000003</v>
      </c>
      <c r="F95" s="205">
        <v>128.21314524770642</v>
      </c>
      <c r="G95" s="205">
        <v>4984.9270872308261</v>
      </c>
      <c r="H95" s="207">
        <v>38.880000000000003</v>
      </c>
      <c r="I95" s="267">
        <v>59.5</v>
      </c>
      <c r="J95" s="207">
        <v>2313.36</v>
      </c>
      <c r="K95" s="207">
        <f t="shared" si="25"/>
        <v>0</v>
      </c>
      <c r="L95" s="267">
        <v>128.21314524770642</v>
      </c>
      <c r="M95" s="205">
        <f t="shared" si="22"/>
        <v>0</v>
      </c>
      <c r="N95" s="207">
        <f t="shared" si="26"/>
        <v>0</v>
      </c>
      <c r="O95" s="207">
        <f t="shared" si="20"/>
        <v>59.5</v>
      </c>
      <c r="P95" s="205">
        <f t="shared" si="24"/>
        <v>0</v>
      </c>
      <c r="Q95" s="206">
        <v>38.880000000000003</v>
      </c>
      <c r="R95" s="267">
        <v>128.21314524770642</v>
      </c>
      <c r="S95" s="205">
        <f t="shared" si="17"/>
        <v>4984.9270872308261</v>
      </c>
      <c r="T95" s="207">
        <f t="shared" si="27"/>
        <v>38.880000000000003</v>
      </c>
      <c r="U95" s="207">
        <v>59.5</v>
      </c>
      <c r="V95" s="205">
        <f t="shared" si="23"/>
        <v>2313.36</v>
      </c>
      <c r="W95" s="123"/>
      <c r="Z95" s="347">
        <v>38.880000000000003</v>
      </c>
    </row>
    <row r="96" spans="1:26" s="216" customFormat="1" ht="23.1" hidden="1" customHeight="1" outlineLevel="2">
      <c r="A96" s="339">
        <v>2.5000000000000004</v>
      </c>
      <c r="B96" s="343" t="s">
        <v>132</v>
      </c>
      <c r="C96" s="275" t="s">
        <v>196</v>
      </c>
      <c r="D96" s="344" t="s">
        <v>103</v>
      </c>
      <c r="E96" s="207">
        <v>43.1</v>
      </c>
      <c r="F96" s="205">
        <v>231.99389944954129</v>
      </c>
      <c r="G96" s="205">
        <v>9998.9370662752299</v>
      </c>
      <c r="H96" s="207">
        <v>43.1</v>
      </c>
      <c r="I96" s="267">
        <v>59.5</v>
      </c>
      <c r="J96" s="207">
        <v>2564.4500000000003</v>
      </c>
      <c r="K96" s="207">
        <f t="shared" si="25"/>
        <v>0</v>
      </c>
      <c r="L96" s="267">
        <v>231.99389944954129</v>
      </c>
      <c r="M96" s="205">
        <f t="shared" si="22"/>
        <v>0</v>
      </c>
      <c r="N96" s="207">
        <f t="shared" si="26"/>
        <v>0</v>
      </c>
      <c r="O96" s="207">
        <f t="shared" si="20"/>
        <v>59.5</v>
      </c>
      <c r="P96" s="205">
        <f t="shared" si="24"/>
        <v>0</v>
      </c>
      <c r="Q96" s="206"/>
      <c r="R96" s="267">
        <v>231.99389944954129</v>
      </c>
      <c r="S96" s="205">
        <f t="shared" si="17"/>
        <v>0</v>
      </c>
      <c r="T96" s="207">
        <f t="shared" si="27"/>
        <v>0</v>
      </c>
      <c r="U96" s="207">
        <v>59.5</v>
      </c>
      <c r="V96" s="205">
        <f t="shared" si="23"/>
        <v>0</v>
      </c>
      <c r="W96" s="123"/>
      <c r="Z96" s="347"/>
    </row>
    <row r="97" spans="1:26" s="216" customFormat="1" ht="23.1" hidden="1" customHeight="1" outlineLevel="2">
      <c r="A97" s="339">
        <v>2.6000000000000005</v>
      </c>
      <c r="B97" s="343" t="s">
        <v>134</v>
      </c>
      <c r="C97" s="275" t="s">
        <v>196</v>
      </c>
      <c r="D97" s="344" t="s">
        <v>103</v>
      </c>
      <c r="E97" s="207">
        <v>12.85</v>
      </c>
      <c r="F97" s="205">
        <v>228.71221959633027</v>
      </c>
      <c r="G97" s="205">
        <v>2938.9520218128441</v>
      </c>
      <c r="H97" s="207">
        <v>12.85</v>
      </c>
      <c r="I97" s="267">
        <v>59.5</v>
      </c>
      <c r="J97" s="207">
        <v>764.57500000000005</v>
      </c>
      <c r="K97" s="207">
        <f t="shared" si="25"/>
        <v>0</v>
      </c>
      <c r="L97" s="267">
        <v>228.71221959633027</v>
      </c>
      <c r="M97" s="205">
        <f t="shared" si="22"/>
        <v>0</v>
      </c>
      <c r="N97" s="207">
        <f t="shared" si="26"/>
        <v>0</v>
      </c>
      <c r="O97" s="207">
        <f t="shared" si="20"/>
        <v>59.5</v>
      </c>
      <c r="P97" s="205">
        <f t="shared" si="24"/>
        <v>0</v>
      </c>
      <c r="Q97" s="206"/>
      <c r="R97" s="267">
        <v>228.71221959633027</v>
      </c>
      <c r="S97" s="205">
        <f t="shared" si="17"/>
        <v>0</v>
      </c>
      <c r="T97" s="207">
        <f t="shared" si="27"/>
        <v>0</v>
      </c>
      <c r="U97" s="207">
        <v>59.5</v>
      </c>
      <c r="V97" s="205">
        <f t="shared" si="23"/>
        <v>0</v>
      </c>
      <c r="W97" s="123"/>
      <c r="Z97" s="347"/>
    </row>
    <row r="98" spans="1:26" s="216" customFormat="1" ht="23.1" hidden="1" customHeight="1" outlineLevel="2">
      <c r="A98" s="339">
        <v>2.7000000000000006</v>
      </c>
      <c r="B98" s="343" t="s">
        <v>135</v>
      </c>
      <c r="C98" s="275" t="s">
        <v>197</v>
      </c>
      <c r="D98" s="344" t="s">
        <v>103</v>
      </c>
      <c r="E98" s="207">
        <v>1.2</v>
      </c>
      <c r="F98" s="205">
        <v>181.50724667889907</v>
      </c>
      <c r="G98" s="205">
        <v>217.80869601467887</v>
      </c>
      <c r="H98" s="207">
        <v>1.2</v>
      </c>
      <c r="I98" s="267">
        <v>59.5</v>
      </c>
      <c r="J98" s="207">
        <v>71.399999999999991</v>
      </c>
      <c r="K98" s="207">
        <f t="shared" si="25"/>
        <v>0</v>
      </c>
      <c r="L98" s="267">
        <v>181.50724667889907</v>
      </c>
      <c r="M98" s="205">
        <f t="shared" si="22"/>
        <v>0</v>
      </c>
      <c r="N98" s="207">
        <f t="shared" si="26"/>
        <v>0</v>
      </c>
      <c r="O98" s="207">
        <f t="shared" si="20"/>
        <v>59.5</v>
      </c>
      <c r="P98" s="205">
        <f t="shared" si="24"/>
        <v>0</v>
      </c>
      <c r="Q98" s="206"/>
      <c r="R98" s="267">
        <v>181.50724667889907</v>
      </c>
      <c r="S98" s="205">
        <f t="shared" si="17"/>
        <v>0</v>
      </c>
      <c r="T98" s="207">
        <f t="shared" si="27"/>
        <v>0</v>
      </c>
      <c r="U98" s="207">
        <v>59.5</v>
      </c>
      <c r="V98" s="205">
        <f t="shared" si="23"/>
        <v>0</v>
      </c>
      <c r="W98" s="123"/>
      <c r="Z98" s="347"/>
    </row>
    <row r="99" spans="1:26" s="216" customFormat="1" ht="23.1" hidden="1" customHeight="1" outlineLevel="2">
      <c r="A99" s="339">
        <v>2.8000000000000007</v>
      </c>
      <c r="B99" s="343" t="s">
        <v>137</v>
      </c>
      <c r="C99" s="275" t="s">
        <v>196</v>
      </c>
      <c r="D99" s="344" t="s">
        <v>103</v>
      </c>
      <c r="E99" s="207">
        <v>13.5</v>
      </c>
      <c r="F99" s="205">
        <v>181.50724667889907</v>
      </c>
      <c r="G99" s="205">
        <v>2450.3478301651376</v>
      </c>
      <c r="H99" s="207">
        <v>13.5</v>
      </c>
      <c r="I99" s="267">
        <v>59.5</v>
      </c>
      <c r="J99" s="207">
        <v>803.25</v>
      </c>
      <c r="K99" s="207">
        <f t="shared" si="25"/>
        <v>0</v>
      </c>
      <c r="L99" s="267">
        <v>181.50724667889907</v>
      </c>
      <c r="M99" s="205">
        <f t="shared" si="22"/>
        <v>0</v>
      </c>
      <c r="N99" s="207">
        <f t="shared" si="26"/>
        <v>0</v>
      </c>
      <c r="O99" s="207">
        <f t="shared" si="20"/>
        <v>59.5</v>
      </c>
      <c r="P99" s="205">
        <f t="shared" si="24"/>
        <v>0</v>
      </c>
      <c r="Q99" s="206"/>
      <c r="R99" s="267">
        <v>181.50724667889907</v>
      </c>
      <c r="S99" s="205">
        <f t="shared" si="17"/>
        <v>0</v>
      </c>
      <c r="T99" s="207">
        <f t="shared" si="27"/>
        <v>0</v>
      </c>
      <c r="U99" s="207">
        <v>59.5</v>
      </c>
      <c r="V99" s="205">
        <f t="shared" si="23"/>
        <v>0</v>
      </c>
      <c r="W99" s="123"/>
      <c r="Z99" s="347"/>
    </row>
    <row r="100" spans="1:26" s="216" customFormat="1" ht="23.1" hidden="1" customHeight="1" outlineLevel="2">
      <c r="A100" s="339">
        <v>2.9000000000000008</v>
      </c>
      <c r="B100" s="343" t="s">
        <v>198</v>
      </c>
      <c r="C100" s="275" t="s">
        <v>199</v>
      </c>
      <c r="D100" s="344" t="s">
        <v>103</v>
      </c>
      <c r="E100" s="207">
        <v>69.209999999999994</v>
      </c>
      <c r="F100" s="205">
        <v>172.25025379816515</v>
      </c>
      <c r="G100" s="205">
        <v>11921.440065371009</v>
      </c>
      <c r="H100" s="207">
        <v>69.209999999999994</v>
      </c>
      <c r="I100" s="267">
        <v>59.5</v>
      </c>
      <c r="J100" s="207">
        <v>4117.9949999999999</v>
      </c>
      <c r="K100" s="207">
        <f t="shared" si="25"/>
        <v>0</v>
      </c>
      <c r="L100" s="267">
        <v>172.25025379816515</v>
      </c>
      <c r="M100" s="205">
        <f t="shared" si="22"/>
        <v>0</v>
      </c>
      <c r="N100" s="207">
        <f t="shared" si="26"/>
        <v>0</v>
      </c>
      <c r="O100" s="207">
        <f t="shared" si="20"/>
        <v>59.5</v>
      </c>
      <c r="P100" s="205">
        <f t="shared" si="24"/>
        <v>0</v>
      </c>
      <c r="Q100" s="206"/>
      <c r="R100" s="267">
        <v>172.25025379816515</v>
      </c>
      <c r="S100" s="205">
        <f t="shared" si="17"/>
        <v>0</v>
      </c>
      <c r="T100" s="207">
        <f t="shared" si="27"/>
        <v>0</v>
      </c>
      <c r="U100" s="207">
        <v>59.5</v>
      </c>
      <c r="V100" s="205">
        <f t="shared" si="23"/>
        <v>0</v>
      </c>
      <c r="W100" s="123"/>
      <c r="Z100" s="347"/>
    </row>
    <row r="101" spans="1:26" s="216" customFormat="1" ht="23.1" hidden="1" customHeight="1" outlineLevel="2">
      <c r="A101" s="340">
        <v>2.1</v>
      </c>
      <c r="B101" s="343" t="s">
        <v>200</v>
      </c>
      <c r="C101" s="275" t="s">
        <v>199</v>
      </c>
      <c r="D101" s="344" t="s">
        <v>103</v>
      </c>
      <c r="E101" s="207">
        <v>46.14</v>
      </c>
      <c r="F101" s="205">
        <v>207.39078517431193</v>
      </c>
      <c r="G101" s="205">
        <v>9569.0108279427532</v>
      </c>
      <c r="H101" s="207">
        <v>46.14</v>
      </c>
      <c r="I101" s="267">
        <v>59.5</v>
      </c>
      <c r="J101" s="207">
        <v>2745.33</v>
      </c>
      <c r="K101" s="207">
        <f t="shared" si="25"/>
        <v>0</v>
      </c>
      <c r="L101" s="267">
        <v>207.39078517431193</v>
      </c>
      <c r="M101" s="205">
        <f t="shared" si="22"/>
        <v>0</v>
      </c>
      <c r="N101" s="207">
        <f t="shared" si="26"/>
        <v>0</v>
      </c>
      <c r="O101" s="207">
        <f t="shared" si="20"/>
        <v>59.5</v>
      </c>
      <c r="P101" s="205">
        <f t="shared" si="24"/>
        <v>0</v>
      </c>
      <c r="Q101" s="206"/>
      <c r="R101" s="267">
        <v>207.39078517431193</v>
      </c>
      <c r="S101" s="205">
        <f t="shared" si="17"/>
        <v>0</v>
      </c>
      <c r="T101" s="207">
        <f t="shared" si="27"/>
        <v>0</v>
      </c>
      <c r="U101" s="207">
        <v>59.5</v>
      </c>
      <c r="V101" s="205">
        <f t="shared" si="23"/>
        <v>0</v>
      </c>
      <c r="W101" s="123"/>
      <c r="Z101" s="347"/>
    </row>
    <row r="102" spans="1:26" s="216" customFormat="1" ht="23.1" hidden="1" customHeight="1" outlineLevel="2">
      <c r="A102" s="339">
        <v>2.11</v>
      </c>
      <c r="B102" s="343" t="s">
        <v>201</v>
      </c>
      <c r="C102" s="275" t="s">
        <v>199</v>
      </c>
      <c r="D102" s="344" t="s">
        <v>103</v>
      </c>
      <c r="E102" s="207">
        <v>18</v>
      </c>
      <c r="F102" s="205">
        <v>193.35354187155963</v>
      </c>
      <c r="G102" s="205">
        <v>3480.3637536880733</v>
      </c>
      <c r="H102" s="207">
        <v>18</v>
      </c>
      <c r="I102" s="267"/>
      <c r="J102" s="207">
        <v>0</v>
      </c>
      <c r="K102" s="207">
        <f t="shared" si="25"/>
        <v>0</v>
      </c>
      <c r="L102" s="267">
        <v>193.35354187155963</v>
      </c>
      <c r="M102" s="205">
        <f t="shared" si="22"/>
        <v>0</v>
      </c>
      <c r="N102" s="207">
        <f t="shared" si="26"/>
        <v>0</v>
      </c>
      <c r="O102" s="207">
        <f t="shared" si="20"/>
        <v>59.5</v>
      </c>
      <c r="P102" s="205">
        <f t="shared" si="24"/>
        <v>0</v>
      </c>
      <c r="Q102" s="206"/>
      <c r="R102" s="267">
        <v>193.35354187155963</v>
      </c>
      <c r="S102" s="205">
        <f t="shared" si="17"/>
        <v>0</v>
      </c>
      <c r="T102" s="207">
        <f t="shared" si="27"/>
        <v>0</v>
      </c>
      <c r="U102" s="207">
        <v>59.5</v>
      </c>
      <c r="V102" s="205">
        <f t="shared" si="23"/>
        <v>0</v>
      </c>
      <c r="W102" s="123"/>
      <c r="Z102" s="347"/>
    </row>
    <row r="103" spans="1:26" s="216" customFormat="1" ht="23.1" hidden="1" customHeight="1" outlineLevel="2">
      <c r="A103" s="340">
        <v>2.1199999999999997</v>
      </c>
      <c r="B103" s="343" t="s">
        <v>202</v>
      </c>
      <c r="C103" s="275" t="s">
        <v>199</v>
      </c>
      <c r="D103" s="344" t="s">
        <v>103</v>
      </c>
      <c r="E103" s="207">
        <v>6.21</v>
      </c>
      <c r="F103" s="205">
        <v>206.3190226788991</v>
      </c>
      <c r="G103" s="205">
        <v>1281.2411308359635</v>
      </c>
      <c r="H103" s="207">
        <v>6.21</v>
      </c>
      <c r="I103" s="267"/>
      <c r="J103" s="207">
        <v>0</v>
      </c>
      <c r="K103" s="207">
        <f t="shared" si="25"/>
        <v>0</v>
      </c>
      <c r="L103" s="267">
        <v>206.3190226788991</v>
      </c>
      <c r="M103" s="205">
        <f t="shared" si="22"/>
        <v>0</v>
      </c>
      <c r="N103" s="207">
        <f t="shared" si="26"/>
        <v>0</v>
      </c>
      <c r="O103" s="207">
        <f t="shared" si="20"/>
        <v>59.5</v>
      </c>
      <c r="P103" s="205">
        <f t="shared" si="24"/>
        <v>0</v>
      </c>
      <c r="Q103" s="206"/>
      <c r="R103" s="267">
        <v>206.3190226788991</v>
      </c>
      <c r="S103" s="205">
        <f t="shared" si="17"/>
        <v>0</v>
      </c>
      <c r="T103" s="207">
        <f t="shared" si="27"/>
        <v>0</v>
      </c>
      <c r="U103" s="207">
        <v>59.5</v>
      </c>
      <c r="V103" s="205">
        <f t="shared" si="23"/>
        <v>0</v>
      </c>
      <c r="W103" s="123"/>
      <c r="Z103" s="347"/>
    </row>
    <row r="104" spans="1:26" s="216" customFormat="1" ht="23.1" hidden="1" customHeight="1" outlineLevel="2">
      <c r="A104" s="339">
        <v>2.1299999999999994</v>
      </c>
      <c r="B104" s="343" t="s">
        <v>203</v>
      </c>
      <c r="C104" s="350" t="s">
        <v>199</v>
      </c>
      <c r="D104" s="344" t="s">
        <v>103</v>
      </c>
      <c r="E104" s="207">
        <v>10.4</v>
      </c>
      <c r="F104" s="205">
        <v>92.285390091743125</v>
      </c>
      <c r="G104" s="205">
        <v>959.7680569541285</v>
      </c>
      <c r="H104" s="207">
        <v>10.4</v>
      </c>
      <c r="I104" s="267"/>
      <c r="J104" s="207">
        <v>0</v>
      </c>
      <c r="K104" s="207">
        <f t="shared" si="25"/>
        <v>0</v>
      </c>
      <c r="L104" s="267">
        <v>92.285390091743125</v>
      </c>
      <c r="M104" s="205">
        <f t="shared" si="22"/>
        <v>0</v>
      </c>
      <c r="N104" s="207">
        <f t="shared" si="26"/>
        <v>0</v>
      </c>
      <c r="O104" s="207">
        <f t="shared" si="20"/>
        <v>59.5</v>
      </c>
      <c r="P104" s="205">
        <f t="shared" si="24"/>
        <v>0</v>
      </c>
      <c r="Q104" s="206"/>
      <c r="R104" s="267">
        <v>92.285390091743125</v>
      </c>
      <c r="S104" s="205">
        <f t="shared" si="17"/>
        <v>0</v>
      </c>
      <c r="T104" s="207">
        <f t="shared" si="27"/>
        <v>0</v>
      </c>
      <c r="U104" s="207">
        <v>59.5</v>
      </c>
      <c r="V104" s="205">
        <f t="shared" si="23"/>
        <v>0</v>
      </c>
      <c r="W104" s="123"/>
      <c r="Z104" s="347"/>
    </row>
    <row r="105" spans="1:26" s="216" customFormat="1" ht="23.1" hidden="1" customHeight="1" outlineLevel="2">
      <c r="A105" s="340">
        <v>2.1399999999999992</v>
      </c>
      <c r="B105" s="223" t="s">
        <v>142</v>
      </c>
      <c r="C105" s="223"/>
      <c r="D105" s="223" t="s">
        <v>143</v>
      </c>
      <c r="E105" s="207">
        <v>1</v>
      </c>
      <c r="F105" s="205">
        <v>-6123.0455286605511</v>
      </c>
      <c r="G105" s="205">
        <v>-6123.0455286605511</v>
      </c>
      <c r="H105" s="207">
        <v>1</v>
      </c>
      <c r="I105" s="263"/>
      <c r="J105" s="207">
        <v>0</v>
      </c>
      <c r="K105" s="207">
        <f t="shared" si="25"/>
        <v>0</v>
      </c>
      <c r="L105" s="267">
        <v>-6123.0455286605511</v>
      </c>
      <c r="M105" s="205">
        <f t="shared" si="22"/>
        <v>0</v>
      </c>
      <c r="N105" s="207">
        <f t="shared" si="26"/>
        <v>0</v>
      </c>
      <c r="O105" s="207"/>
      <c r="P105" s="205">
        <f t="shared" si="24"/>
        <v>0</v>
      </c>
      <c r="Q105" s="206"/>
      <c r="R105" s="267">
        <v>-6123.0455286605511</v>
      </c>
      <c r="S105" s="205">
        <f t="shared" si="17"/>
        <v>0</v>
      </c>
      <c r="T105" s="207"/>
      <c r="U105" s="207"/>
      <c r="V105" s="205">
        <f t="shared" si="23"/>
        <v>0</v>
      </c>
      <c r="W105" s="123"/>
      <c r="Z105" s="347"/>
    </row>
    <row r="106" spans="1:26" s="215" customFormat="1" ht="23.1" customHeight="1" collapsed="1">
      <c r="A106" s="337" t="s">
        <v>204</v>
      </c>
      <c r="B106" s="337" t="s">
        <v>205</v>
      </c>
      <c r="C106" s="220"/>
      <c r="D106" s="220"/>
      <c r="E106" s="229"/>
      <c r="F106" s="222"/>
      <c r="G106" s="222">
        <v>1541884.5410770273</v>
      </c>
      <c r="H106" s="229"/>
      <c r="I106" s="266"/>
      <c r="J106" s="229">
        <v>1453947.23</v>
      </c>
      <c r="K106" s="229"/>
      <c r="L106" s="266"/>
      <c r="M106" s="222">
        <f>+M107+M135+M156</f>
        <v>176749.45661536814</v>
      </c>
      <c r="N106" s="229"/>
      <c r="O106" s="229"/>
      <c r="P106" s="222">
        <f>+P107+P135+P156</f>
        <v>173500.82415</v>
      </c>
      <c r="Q106" s="229"/>
      <c r="R106" s="266"/>
      <c r="S106" s="222">
        <f>+S107+S135+S156</f>
        <v>679877.48609087709</v>
      </c>
      <c r="T106" s="229"/>
      <c r="U106" s="229"/>
      <c r="V106" s="222">
        <f>+V107+V135+V156</f>
        <v>643023.31925000006</v>
      </c>
      <c r="W106" s="137"/>
      <c r="Z106" s="283"/>
    </row>
    <row r="107" spans="1:26" s="215" customFormat="1" ht="23.1" hidden="1" customHeight="1" outlineLevel="1" collapsed="1">
      <c r="A107" s="257">
        <v>1</v>
      </c>
      <c r="B107" s="342" t="s">
        <v>206</v>
      </c>
      <c r="C107" s="274"/>
      <c r="D107" s="315"/>
      <c r="E107" s="229"/>
      <c r="F107" s="222">
        <v>0</v>
      </c>
      <c r="G107" s="222"/>
      <c r="H107" s="229"/>
      <c r="I107" s="266"/>
      <c r="J107" s="229"/>
      <c r="K107" s="229"/>
      <c r="L107" s="266"/>
      <c r="M107" s="222">
        <f>SUM(M108:M134)</f>
        <v>123669.10158639148</v>
      </c>
      <c r="N107" s="229"/>
      <c r="O107" s="229"/>
      <c r="P107" s="222">
        <f>SUM(P108:P134)</f>
        <v>138162.84</v>
      </c>
      <c r="Q107" s="229"/>
      <c r="R107" s="266"/>
      <c r="S107" s="222">
        <f>SUM(S108:S134)</f>
        <v>477656.16076676163</v>
      </c>
      <c r="T107" s="229"/>
      <c r="U107" s="229"/>
      <c r="V107" s="222">
        <f>SUM(V108:V134)</f>
        <v>509018.52000000008</v>
      </c>
      <c r="W107" s="137"/>
      <c r="Z107" s="283"/>
    </row>
    <row r="108" spans="1:26" s="216" customFormat="1" ht="23.1" hidden="1" customHeight="1" outlineLevel="2">
      <c r="A108" s="258">
        <v>1.1000000000000001</v>
      </c>
      <c r="B108" s="343" t="s">
        <v>145</v>
      </c>
      <c r="C108" s="351" t="s">
        <v>171</v>
      </c>
      <c r="D108" s="351" t="s">
        <v>147</v>
      </c>
      <c r="E108" s="207">
        <v>3.55</v>
      </c>
      <c r="F108" s="205">
        <v>1831.8223125137615</v>
      </c>
      <c r="G108" s="205">
        <v>6502.9692094238535</v>
      </c>
      <c r="H108" s="207">
        <v>3.55</v>
      </c>
      <c r="I108" s="267">
        <v>1480</v>
      </c>
      <c r="J108" s="207">
        <v>5254</v>
      </c>
      <c r="K108" s="207">
        <f>+Q108-Z108</f>
        <v>0</v>
      </c>
      <c r="L108" s="267">
        <v>1831.8223125137615</v>
      </c>
      <c r="M108" s="205">
        <f t="shared" si="22"/>
        <v>0</v>
      </c>
      <c r="N108" s="207">
        <f>+K108</f>
        <v>0</v>
      </c>
      <c r="O108" s="207">
        <f>+U108</f>
        <v>1380</v>
      </c>
      <c r="P108" s="205">
        <f t="shared" si="24"/>
        <v>0</v>
      </c>
      <c r="Q108" s="206"/>
      <c r="R108" s="267">
        <v>1831.8223125137615</v>
      </c>
      <c r="S108" s="205">
        <f t="shared" si="17"/>
        <v>0</v>
      </c>
      <c r="T108" s="207">
        <f>+Q108</f>
        <v>0</v>
      </c>
      <c r="U108" s="207">
        <v>1380</v>
      </c>
      <c r="V108" s="205">
        <f t="shared" si="23"/>
        <v>0</v>
      </c>
      <c r="W108" s="123"/>
      <c r="Z108" s="347"/>
    </row>
    <row r="109" spans="1:26" s="216" customFormat="1" ht="23.1" hidden="1" customHeight="1" outlineLevel="2">
      <c r="A109" s="258">
        <v>1.2</v>
      </c>
      <c r="B109" s="343" t="s">
        <v>145</v>
      </c>
      <c r="C109" s="351" t="s">
        <v>172</v>
      </c>
      <c r="D109" s="351" t="s">
        <v>147</v>
      </c>
      <c r="E109" s="207">
        <v>0.1</v>
      </c>
      <c r="F109" s="205">
        <v>1360.6356841100917</v>
      </c>
      <c r="G109" s="205">
        <v>136.06356841100919</v>
      </c>
      <c r="H109" s="207">
        <v>0.1</v>
      </c>
      <c r="I109" s="267">
        <v>1480</v>
      </c>
      <c r="J109" s="207">
        <v>148</v>
      </c>
      <c r="K109" s="207">
        <f t="shared" ref="K109:K140" si="28">+Q109-Z109</f>
        <v>0</v>
      </c>
      <c r="L109" s="267">
        <v>1360.6356841100917</v>
      </c>
      <c r="M109" s="205">
        <f t="shared" si="22"/>
        <v>0</v>
      </c>
      <c r="N109" s="207">
        <f t="shared" ref="N109:N134" si="29">+K109</f>
        <v>0</v>
      </c>
      <c r="O109" s="207">
        <f t="shared" ref="O109:O134" si="30">+U109</f>
        <v>1380</v>
      </c>
      <c r="P109" s="205">
        <f t="shared" si="24"/>
        <v>0</v>
      </c>
      <c r="Q109" s="206"/>
      <c r="R109" s="267">
        <v>1360.6356841100917</v>
      </c>
      <c r="S109" s="205">
        <f t="shared" si="17"/>
        <v>0</v>
      </c>
      <c r="T109" s="207">
        <f t="shared" ref="T109:T134" si="31">+Q109</f>
        <v>0</v>
      </c>
      <c r="U109" s="207">
        <v>1380</v>
      </c>
      <c r="V109" s="205">
        <f t="shared" si="23"/>
        <v>0</v>
      </c>
      <c r="W109" s="123"/>
      <c r="Z109" s="347"/>
    </row>
    <row r="110" spans="1:26" s="216" customFormat="1" ht="23.1" hidden="1" customHeight="1" outlineLevel="2">
      <c r="A110" s="258">
        <v>1.2999999999999998</v>
      </c>
      <c r="B110" s="343" t="s">
        <v>145</v>
      </c>
      <c r="C110" s="351" t="s">
        <v>173</v>
      </c>
      <c r="D110" s="351" t="s">
        <v>147</v>
      </c>
      <c r="E110" s="207">
        <v>0.5</v>
      </c>
      <c r="F110" s="205">
        <v>1052.337985761468</v>
      </c>
      <c r="G110" s="205">
        <v>526.16899288073398</v>
      </c>
      <c r="H110" s="207">
        <v>0.5</v>
      </c>
      <c r="I110" s="267">
        <v>1480</v>
      </c>
      <c r="J110" s="207">
        <v>740</v>
      </c>
      <c r="K110" s="207">
        <f t="shared" si="28"/>
        <v>0</v>
      </c>
      <c r="L110" s="267">
        <v>1052.337985761468</v>
      </c>
      <c r="M110" s="205">
        <f t="shared" si="22"/>
        <v>0</v>
      </c>
      <c r="N110" s="207">
        <f t="shared" si="29"/>
        <v>0</v>
      </c>
      <c r="O110" s="207">
        <f t="shared" si="30"/>
        <v>1380</v>
      </c>
      <c r="P110" s="205">
        <f t="shared" si="24"/>
        <v>0</v>
      </c>
      <c r="Q110" s="206"/>
      <c r="R110" s="267">
        <v>1052.337985761468</v>
      </c>
      <c r="S110" s="205">
        <f t="shared" si="17"/>
        <v>0</v>
      </c>
      <c r="T110" s="207">
        <f t="shared" si="31"/>
        <v>0</v>
      </c>
      <c r="U110" s="207">
        <v>1380</v>
      </c>
      <c r="V110" s="205">
        <f t="shared" si="23"/>
        <v>0</v>
      </c>
      <c r="W110" s="123"/>
      <c r="Z110" s="347"/>
    </row>
    <row r="111" spans="1:26" s="216" customFormat="1" ht="23.1" hidden="1" customHeight="1" outlineLevel="2">
      <c r="A111" s="258">
        <v>1.3999999999999997</v>
      </c>
      <c r="B111" s="343" t="s">
        <v>145</v>
      </c>
      <c r="C111" s="351" t="s">
        <v>174</v>
      </c>
      <c r="D111" s="351" t="s">
        <v>147</v>
      </c>
      <c r="E111" s="207">
        <v>3.16</v>
      </c>
      <c r="F111" s="205">
        <v>1127.1052755963306</v>
      </c>
      <c r="G111" s="205">
        <v>3561.6526708844049</v>
      </c>
      <c r="H111" s="207">
        <v>3.16</v>
      </c>
      <c r="I111" s="267">
        <v>1480</v>
      </c>
      <c r="J111" s="207">
        <v>4676.8</v>
      </c>
      <c r="K111" s="207">
        <f t="shared" si="28"/>
        <v>0</v>
      </c>
      <c r="L111" s="267">
        <v>1127.1052755963306</v>
      </c>
      <c r="M111" s="205">
        <f t="shared" si="22"/>
        <v>0</v>
      </c>
      <c r="N111" s="207">
        <f t="shared" si="29"/>
        <v>0</v>
      </c>
      <c r="O111" s="207">
        <f t="shared" si="30"/>
        <v>1380</v>
      </c>
      <c r="P111" s="205">
        <f t="shared" si="24"/>
        <v>0</v>
      </c>
      <c r="Q111" s="206"/>
      <c r="R111" s="267">
        <v>1127.1052755963306</v>
      </c>
      <c r="S111" s="205">
        <f t="shared" si="17"/>
        <v>0</v>
      </c>
      <c r="T111" s="207">
        <f t="shared" si="31"/>
        <v>0</v>
      </c>
      <c r="U111" s="207">
        <v>1380</v>
      </c>
      <c r="V111" s="205">
        <f t="shared" si="23"/>
        <v>0</v>
      </c>
      <c r="W111" s="123"/>
      <c r="Z111" s="347"/>
    </row>
    <row r="112" spans="1:26" s="216" customFormat="1" ht="23.1" hidden="1" customHeight="1" outlineLevel="2">
      <c r="A112" s="258">
        <v>1.4999999999999996</v>
      </c>
      <c r="B112" s="343" t="s">
        <v>145</v>
      </c>
      <c r="C112" s="351" t="s">
        <v>175</v>
      </c>
      <c r="D112" s="351" t="s">
        <v>147</v>
      </c>
      <c r="E112" s="207">
        <v>174.55</v>
      </c>
      <c r="F112" s="205">
        <v>1127.1052755963306</v>
      </c>
      <c r="G112" s="205">
        <v>196736.22585533952</v>
      </c>
      <c r="H112" s="207">
        <v>174.55</v>
      </c>
      <c r="I112" s="267">
        <v>1480</v>
      </c>
      <c r="J112" s="207">
        <v>258334.00000000003</v>
      </c>
      <c r="K112" s="207">
        <f t="shared" si="28"/>
        <v>24.495999999999995</v>
      </c>
      <c r="L112" s="267">
        <v>1127.1052755963306</v>
      </c>
      <c r="M112" s="205">
        <f t="shared" si="22"/>
        <v>27609.570831007706</v>
      </c>
      <c r="N112" s="207">
        <f t="shared" si="29"/>
        <v>24.495999999999995</v>
      </c>
      <c r="O112" s="207">
        <f t="shared" si="30"/>
        <v>1380</v>
      </c>
      <c r="P112" s="205">
        <f t="shared" si="24"/>
        <v>33804.479999999996</v>
      </c>
      <c r="Q112" s="206">
        <f>77.701+4.941</f>
        <v>82.641999999999996</v>
      </c>
      <c r="R112" s="267">
        <v>1127.1052755963306</v>
      </c>
      <c r="S112" s="205">
        <f t="shared" si="17"/>
        <v>93146.234185831941</v>
      </c>
      <c r="T112" s="207">
        <f t="shared" si="31"/>
        <v>82.641999999999996</v>
      </c>
      <c r="U112" s="207">
        <v>1380</v>
      </c>
      <c r="V112" s="205">
        <f t="shared" si="23"/>
        <v>114045.95999999999</v>
      </c>
      <c r="W112" s="123"/>
      <c r="Z112" s="347">
        <v>58.146000000000001</v>
      </c>
    </row>
    <row r="113" spans="1:26" s="216" customFormat="1" ht="23.1" hidden="1" customHeight="1" outlineLevel="2">
      <c r="A113" s="258">
        <v>1.5999999999999994</v>
      </c>
      <c r="B113" s="343" t="s">
        <v>145</v>
      </c>
      <c r="C113" s="351" t="s">
        <v>176</v>
      </c>
      <c r="D113" s="351" t="s">
        <v>147</v>
      </c>
      <c r="E113" s="207">
        <v>90.32</v>
      </c>
      <c r="F113" s="205">
        <v>1127.1052755963306</v>
      </c>
      <c r="G113" s="205">
        <v>101800.14849186057</v>
      </c>
      <c r="H113" s="207">
        <v>90.32</v>
      </c>
      <c r="I113" s="267">
        <v>1480</v>
      </c>
      <c r="J113" s="207">
        <v>133673.59999999998</v>
      </c>
      <c r="K113" s="207">
        <f t="shared" si="28"/>
        <v>10.371000000000002</v>
      </c>
      <c r="L113" s="267">
        <v>1127.1052755963306</v>
      </c>
      <c r="M113" s="205">
        <f t="shared" si="22"/>
        <v>11689.208813209547</v>
      </c>
      <c r="N113" s="207">
        <f t="shared" si="29"/>
        <v>10.371000000000002</v>
      </c>
      <c r="O113" s="207">
        <f t="shared" si="30"/>
        <v>1380</v>
      </c>
      <c r="P113" s="205">
        <f t="shared" si="24"/>
        <v>14311.980000000003</v>
      </c>
      <c r="Q113" s="206">
        <v>35.399000000000001</v>
      </c>
      <c r="R113" s="267">
        <v>1127.1052755963306</v>
      </c>
      <c r="S113" s="205">
        <f t="shared" si="17"/>
        <v>39898.399650834508</v>
      </c>
      <c r="T113" s="207">
        <f t="shared" si="31"/>
        <v>35.399000000000001</v>
      </c>
      <c r="U113" s="207">
        <v>1380</v>
      </c>
      <c r="V113" s="205">
        <f t="shared" si="23"/>
        <v>48850.62</v>
      </c>
      <c r="W113" s="123"/>
      <c r="Z113" s="347">
        <v>25.027999999999999</v>
      </c>
    </row>
    <row r="114" spans="1:26" s="216" customFormat="1" ht="23.1" hidden="1" customHeight="1" outlineLevel="2">
      <c r="A114" s="258">
        <v>1.6999999999999993</v>
      </c>
      <c r="B114" s="343" t="s">
        <v>145</v>
      </c>
      <c r="C114" s="351" t="s">
        <v>177</v>
      </c>
      <c r="D114" s="351" t="s">
        <v>147</v>
      </c>
      <c r="E114" s="207">
        <v>94.88</v>
      </c>
      <c r="F114" s="205">
        <v>1002.1453563302753</v>
      </c>
      <c r="G114" s="205">
        <v>95083.551408616506</v>
      </c>
      <c r="H114" s="207">
        <v>94.88</v>
      </c>
      <c r="I114" s="267">
        <v>1480</v>
      </c>
      <c r="J114" s="207">
        <v>140422.39999999999</v>
      </c>
      <c r="K114" s="207">
        <f t="shared" si="28"/>
        <v>14.273999999999997</v>
      </c>
      <c r="L114" s="267">
        <v>1002.1453563302753</v>
      </c>
      <c r="M114" s="205">
        <f t="shared" si="22"/>
        <v>14304.622816258347</v>
      </c>
      <c r="N114" s="207">
        <f t="shared" si="29"/>
        <v>14.273999999999997</v>
      </c>
      <c r="O114" s="207">
        <f t="shared" si="30"/>
        <v>1380</v>
      </c>
      <c r="P114" s="205">
        <f t="shared" si="24"/>
        <v>19698.119999999995</v>
      </c>
      <c r="Q114" s="206">
        <f>39.028+1.903</f>
        <v>40.930999999999997</v>
      </c>
      <c r="R114" s="267">
        <v>1002.1453563302753</v>
      </c>
      <c r="S114" s="205">
        <f t="shared" si="17"/>
        <v>41018.811579954498</v>
      </c>
      <c r="T114" s="207">
        <f t="shared" si="31"/>
        <v>40.930999999999997</v>
      </c>
      <c r="U114" s="207">
        <v>1380</v>
      </c>
      <c r="V114" s="205">
        <f t="shared" si="23"/>
        <v>56484.78</v>
      </c>
      <c r="W114" s="123"/>
      <c r="Z114" s="347">
        <v>26.657</v>
      </c>
    </row>
    <row r="115" spans="1:26" s="216" customFormat="1" ht="23.1" hidden="1" customHeight="1" outlineLevel="2">
      <c r="A115" s="258">
        <v>1.7999999999999992</v>
      </c>
      <c r="B115" s="343" t="s">
        <v>145</v>
      </c>
      <c r="C115" s="351" t="s">
        <v>178</v>
      </c>
      <c r="D115" s="351" t="s">
        <v>147</v>
      </c>
      <c r="E115" s="207">
        <v>23.3</v>
      </c>
      <c r="F115" s="205">
        <v>1002.135871706422</v>
      </c>
      <c r="G115" s="205">
        <v>23349.765810759633</v>
      </c>
      <c r="H115" s="207">
        <v>23.3</v>
      </c>
      <c r="I115" s="267">
        <v>1480</v>
      </c>
      <c r="J115" s="207">
        <v>34484</v>
      </c>
      <c r="K115" s="207">
        <f t="shared" si="28"/>
        <v>6.7570000000000014</v>
      </c>
      <c r="L115" s="267">
        <v>1002.135871706422</v>
      </c>
      <c r="M115" s="205">
        <f t="shared" si="22"/>
        <v>6771.4320851202947</v>
      </c>
      <c r="N115" s="207">
        <f t="shared" si="29"/>
        <v>6.7570000000000014</v>
      </c>
      <c r="O115" s="207">
        <f t="shared" si="30"/>
        <v>1380</v>
      </c>
      <c r="P115" s="205">
        <f t="shared" si="24"/>
        <v>9324.6600000000017</v>
      </c>
      <c r="Q115" s="206">
        <f>11.922+3.189</f>
        <v>15.111000000000001</v>
      </c>
      <c r="R115" s="267">
        <v>1002.135871706422</v>
      </c>
      <c r="S115" s="205">
        <f t="shared" si="17"/>
        <v>15143.275157355743</v>
      </c>
      <c r="T115" s="207">
        <f t="shared" si="31"/>
        <v>15.111000000000001</v>
      </c>
      <c r="U115" s="207">
        <v>1380</v>
      </c>
      <c r="V115" s="205">
        <f t="shared" si="23"/>
        <v>20853.18</v>
      </c>
      <c r="W115" s="123"/>
      <c r="Z115" s="347">
        <v>8.3539999999999992</v>
      </c>
    </row>
    <row r="116" spans="1:26" s="216" customFormat="1" ht="23.1" hidden="1" customHeight="1" outlineLevel="2">
      <c r="A116" s="258">
        <v>1.899999999999999</v>
      </c>
      <c r="B116" s="343" t="s">
        <v>145</v>
      </c>
      <c r="C116" s="351" t="s">
        <v>179</v>
      </c>
      <c r="D116" s="351" t="s">
        <v>147</v>
      </c>
      <c r="E116" s="207">
        <v>47.01</v>
      </c>
      <c r="F116" s="205">
        <v>1002.135871706422</v>
      </c>
      <c r="G116" s="205">
        <v>47110.407328918896</v>
      </c>
      <c r="H116" s="207">
        <v>47.01</v>
      </c>
      <c r="I116" s="267">
        <v>1480</v>
      </c>
      <c r="J116" s="207">
        <v>69574.8</v>
      </c>
      <c r="K116" s="207">
        <f t="shared" si="28"/>
        <v>3.593</v>
      </c>
      <c r="L116" s="267">
        <v>1002.135871706422</v>
      </c>
      <c r="M116" s="205">
        <f t="shared" si="22"/>
        <v>3600.6741870411743</v>
      </c>
      <c r="N116" s="207">
        <f t="shared" si="29"/>
        <v>3.593</v>
      </c>
      <c r="O116" s="207">
        <f t="shared" si="30"/>
        <v>1380</v>
      </c>
      <c r="P116" s="205">
        <f t="shared" si="24"/>
        <v>4958.34</v>
      </c>
      <c r="Q116" s="206">
        <f>27.541+0.087</f>
        <v>27.628</v>
      </c>
      <c r="R116" s="267">
        <v>1002.135871706422</v>
      </c>
      <c r="S116" s="205">
        <f t="shared" si="17"/>
        <v>27687.009863505027</v>
      </c>
      <c r="T116" s="207">
        <f t="shared" si="31"/>
        <v>27.628</v>
      </c>
      <c r="U116" s="207">
        <v>1380</v>
      </c>
      <c r="V116" s="205">
        <f t="shared" si="23"/>
        <v>38126.639999999999</v>
      </c>
      <c r="W116" s="123"/>
      <c r="Z116" s="347">
        <v>24.035</v>
      </c>
    </row>
    <row r="117" spans="1:26" s="216" customFormat="1" ht="23.1" hidden="1" customHeight="1" outlineLevel="2">
      <c r="A117" s="348">
        <v>1.1000000000000001</v>
      </c>
      <c r="B117" s="343" t="s">
        <v>145</v>
      </c>
      <c r="C117" s="351" t="s">
        <v>180</v>
      </c>
      <c r="D117" s="351" t="s">
        <v>147</v>
      </c>
      <c r="E117" s="207">
        <v>16.12</v>
      </c>
      <c r="F117" s="205">
        <v>1002.1453563302753</v>
      </c>
      <c r="G117" s="205">
        <v>16154.583144044038</v>
      </c>
      <c r="H117" s="207">
        <v>16.12</v>
      </c>
      <c r="I117" s="267">
        <v>1480</v>
      </c>
      <c r="J117" s="207">
        <v>23857.599999999999</v>
      </c>
      <c r="K117" s="207">
        <f t="shared" si="28"/>
        <v>2.0490000000000004</v>
      </c>
      <c r="L117" s="267">
        <v>1002.1453563302753</v>
      </c>
      <c r="M117" s="205">
        <f t="shared" si="22"/>
        <v>2053.3958351207343</v>
      </c>
      <c r="N117" s="207">
        <f t="shared" si="29"/>
        <v>2.0490000000000004</v>
      </c>
      <c r="O117" s="207">
        <f t="shared" si="30"/>
        <v>1380</v>
      </c>
      <c r="P117" s="205">
        <f t="shared" ref="P117:P148" si="32">+O117*N117</f>
        <v>2827.6200000000003</v>
      </c>
      <c r="Q117" s="206">
        <f>7.503+0.595</f>
        <v>8.0980000000000008</v>
      </c>
      <c r="R117" s="267">
        <v>1002.1453563302753</v>
      </c>
      <c r="S117" s="205">
        <f t="shared" si="17"/>
        <v>8115.3730955625697</v>
      </c>
      <c r="T117" s="207">
        <f t="shared" si="31"/>
        <v>8.0980000000000008</v>
      </c>
      <c r="U117" s="207">
        <v>1380</v>
      </c>
      <c r="V117" s="205">
        <f t="shared" si="23"/>
        <v>11175.240000000002</v>
      </c>
      <c r="W117" s="123"/>
      <c r="Z117" s="347">
        <v>6.0490000000000004</v>
      </c>
    </row>
    <row r="118" spans="1:26" s="216" customFormat="1" ht="23.1" hidden="1" customHeight="1" outlineLevel="2">
      <c r="A118" s="258">
        <v>1.1100000000000001</v>
      </c>
      <c r="B118" s="352" t="s">
        <v>145</v>
      </c>
      <c r="C118" s="352" t="s">
        <v>181</v>
      </c>
      <c r="D118" s="352" t="s">
        <v>147</v>
      </c>
      <c r="E118" s="207">
        <v>20.07</v>
      </c>
      <c r="F118" s="205">
        <v>1002.1453563302753</v>
      </c>
      <c r="G118" s="205">
        <v>20113.057301548626</v>
      </c>
      <c r="H118" s="207">
        <v>20.07</v>
      </c>
      <c r="I118" s="267">
        <v>1480</v>
      </c>
      <c r="J118" s="207">
        <v>29703.599999999999</v>
      </c>
      <c r="K118" s="207">
        <f t="shared" si="28"/>
        <v>2.5940000000000003</v>
      </c>
      <c r="L118" s="267">
        <v>1002.1453563302753</v>
      </c>
      <c r="M118" s="205">
        <f t="shared" si="22"/>
        <v>2599.5650543207344</v>
      </c>
      <c r="N118" s="207">
        <f t="shared" si="29"/>
        <v>2.5940000000000003</v>
      </c>
      <c r="O118" s="207">
        <f t="shared" si="30"/>
        <v>1380</v>
      </c>
      <c r="P118" s="205">
        <f t="shared" si="32"/>
        <v>3579.7200000000003</v>
      </c>
      <c r="Q118" s="206">
        <f>8.496+0.07</f>
        <v>8.5660000000000007</v>
      </c>
      <c r="R118" s="267">
        <v>1002.1453563302753</v>
      </c>
      <c r="S118" s="205">
        <f t="shared" si="17"/>
        <v>8584.3771223251388</v>
      </c>
      <c r="T118" s="207">
        <f t="shared" si="31"/>
        <v>8.5660000000000007</v>
      </c>
      <c r="U118" s="207">
        <v>1380</v>
      </c>
      <c r="V118" s="205">
        <f t="shared" si="23"/>
        <v>11821.080000000002</v>
      </c>
      <c r="W118" s="123"/>
      <c r="Z118" s="347">
        <v>5.9720000000000004</v>
      </c>
    </row>
    <row r="119" spans="1:26" s="216" customFormat="1" ht="23.1" hidden="1" customHeight="1" outlineLevel="2">
      <c r="A119" s="348">
        <v>1.1200000000000001</v>
      </c>
      <c r="B119" s="352" t="s">
        <v>145</v>
      </c>
      <c r="C119" s="352" t="s">
        <v>182</v>
      </c>
      <c r="D119" s="352" t="s">
        <v>147</v>
      </c>
      <c r="E119" s="207">
        <v>19.690000000000001</v>
      </c>
      <c r="F119" s="205">
        <v>1002.135871706422</v>
      </c>
      <c r="G119" s="205">
        <v>19732.055313899451</v>
      </c>
      <c r="H119" s="207">
        <v>19.690000000000001</v>
      </c>
      <c r="I119" s="267">
        <v>1480</v>
      </c>
      <c r="J119" s="207">
        <v>29141.200000000001</v>
      </c>
      <c r="K119" s="207">
        <f t="shared" si="28"/>
        <v>1.7730000000000006</v>
      </c>
      <c r="L119" s="267">
        <v>1002.135871706422</v>
      </c>
      <c r="M119" s="205">
        <f t="shared" si="22"/>
        <v>1776.7869005354867</v>
      </c>
      <c r="N119" s="207">
        <f t="shared" si="29"/>
        <v>1.7730000000000006</v>
      </c>
      <c r="O119" s="207">
        <f t="shared" si="30"/>
        <v>1380</v>
      </c>
      <c r="P119" s="205">
        <f t="shared" si="32"/>
        <v>2446.7400000000007</v>
      </c>
      <c r="Q119" s="206">
        <f>7.222+0.183</f>
        <v>7.4050000000000002</v>
      </c>
      <c r="R119" s="267">
        <v>1002.135871706422</v>
      </c>
      <c r="S119" s="205">
        <f t="shared" si="17"/>
        <v>7420.8161299860549</v>
      </c>
      <c r="T119" s="207">
        <f t="shared" si="31"/>
        <v>7.4050000000000002</v>
      </c>
      <c r="U119" s="207">
        <v>1380</v>
      </c>
      <c r="V119" s="205">
        <f t="shared" si="23"/>
        <v>10218.9</v>
      </c>
      <c r="W119" s="123"/>
      <c r="Z119" s="347">
        <v>5.6319999999999997</v>
      </c>
    </row>
    <row r="120" spans="1:26" s="216" customFormat="1" ht="23.1" hidden="1" customHeight="1" outlineLevel="2">
      <c r="A120" s="258">
        <v>1.1300000000000001</v>
      </c>
      <c r="B120" s="352" t="s">
        <v>145</v>
      </c>
      <c r="C120" s="352" t="s">
        <v>183</v>
      </c>
      <c r="D120" s="352" t="s">
        <v>147</v>
      </c>
      <c r="E120" s="207">
        <v>72.44</v>
      </c>
      <c r="F120" s="205">
        <v>1002.1453563302753</v>
      </c>
      <c r="G120" s="205">
        <v>72595.409612565141</v>
      </c>
      <c r="H120" s="207">
        <v>72.44</v>
      </c>
      <c r="I120" s="267">
        <v>1480</v>
      </c>
      <c r="J120" s="207">
        <v>107211.2</v>
      </c>
      <c r="K120" s="207">
        <f t="shared" si="28"/>
        <v>10.541999999999994</v>
      </c>
      <c r="L120" s="267">
        <v>1002.1453563302753</v>
      </c>
      <c r="M120" s="205">
        <f t="shared" si="22"/>
        <v>10564.616346433757</v>
      </c>
      <c r="N120" s="207">
        <f t="shared" si="29"/>
        <v>10.541999999999994</v>
      </c>
      <c r="O120" s="207">
        <f t="shared" si="30"/>
        <v>1380</v>
      </c>
      <c r="P120" s="205">
        <f t="shared" si="32"/>
        <v>14547.959999999992</v>
      </c>
      <c r="Q120" s="206">
        <f>38.3+0.483</f>
        <v>38.782999999999994</v>
      </c>
      <c r="R120" s="267">
        <v>1002.1453563302753</v>
      </c>
      <c r="S120" s="205">
        <f t="shared" si="17"/>
        <v>38866.203354557059</v>
      </c>
      <c r="T120" s="207">
        <f t="shared" si="31"/>
        <v>38.782999999999994</v>
      </c>
      <c r="U120" s="207">
        <v>1380</v>
      </c>
      <c r="V120" s="205">
        <f t="shared" si="23"/>
        <v>53520.539999999994</v>
      </c>
      <c r="W120" s="123"/>
      <c r="Z120" s="347">
        <v>28.241</v>
      </c>
    </row>
    <row r="121" spans="1:26" s="216" customFormat="1" ht="23.1" hidden="1" customHeight="1" outlineLevel="2">
      <c r="A121" s="348">
        <v>1.1400000000000001</v>
      </c>
      <c r="B121" s="352" t="s">
        <v>145</v>
      </c>
      <c r="C121" s="352" t="s">
        <v>184</v>
      </c>
      <c r="D121" s="352" t="s">
        <v>147</v>
      </c>
      <c r="E121" s="207">
        <v>6.84</v>
      </c>
      <c r="F121" s="205">
        <v>887.54264631192655</v>
      </c>
      <c r="G121" s="205">
        <v>6070.7917007735778</v>
      </c>
      <c r="H121" s="207">
        <v>6.84</v>
      </c>
      <c r="I121" s="267">
        <v>1480</v>
      </c>
      <c r="J121" s="207">
        <v>10123.199999999999</v>
      </c>
      <c r="K121" s="207">
        <f t="shared" si="28"/>
        <v>0.22299999999999986</v>
      </c>
      <c r="L121" s="267">
        <v>887.54264631192655</v>
      </c>
      <c r="M121" s="205">
        <f t="shared" si="22"/>
        <v>197.9220101275595</v>
      </c>
      <c r="N121" s="207">
        <f t="shared" si="29"/>
        <v>0.22299999999999986</v>
      </c>
      <c r="O121" s="207">
        <f t="shared" si="30"/>
        <v>1380</v>
      </c>
      <c r="P121" s="205">
        <f t="shared" si="32"/>
        <v>307.73999999999984</v>
      </c>
      <c r="Q121" s="206">
        <f>2.371+0.134</f>
        <v>2.5049999999999999</v>
      </c>
      <c r="R121" s="267">
        <v>887.54264631192655</v>
      </c>
      <c r="S121" s="205">
        <f t="shared" si="17"/>
        <v>2223.2943290113758</v>
      </c>
      <c r="T121" s="207">
        <f t="shared" si="31"/>
        <v>2.5049999999999999</v>
      </c>
      <c r="U121" s="207">
        <v>1380</v>
      </c>
      <c r="V121" s="205">
        <f t="shared" si="23"/>
        <v>3456.8999999999996</v>
      </c>
      <c r="W121" s="123"/>
      <c r="Z121" s="347">
        <v>2.282</v>
      </c>
    </row>
    <row r="122" spans="1:26" s="216" customFormat="1" ht="23.1" hidden="1" customHeight="1" outlineLevel="2">
      <c r="A122" s="258">
        <v>1.1500000000000001</v>
      </c>
      <c r="B122" s="352" t="s">
        <v>145</v>
      </c>
      <c r="C122" s="352" t="s">
        <v>185</v>
      </c>
      <c r="D122" s="352" t="s">
        <v>147</v>
      </c>
      <c r="E122" s="207">
        <v>1.3</v>
      </c>
      <c r="F122" s="205">
        <v>887.55213093577981</v>
      </c>
      <c r="G122" s="205">
        <v>1153.8177702165137</v>
      </c>
      <c r="H122" s="207">
        <v>1.3</v>
      </c>
      <c r="I122" s="345">
        <v>1480</v>
      </c>
      <c r="J122" s="207">
        <v>1924</v>
      </c>
      <c r="K122" s="207">
        <f t="shared" si="28"/>
        <v>0</v>
      </c>
      <c r="L122" s="267">
        <v>887.55213093577981</v>
      </c>
      <c r="M122" s="205">
        <f t="shared" si="22"/>
        <v>0</v>
      </c>
      <c r="N122" s="207">
        <f t="shared" si="29"/>
        <v>0</v>
      </c>
      <c r="O122" s="207">
        <f t="shared" si="30"/>
        <v>1380</v>
      </c>
      <c r="P122" s="205">
        <f t="shared" si="32"/>
        <v>0</v>
      </c>
      <c r="Q122" s="206"/>
      <c r="R122" s="267">
        <v>887.55213093577981</v>
      </c>
      <c r="S122" s="205">
        <f t="shared" si="17"/>
        <v>0</v>
      </c>
      <c r="T122" s="207">
        <f t="shared" si="31"/>
        <v>0</v>
      </c>
      <c r="U122" s="207">
        <v>1380</v>
      </c>
      <c r="V122" s="205">
        <f t="shared" si="23"/>
        <v>0</v>
      </c>
      <c r="W122" s="123"/>
      <c r="Z122" s="347"/>
    </row>
    <row r="123" spans="1:26" s="216" customFormat="1" ht="23.1" hidden="1" customHeight="1" outlineLevel="2">
      <c r="A123" s="348">
        <v>1.1600000000000001</v>
      </c>
      <c r="B123" s="339" t="s">
        <v>162</v>
      </c>
      <c r="C123" s="339" t="s">
        <v>172</v>
      </c>
      <c r="D123" s="339" t="s">
        <v>147</v>
      </c>
      <c r="E123" s="207">
        <v>1.651</v>
      </c>
      <c r="F123" s="205">
        <v>1874.5505429724772</v>
      </c>
      <c r="G123" s="205">
        <v>3094.8829464475598</v>
      </c>
      <c r="H123" s="207">
        <v>1.651</v>
      </c>
      <c r="I123" s="345">
        <v>1480</v>
      </c>
      <c r="J123" s="207">
        <v>2443.48</v>
      </c>
      <c r="K123" s="207">
        <f t="shared" si="28"/>
        <v>0</v>
      </c>
      <c r="L123" s="267">
        <v>1874.5505429724772</v>
      </c>
      <c r="M123" s="205">
        <f t="shared" si="22"/>
        <v>0</v>
      </c>
      <c r="N123" s="207">
        <f t="shared" si="29"/>
        <v>0</v>
      </c>
      <c r="O123" s="207">
        <f t="shared" si="30"/>
        <v>1380</v>
      </c>
      <c r="P123" s="205">
        <f t="shared" si="32"/>
        <v>0</v>
      </c>
      <c r="Q123" s="206"/>
      <c r="R123" s="267">
        <v>1874.5505429724772</v>
      </c>
      <c r="S123" s="205">
        <f t="shared" si="17"/>
        <v>0</v>
      </c>
      <c r="T123" s="207">
        <f t="shared" si="31"/>
        <v>0</v>
      </c>
      <c r="U123" s="207">
        <v>1380</v>
      </c>
      <c r="V123" s="205">
        <f t="shared" si="23"/>
        <v>0</v>
      </c>
      <c r="W123" s="123"/>
      <c r="Z123" s="347"/>
    </row>
    <row r="124" spans="1:26" s="216" customFormat="1" ht="23.1" hidden="1" customHeight="1" outlineLevel="2">
      <c r="A124" s="258">
        <v>1.1700000000000002</v>
      </c>
      <c r="B124" s="258" t="s">
        <v>162</v>
      </c>
      <c r="C124" s="258" t="s">
        <v>173</v>
      </c>
      <c r="D124" s="258" t="s">
        <v>147</v>
      </c>
      <c r="E124" s="207">
        <v>2.0750000000000002</v>
      </c>
      <c r="F124" s="205">
        <v>1142.8971743119266</v>
      </c>
      <c r="G124" s="205">
        <v>2371.5116366972479</v>
      </c>
      <c r="H124" s="207">
        <v>2.0750000000000002</v>
      </c>
      <c r="I124" s="345">
        <v>1480</v>
      </c>
      <c r="J124" s="207">
        <v>3071.0000000000005</v>
      </c>
      <c r="K124" s="207">
        <f t="shared" si="28"/>
        <v>0</v>
      </c>
      <c r="L124" s="267">
        <v>1142.8971743119266</v>
      </c>
      <c r="M124" s="205">
        <f t="shared" si="22"/>
        <v>0</v>
      </c>
      <c r="N124" s="207">
        <f t="shared" si="29"/>
        <v>0</v>
      </c>
      <c r="O124" s="207">
        <f t="shared" si="30"/>
        <v>1380</v>
      </c>
      <c r="P124" s="205">
        <f t="shared" si="32"/>
        <v>0</v>
      </c>
      <c r="Q124" s="206"/>
      <c r="R124" s="267">
        <v>1142.8971743119266</v>
      </c>
      <c r="S124" s="205">
        <f t="shared" si="17"/>
        <v>0</v>
      </c>
      <c r="T124" s="207">
        <f t="shared" si="31"/>
        <v>0</v>
      </c>
      <c r="U124" s="207">
        <v>1380</v>
      </c>
      <c r="V124" s="205">
        <f t="shared" si="23"/>
        <v>0</v>
      </c>
      <c r="W124" s="123"/>
      <c r="Z124" s="347"/>
    </row>
    <row r="125" spans="1:26" s="216" customFormat="1" ht="23.1" hidden="1" customHeight="1" outlineLevel="2">
      <c r="A125" s="348">
        <v>1.1800000000000002</v>
      </c>
      <c r="B125" s="258" t="s">
        <v>162</v>
      </c>
      <c r="C125" s="258" t="s">
        <v>174</v>
      </c>
      <c r="D125" s="258" t="s">
        <v>147</v>
      </c>
      <c r="E125" s="207">
        <v>9.9</v>
      </c>
      <c r="F125" s="205">
        <v>1874.5505429724772</v>
      </c>
      <c r="G125" s="205">
        <v>18558.050375427523</v>
      </c>
      <c r="H125" s="207">
        <v>9.9</v>
      </c>
      <c r="I125" s="345">
        <v>1480</v>
      </c>
      <c r="J125" s="207">
        <v>14652</v>
      </c>
      <c r="K125" s="207">
        <f t="shared" si="28"/>
        <v>3.0110000000000006</v>
      </c>
      <c r="L125" s="267">
        <v>1874.5505429724772</v>
      </c>
      <c r="M125" s="205">
        <f t="shared" si="22"/>
        <v>5644.27168489013</v>
      </c>
      <c r="N125" s="207">
        <f t="shared" si="29"/>
        <v>3.0110000000000006</v>
      </c>
      <c r="O125" s="207">
        <f t="shared" si="30"/>
        <v>1380</v>
      </c>
      <c r="P125" s="205">
        <f t="shared" si="32"/>
        <v>4155.1800000000012</v>
      </c>
      <c r="Q125" s="206">
        <f>2.494+2.79+0.271</f>
        <v>5.5550000000000006</v>
      </c>
      <c r="R125" s="267">
        <v>1874.5505429724772</v>
      </c>
      <c r="S125" s="205">
        <f t="shared" si="17"/>
        <v>10413.128266212112</v>
      </c>
      <c r="T125" s="207">
        <f t="shared" si="31"/>
        <v>5.5550000000000006</v>
      </c>
      <c r="U125" s="207">
        <v>1380</v>
      </c>
      <c r="V125" s="205">
        <f t="shared" si="23"/>
        <v>7665.9000000000005</v>
      </c>
      <c r="W125" s="123"/>
      <c r="Z125" s="347">
        <v>2.544</v>
      </c>
    </row>
    <row r="126" spans="1:26" s="216" customFormat="1" ht="23.1" hidden="1" customHeight="1" outlineLevel="2">
      <c r="A126" s="258">
        <v>1.1900000000000002</v>
      </c>
      <c r="B126" s="258" t="s">
        <v>162</v>
      </c>
      <c r="C126" s="258" t="s">
        <v>175</v>
      </c>
      <c r="D126" s="258" t="s">
        <v>147</v>
      </c>
      <c r="E126" s="207">
        <v>132.96</v>
      </c>
      <c r="F126" s="205">
        <v>1874.5505429724772</v>
      </c>
      <c r="G126" s="205">
        <v>249240.24019362059</v>
      </c>
      <c r="H126" s="207">
        <v>132.96</v>
      </c>
      <c r="I126" s="345">
        <v>1480</v>
      </c>
      <c r="J126" s="207">
        <v>196780.79999999999</v>
      </c>
      <c r="K126" s="207">
        <f t="shared" si="28"/>
        <v>17.271999999999998</v>
      </c>
      <c r="L126" s="267">
        <v>1874.5505429724772</v>
      </c>
      <c r="M126" s="205">
        <f t="shared" si="22"/>
        <v>32377.236978220622</v>
      </c>
      <c r="N126" s="207">
        <f t="shared" si="29"/>
        <v>17.271999999999998</v>
      </c>
      <c r="O126" s="207">
        <f t="shared" si="30"/>
        <v>1380</v>
      </c>
      <c r="P126" s="205">
        <f t="shared" si="32"/>
        <v>23835.359999999997</v>
      </c>
      <c r="Q126" s="206">
        <v>56.271000000000001</v>
      </c>
      <c r="R126" s="267">
        <v>1874.5505429724772</v>
      </c>
      <c r="S126" s="205">
        <f t="shared" si="17"/>
        <v>105482.83360360426</v>
      </c>
      <c r="T126" s="207">
        <f t="shared" si="31"/>
        <v>56.271000000000001</v>
      </c>
      <c r="U126" s="207">
        <v>1380</v>
      </c>
      <c r="V126" s="205">
        <f t="shared" si="23"/>
        <v>77653.98</v>
      </c>
      <c r="W126" s="123"/>
      <c r="Z126" s="347">
        <v>38.999000000000002</v>
      </c>
    </row>
    <row r="127" spans="1:26" s="216" customFormat="1" ht="23.1" hidden="1" customHeight="1" outlineLevel="2">
      <c r="A127" s="348">
        <v>1.2000000000000002</v>
      </c>
      <c r="B127" s="258" t="s">
        <v>162</v>
      </c>
      <c r="C127" s="258" t="s">
        <v>176</v>
      </c>
      <c r="D127" s="258" t="s">
        <v>147</v>
      </c>
      <c r="E127" s="207">
        <v>23.22</v>
      </c>
      <c r="F127" s="205">
        <v>1874.5505429724772</v>
      </c>
      <c r="G127" s="205">
        <v>43527.063607820921</v>
      </c>
      <c r="H127" s="207">
        <v>23.22</v>
      </c>
      <c r="I127" s="345">
        <v>1480</v>
      </c>
      <c r="J127" s="207">
        <v>34365.599999999999</v>
      </c>
      <c r="K127" s="207">
        <f t="shared" si="28"/>
        <v>1.1819999999999986</v>
      </c>
      <c r="L127" s="267">
        <v>1874.5505429724772</v>
      </c>
      <c r="M127" s="205">
        <f t="shared" si="22"/>
        <v>2215.7187417934656</v>
      </c>
      <c r="N127" s="207">
        <f t="shared" si="29"/>
        <v>1.1819999999999986</v>
      </c>
      <c r="O127" s="207">
        <f t="shared" si="30"/>
        <v>1380</v>
      </c>
      <c r="P127" s="205">
        <f t="shared" si="32"/>
        <v>1631.159999999998</v>
      </c>
      <c r="Q127" s="206">
        <v>17.404</v>
      </c>
      <c r="R127" s="267">
        <v>1874.5505429724772</v>
      </c>
      <c r="S127" s="205">
        <f t="shared" ref="S127:S190" si="33">+R127*Q127</f>
        <v>32624.677649892994</v>
      </c>
      <c r="T127" s="207">
        <f t="shared" si="31"/>
        <v>17.404</v>
      </c>
      <c r="U127" s="207">
        <v>1380</v>
      </c>
      <c r="V127" s="205">
        <f t="shared" si="23"/>
        <v>24017.52</v>
      </c>
      <c r="W127" s="123"/>
      <c r="Z127" s="347">
        <v>16.222000000000001</v>
      </c>
    </row>
    <row r="128" spans="1:26" s="216" customFormat="1" ht="23.1" hidden="1" customHeight="1" outlineLevel="2">
      <c r="A128" s="258">
        <v>1.2100000000000002</v>
      </c>
      <c r="B128" s="258" t="s">
        <v>162</v>
      </c>
      <c r="C128" s="258" t="s">
        <v>177</v>
      </c>
      <c r="D128" s="258" t="s">
        <v>147</v>
      </c>
      <c r="E128" s="207">
        <v>23.78</v>
      </c>
      <c r="F128" s="205">
        <v>1142.8971743119266</v>
      </c>
      <c r="G128" s="205">
        <v>27178.094805137618</v>
      </c>
      <c r="H128" s="207">
        <v>23.78</v>
      </c>
      <c r="I128" s="345">
        <v>1480</v>
      </c>
      <c r="J128" s="207">
        <v>35194.400000000001</v>
      </c>
      <c r="K128" s="207">
        <f t="shared" si="28"/>
        <v>1.9810000000000016</v>
      </c>
      <c r="L128" s="267">
        <v>1142.8971743119266</v>
      </c>
      <c r="M128" s="205">
        <f t="shared" si="22"/>
        <v>2264.0793023119286</v>
      </c>
      <c r="N128" s="207">
        <f t="shared" si="29"/>
        <v>1.9810000000000016</v>
      </c>
      <c r="O128" s="207">
        <f t="shared" si="30"/>
        <v>1380</v>
      </c>
      <c r="P128" s="205">
        <f t="shared" si="32"/>
        <v>2733.7800000000025</v>
      </c>
      <c r="Q128" s="206">
        <v>22.556000000000001</v>
      </c>
      <c r="R128" s="267">
        <v>1142.8971743119266</v>
      </c>
      <c r="S128" s="205">
        <f t="shared" si="33"/>
        <v>25779.188663779816</v>
      </c>
      <c r="T128" s="207">
        <f t="shared" si="31"/>
        <v>22.556000000000001</v>
      </c>
      <c r="U128" s="207">
        <v>1380</v>
      </c>
      <c r="V128" s="205">
        <f t="shared" si="23"/>
        <v>31127.280000000002</v>
      </c>
      <c r="W128" s="123"/>
      <c r="Z128" s="347">
        <v>20.574999999999999</v>
      </c>
    </row>
    <row r="129" spans="1:26" s="216" customFormat="1" ht="23.1" hidden="1" customHeight="1" outlineLevel="2">
      <c r="A129" s="348">
        <v>1.2200000000000002</v>
      </c>
      <c r="B129" s="258" t="s">
        <v>162</v>
      </c>
      <c r="C129" s="258" t="s">
        <v>178</v>
      </c>
      <c r="D129" s="258" t="s">
        <v>147</v>
      </c>
      <c r="E129" s="207">
        <v>1.26</v>
      </c>
      <c r="F129" s="205">
        <v>1142.9066589357797</v>
      </c>
      <c r="G129" s="205">
        <v>1440.0623902590823</v>
      </c>
      <c r="H129" s="207">
        <v>1.26</v>
      </c>
      <c r="I129" s="345">
        <v>1480</v>
      </c>
      <c r="J129" s="207">
        <v>1864.8</v>
      </c>
      <c r="K129" s="207">
        <f t="shared" si="28"/>
        <v>0</v>
      </c>
      <c r="L129" s="267">
        <v>1142.9066589357797</v>
      </c>
      <c r="M129" s="205">
        <f t="shared" si="22"/>
        <v>0</v>
      </c>
      <c r="N129" s="207">
        <f t="shared" si="29"/>
        <v>0</v>
      </c>
      <c r="O129" s="207">
        <f t="shared" si="30"/>
        <v>1380</v>
      </c>
      <c r="P129" s="205">
        <f t="shared" si="32"/>
        <v>0</v>
      </c>
      <c r="Q129" s="206"/>
      <c r="R129" s="267">
        <v>1142.9066589357797</v>
      </c>
      <c r="S129" s="205">
        <f t="shared" si="33"/>
        <v>0</v>
      </c>
      <c r="T129" s="207">
        <f t="shared" si="31"/>
        <v>0</v>
      </c>
      <c r="U129" s="207">
        <v>1380</v>
      </c>
      <c r="V129" s="205">
        <f t="shared" si="23"/>
        <v>0</v>
      </c>
      <c r="W129" s="123"/>
      <c r="Z129" s="347"/>
    </row>
    <row r="130" spans="1:26" s="216" customFormat="1" ht="23.1" hidden="1" customHeight="1" outlineLevel="2">
      <c r="A130" s="258">
        <v>1.2300000000000002</v>
      </c>
      <c r="B130" s="258" t="s">
        <v>162</v>
      </c>
      <c r="C130" s="258" t="s">
        <v>179</v>
      </c>
      <c r="D130" s="258" t="s">
        <v>147</v>
      </c>
      <c r="E130" s="207">
        <v>0.52800000000000002</v>
      </c>
      <c r="F130" s="205">
        <v>1142.9066589357797</v>
      </c>
      <c r="G130" s="205">
        <v>603.45471591809167</v>
      </c>
      <c r="H130" s="207">
        <v>0.52800000000000002</v>
      </c>
      <c r="I130" s="345">
        <v>1480</v>
      </c>
      <c r="J130" s="207">
        <v>781.44</v>
      </c>
      <c r="K130" s="207">
        <f t="shared" si="28"/>
        <v>0</v>
      </c>
      <c r="L130" s="267">
        <v>1142.9066589357797</v>
      </c>
      <c r="M130" s="205">
        <f t="shared" si="22"/>
        <v>0</v>
      </c>
      <c r="N130" s="207">
        <f t="shared" si="29"/>
        <v>0</v>
      </c>
      <c r="O130" s="207">
        <f t="shared" si="30"/>
        <v>1380</v>
      </c>
      <c r="P130" s="205">
        <f t="shared" si="32"/>
        <v>0</v>
      </c>
      <c r="Q130" s="206"/>
      <c r="R130" s="267">
        <v>1142.9066589357797</v>
      </c>
      <c r="S130" s="205">
        <f t="shared" si="33"/>
        <v>0</v>
      </c>
      <c r="T130" s="207">
        <f t="shared" si="31"/>
        <v>0</v>
      </c>
      <c r="U130" s="207">
        <v>1380</v>
      </c>
      <c r="V130" s="205">
        <f t="shared" si="23"/>
        <v>0</v>
      </c>
      <c r="W130" s="123"/>
      <c r="Z130" s="347"/>
    </row>
    <row r="131" spans="1:26" s="216" customFormat="1" ht="23.1" hidden="1" customHeight="1" outlineLevel="2">
      <c r="A131" s="348">
        <v>1.2400000000000002</v>
      </c>
      <c r="B131" s="258" t="s">
        <v>162</v>
      </c>
      <c r="C131" s="258" t="s">
        <v>180</v>
      </c>
      <c r="D131" s="258" t="s">
        <v>147</v>
      </c>
      <c r="E131" s="207">
        <v>7.01</v>
      </c>
      <c r="F131" s="205">
        <v>1142.8971743119266</v>
      </c>
      <c r="G131" s="205">
        <v>8011.7091919266049</v>
      </c>
      <c r="H131" s="207">
        <v>7.01</v>
      </c>
      <c r="I131" s="345">
        <v>1480</v>
      </c>
      <c r="J131" s="207">
        <v>10374.799999999999</v>
      </c>
      <c r="K131" s="207">
        <f t="shared" si="28"/>
        <v>0</v>
      </c>
      <c r="L131" s="267">
        <v>1142.8971743119266</v>
      </c>
      <c r="M131" s="205">
        <f t="shared" si="22"/>
        <v>0</v>
      </c>
      <c r="N131" s="207">
        <f t="shared" si="29"/>
        <v>0</v>
      </c>
      <c r="O131" s="207">
        <f t="shared" si="30"/>
        <v>1380</v>
      </c>
      <c r="P131" s="205">
        <f t="shared" si="32"/>
        <v>0</v>
      </c>
      <c r="Q131" s="206"/>
      <c r="R131" s="267">
        <v>1142.8971743119266</v>
      </c>
      <c r="S131" s="205">
        <f t="shared" si="33"/>
        <v>0</v>
      </c>
      <c r="T131" s="207">
        <f t="shared" si="31"/>
        <v>0</v>
      </c>
      <c r="U131" s="207">
        <v>1380</v>
      </c>
      <c r="V131" s="205">
        <f t="shared" si="23"/>
        <v>0</v>
      </c>
      <c r="W131" s="123"/>
      <c r="Z131" s="347"/>
    </row>
    <row r="132" spans="1:26" s="216" customFormat="1" ht="23.1" hidden="1" customHeight="1" outlineLevel="2">
      <c r="A132" s="258">
        <v>1.2500000000000002</v>
      </c>
      <c r="B132" s="258" t="s">
        <v>164</v>
      </c>
      <c r="C132" s="258" t="s">
        <v>186</v>
      </c>
      <c r="D132" s="258" t="s">
        <v>166</v>
      </c>
      <c r="E132" s="207">
        <v>8725</v>
      </c>
      <c r="F132" s="205">
        <v>8.2231688807339456</v>
      </c>
      <c r="G132" s="205">
        <v>71747.148484403675</v>
      </c>
      <c r="H132" s="207">
        <v>8725</v>
      </c>
      <c r="I132" s="345"/>
      <c r="J132" s="207">
        <v>0</v>
      </c>
      <c r="K132" s="207">
        <f t="shared" si="28"/>
        <v>0</v>
      </c>
      <c r="L132" s="267">
        <v>8.2231688807339456</v>
      </c>
      <c r="M132" s="205">
        <f t="shared" si="22"/>
        <v>0</v>
      </c>
      <c r="N132" s="207">
        <f t="shared" si="29"/>
        <v>0</v>
      </c>
      <c r="O132" s="207">
        <f t="shared" si="30"/>
        <v>0</v>
      </c>
      <c r="P132" s="205">
        <f t="shared" si="32"/>
        <v>0</v>
      </c>
      <c r="Q132" s="206">
        <v>2500</v>
      </c>
      <c r="R132" s="267">
        <v>8.2231688807339456</v>
      </c>
      <c r="S132" s="205">
        <f t="shared" si="33"/>
        <v>20557.922201834863</v>
      </c>
      <c r="T132" s="207">
        <f t="shared" si="31"/>
        <v>2500</v>
      </c>
      <c r="U132" s="207">
        <v>0</v>
      </c>
      <c r="V132" s="205">
        <f t="shared" si="23"/>
        <v>0</v>
      </c>
      <c r="W132" s="123"/>
      <c r="Z132" s="347">
        <v>2500</v>
      </c>
    </row>
    <row r="133" spans="1:26" s="216" customFormat="1" ht="23.1" hidden="1" customHeight="1" outlineLevel="2">
      <c r="A133" s="348">
        <v>1.2600000000000002</v>
      </c>
      <c r="B133" s="258" t="s">
        <v>164</v>
      </c>
      <c r="C133" s="258" t="s">
        <v>187</v>
      </c>
      <c r="D133" s="258" t="s">
        <v>166</v>
      </c>
      <c r="E133" s="207">
        <v>459</v>
      </c>
      <c r="F133" s="205">
        <v>10.214939889908257</v>
      </c>
      <c r="G133" s="205">
        <v>4688.6574094678899</v>
      </c>
      <c r="H133" s="207">
        <v>459</v>
      </c>
      <c r="I133" s="345"/>
      <c r="J133" s="207">
        <v>0</v>
      </c>
      <c r="K133" s="207">
        <f t="shared" si="28"/>
        <v>0</v>
      </c>
      <c r="L133" s="267">
        <v>10.214939889908257</v>
      </c>
      <c r="M133" s="205">
        <f t="shared" si="22"/>
        <v>0</v>
      </c>
      <c r="N133" s="207">
        <f t="shared" si="29"/>
        <v>0</v>
      </c>
      <c r="O133" s="207">
        <f t="shared" si="30"/>
        <v>0</v>
      </c>
      <c r="P133" s="205">
        <f t="shared" si="32"/>
        <v>0</v>
      </c>
      <c r="Q133" s="206">
        <v>68</v>
      </c>
      <c r="R133" s="267">
        <v>10.214939889908257</v>
      </c>
      <c r="S133" s="205">
        <f t="shared" si="33"/>
        <v>694.61591251376149</v>
      </c>
      <c r="T133" s="207">
        <f t="shared" si="31"/>
        <v>68</v>
      </c>
      <c r="U133" s="207">
        <v>0</v>
      </c>
      <c r="V133" s="205">
        <f t="shared" si="23"/>
        <v>0</v>
      </c>
      <c r="W133" s="123"/>
      <c r="Z133" s="347">
        <v>68</v>
      </c>
    </row>
    <row r="134" spans="1:26" s="216" customFormat="1" ht="23.1" hidden="1" customHeight="1" outlineLevel="2">
      <c r="A134" s="258">
        <v>1.2700000000000002</v>
      </c>
      <c r="B134" s="258" t="s">
        <v>164</v>
      </c>
      <c r="C134" s="258" t="s">
        <v>188</v>
      </c>
      <c r="D134" s="258" t="s">
        <v>166</v>
      </c>
      <c r="E134" s="207">
        <v>70</v>
      </c>
      <c r="F134" s="205">
        <v>12.159287779816513</v>
      </c>
      <c r="G134" s="205">
        <v>851.15014458715586</v>
      </c>
      <c r="H134" s="207">
        <v>70</v>
      </c>
      <c r="I134" s="345"/>
      <c r="J134" s="207">
        <v>0</v>
      </c>
      <c r="K134" s="207">
        <f t="shared" si="28"/>
        <v>0</v>
      </c>
      <c r="L134" s="267">
        <v>12.159287779816513</v>
      </c>
      <c r="M134" s="205">
        <f t="shared" si="22"/>
        <v>0</v>
      </c>
      <c r="N134" s="207">
        <f t="shared" si="29"/>
        <v>0</v>
      </c>
      <c r="O134" s="207">
        <f t="shared" si="30"/>
        <v>0</v>
      </c>
      <c r="P134" s="205">
        <f t="shared" si="32"/>
        <v>0</v>
      </c>
      <c r="Q134" s="206"/>
      <c r="R134" s="267">
        <v>12.159287779816513</v>
      </c>
      <c r="S134" s="205">
        <f t="shared" si="33"/>
        <v>0</v>
      </c>
      <c r="T134" s="207">
        <f t="shared" si="31"/>
        <v>0</v>
      </c>
      <c r="U134" s="207">
        <v>0</v>
      </c>
      <c r="V134" s="205">
        <f t="shared" si="23"/>
        <v>0</v>
      </c>
      <c r="W134" s="123"/>
      <c r="Z134" s="347"/>
    </row>
    <row r="135" spans="1:26" s="215" customFormat="1" ht="23.1" hidden="1" customHeight="1" outlineLevel="1" collapsed="1">
      <c r="A135" s="257">
        <v>2</v>
      </c>
      <c r="B135" s="342" t="s">
        <v>207</v>
      </c>
      <c r="C135" s="274"/>
      <c r="D135" s="315"/>
      <c r="E135" s="229"/>
      <c r="F135" s="222">
        <v>0</v>
      </c>
      <c r="G135" s="222">
        <v>0</v>
      </c>
      <c r="H135" s="229"/>
      <c r="I135" s="267"/>
      <c r="J135" s="229">
        <v>0</v>
      </c>
      <c r="K135" s="207">
        <f t="shared" si="28"/>
        <v>0</v>
      </c>
      <c r="L135" s="266"/>
      <c r="M135" s="222">
        <f>SUM(M136:M155)</f>
        <v>53080.355028976643</v>
      </c>
      <c r="N135" s="229"/>
      <c r="O135" s="229"/>
      <c r="P135" s="222">
        <f>SUM(P136:P155)</f>
        <v>35337.984149999997</v>
      </c>
      <c r="Q135" s="229"/>
      <c r="R135" s="266"/>
      <c r="S135" s="222">
        <f>SUM(S136:S155)</f>
        <v>202221.32532411543</v>
      </c>
      <c r="T135" s="229"/>
      <c r="U135" s="229"/>
      <c r="V135" s="222">
        <f>SUM(V136:V155)</f>
        <v>134004.79925000001</v>
      </c>
      <c r="W135" s="137"/>
      <c r="Z135" s="283"/>
    </row>
    <row r="136" spans="1:26" s="216" customFormat="1" ht="23.1" hidden="1" customHeight="1" outlineLevel="2">
      <c r="A136" s="339">
        <v>2.1</v>
      </c>
      <c r="B136" s="258" t="s">
        <v>106</v>
      </c>
      <c r="C136" s="258" t="s">
        <v>190</v>
      </c>
      <c r="D136" s="258" t="s">
        <v>103</v>
      </c>
      <c r="E136" s="207">
        <v>150.69</v>
      </c>
      <c r="F136" s="205">
        <v>92.389720954128435</v>
      </c>
      <c r="G136" s="205">
        <v>13922.207050577614</v>
      </c>
      <c r="H136" s="207">
        <v>150.69</v>
      </c>
      <c r="I136" s="267">
        <v>59.5</v>
      </c>
      <c r="J136" s="207">
        <v>8966.0550000000003</v>
      </c>
      <c r="K136" s="207">
        <f t="shared" si="28"/>
        <v>0</v>
      </c>
      <c r="L136" s="267">
        <v>92.389720954128435</v>
      </c>
      <c r="M136" s="205">
        <f t="shared" si="22"/>
        <v>0</v>
      </c>
      <c r="N136" s="207">
        <f>+K136</f>
        <v>0</v>
      </c>
      <c r="O136" s="207">
        <f>+U136</f>
        <v>59.5</v>
      </c>
      <c r="P136" s="205">
        <f t="shared" si="32"/>
        <v>0</v>
      </c>
      <c r="Q136" s="206">
        <v>417.22859999999997</v>
      </c>
      <c r="R136" s="267">
        <v>92.389720954128435</v>
      </c>
      <c r="S136" s="205">
        <f t="shared" si="33"/>
        <v>38547.633928081668</v>
      </c>
      <c r="T136" s="207">
        <f>+Q136</f>
        <v>417.22859999999997</v>
      </c>
      <c r="U136" s="207">
        <v>59.5</v>
      </c>
      <c r="V136" s="205">
        <f t="shared" si="23"/>
        <v>24825.101699999999</v>
      </c>
      <c r="W136" s="123"/>
      <c r="Z136" s="347">
        <v>417.22859999999997</v>
      </c>
    </row>
    <row r="137" spans="1:26" s="216" customFormat="1" ht="23.1" hidden="1" customHeight="1" outlineLevel="2">
      <c r="A137" s="339">
        <v>2.2000000000000002</v>
      </c>
      <c r="B137" s="258" t="s">
        <v>208</v>
      </c>
      <c r="C137" s="258" t="s">
        <v>209</v>
      </c>
      <c r="D137" s="258" t="s">
        <v>103</v>
      </c>
      <c r="E137" s="207">
        <v>188.57</v>
      </c>
      <c r="F137" s="205">
        <v>92.389720954128435</v>
      </c>
      <c r="G137" s="205">
        <v>17421.929680319998</v>
      </c>
      <c r="H137" s="207">
        <v>188.57</v>
      </c>
      <c r="I137" s="267">
        <v>59.5</v>
      </c>
      <c r="J137" s="207">
        <v>11219.914999999999</v>
      </c>
      <c r="K137" s="207">
        <f t="shared" si="28"/>
        <v>0</v>
      </c>
      <c r="L137" s="267">
        <v>92.389720954128435</v>
      </c>
      <c r="M137" s="205">
        <f t="shared" ref="M137:M200" si="34">+L137*K137</f>
        <v>0</v>
      </c>
      <c r="N137" s="207">
        <f t="shared" ref="N137:N155" si="35">+K137</f>
        <v>0</v>
      </c>
      <c r="O137" s="207">
        <f t="shared" ref="O137:O155" si="36">+U137</f>
        <v>59.5</v>
      </c>
      <c r="P137" s="205">
        <f t="shared" si="32"/>
        <v>0</v>
      </c>
      <c r="Q137" s="206">
        <v>440.79950000000002</v>
      </c>
      <c r="R137" s="267">
        <v>92.389720954128435</v>
      </c>
      <c r="S137" s="205">
        <f t="shared" si="33"/>
        <v>40725.342801719336</v>
      </c>
      <c r="T137" s="207">
        <f t="shared" ref="T137:T155" si="37">+Q137</f>
        <v>440.79950000000002</v>
      </c>
      <c r="U137" s="207">
        <v>59.5</v>
      </c>
      <c r="V137" s="205">
        <f t="shared" ref="V137:V200" si="38">+U137*T137</f>
        <v>26227.570250000001</v>
      </c>
      <c r="W137" s="123"/>
      <c r="Z137" s="347">
        <v>440.79950000000002</v>
      </c>
    </row>
    <row r="138" spans="1:26" s="216" customFormat="1" ht="23.1" hidden="1" customHeight="1" outlineLevel="2">
      <c r="A138" s="339">
        <v>2.3000000000000003</v>
      </c>
      <c r="B138" s="258" t="s">
        <v>210</v>
      </c>
      <c r="C138" s="258" t="s">
        <v>211</v>
      </c>
      <c r="D138" s="258" t="s">
        <v>103</v>
      </c>
      <c r="E138" s="207">
        <v>189.75</v>
      </c>
      <c r="F138" s="205">
        <v>92.389720954128435</v>
      </c>
      <c r="G138" s="205">
        <v>17530.949551045869</v>
      </c>
      <c r="H138" s="207">
        <v>189.75</v>
      </c>
      <c r="I138" s="267">
        <v>59.5</v>
      </c>
      <c r="J138" s="207">
        <v>11290.125</v>
      </c>
      <c r="K138" s="207">
        <f t="shared" si="28"/>
        <v>175.5686</v>
      </c>
      <c r="L138" s="267">
        <v>92.389720954128435</v>
      </c>
      <c r="M138" s="205">
        <f t="shared" si="34"/>
        <v>16220.733962306995</v>
      </c>
      <c r="N138" s="207">
        <f t="shared" si="35"/>
        <v>175.5686</v>
      </c>
      <c r="O138" s="207">
        <f t="shared" si="36"/>
        <v>59.5</v>
      </c>
      <c r="P138" s="205">
        <f t="shared" si="32"/>
        <v>10446.331700000001</v>
      </c>
      <c r="Q138" s="206">
        <v>439.39359999999999</v>
      </c>
      <c r="R138" s="267">
        <v>92.389720954128435</v>
      </c>
      <c r="S138" s="205">
        <f t="shared" si="33"/>
        <v>40595.452093029926</v>
      </c>
      <c r="T138" s="207">
        <f t="shared" si="37"/>
        <v>439.39359999999999</v>
      </c>
      <c r="U138" s="207">
        <v>59.5</v>
      </c>
      <c r="V138" s="205">
        <f t="shared" si="38"/>
        <v>26143.9192</v>
      </c>
      <c r="W138" s="123"/>
      <c r="Z138" s="347">
        <v>263.82499999999999</v>
      </c>
    </row>
    <row r="139" spans="1:26" s="216" customFormat="1" ht="23.1" hidden="1" customHeight="1" outlineLevel="2">
      <c r="A139" s="339">
        <v>2.4000000000000004</v>
      </c>
      <c r="B139" s="258" t="s">
        <v>212</v>
      </c>
      <c r="C139" s="258" t="s">
        <v>213</v>
      </c>
      <c r="D139" s="258" t="s">
        <v>103</v>
      </c>
      <c r="E139" s="207">
        <v>153.26</v>
      </c>
      <c r="F139" s="205">
        <v>92.389720954128435</v>
      </c>
      <c r="G139" s="205">
        <v>14159.648633429722</v>
      </c>
      <c r="H139" s="207">
        <v>153.26</v>
      </c>
      <c r="I139" s="267">
        <v>59.5</v>
      </c>
      <c r="J139" s="207">
        <v>9118.9699999999993</v>
      </c>
      <c r="K139" s="207">
        <f t="shared" si="28"/>
        <v>190.90289999999999</v>
      </c>
      <c r="L139" s="267">
        <v>92.389720954128435</v>
      </c>
      <c r="M139" s="205">
        <f t="shared" si="34"/>
        <v>17637.465660333884</v>
      </c>
      <c r="N139" s="207">
        <f t="shared" si="35"/>
        <v>190.90289999999999</v>
      </c>
      <c r="O139" s="207">
        <f t="shared" si="36"/>
        <v>59.5</v>
      </c>
      <c r="P139" s="205">
        <f t="shared" si="32"/>
        <v>11358.722549999999</v>
      </c>
      <c r="Q139" s="206">
        <v>190.90289999999999</v>
      </c>
      <c r="R139" s="267">
        <v>92.389720954128435</v>
      </c>
      <c r="S139" s="205">
        <f t="shared" si="33"/>
        <v>17637.465660333884</v>
      </c>
      <c r="T139" s="207">
        <f t="shared" si="37"/>
        <v>190.90289999999999</v>
      </c>
      <c r="U139" s="207">
        <v>59.5</v>
      </c>
      <c r="V139" s="205">
        <f t="shared" si="38"/>
        <v>11358.722549999999</v>
      </c>
      <c r="W139" s="123"/>
      <c r="Z139" s="347"/>
    </row>
    <row r="140" spans="1:26" s="216" customFormat="1" ht="23.1" hidden="1" customHeight="1" outlineLevel="2">
      <c r="A140" s="339">
        <v>2.5000000000000004</v>
      </c>
      <c r="B140" s="258" t="s">
        <v>108</v>
      </c>
      <c r="C140" s="258" t="s">
        <v>214</v>
      </c>
      <c r="D140" s="258" t="s">
        <v>103</v>
      </c>
      <c r="E140" s="207">
        <v>141.80000000000001</v>
      </c>
      <c r="F140" s="205">
        <v>92.389720954128435</v>
      </c>
      <c r="G140" s="205">
        <v>13100.862431295413</v>
      </c>
      <c r="H140" s="207">
        <v>141.80000000000001</v>
      </c>
      <c r="I140" s="267">
        <v>59.5</v>
      </c>
      <c r="J140" s="207">
        <v>8437.1</v>
      </c>
      <c r="K140" s="207">
        <f t="shared" si="28"/>
        <v>0</v>
      </c>
      <c r="L140" s="267">
        <v>92.389720954128435</v>
      </c>
      <c r="M140" s="205">
        <f t="shared" si="34"/>
        <v>0</v>
      </c>
      <c r="N140" s="207">
        <f t="shared" si="35"/>
        <v>0</v>
      </c>
      <c r="O140" s="207">
        <f t="shared" si="36"/>
        <v>59.5</v>
      </c>
      <c r="P140" s="205">
        <f t="shared" si="32"/>
        <v>0</v>
      </c>
      <c r="Q140" s="206"/>
      <c r="R140" s="267">
        <v>92.389720954128435</v>
      </c>
      <c r="S140" s="205">
        <f t="shared" si="33"/>
        <v>0</v>
      </c>
      <c r="T140" s="207">
        <f t="shared" si="37"/>
        <v>0</v>
      </c>
      <c r="U140" s="207">
        <v>59.5</v>
      </c>
      <c r="V140" s="205">
        <f t="shared" si="38"/>
        <v>0</v>
      </c>
      <c r="W140" s="123"/>
      <c r="Z140" s="347"/>
    </row>
    <row r="141" spans="1:26" s="216" customFormat="1" ht="23.1" hidden="1" customHeight="1" outlineLevel="2">
      <c r="A141" s="339">
        <v>2.6000000000000005</v>
      </c>
      <c r="B141" s="258" t="s">
        <v>215</v>
      </c>
      <c r="C141" s="258" t="s">
        <v>216</v>
      </c>
      <c r="D141" s="258" t="s">
        <v>103</v>
      </c>
      <c r="E141" s="207">
        <v>141.81</v>
      </c>
      <c r="F141" s="205">
        <v>92.389720954128435</v>
      </c>
      <c r="G141" s="205">
        <v>13101.786328504953</v>
      </c>
      <c r="H141" s="207">
        <v>141.81</v>
      </c>
      <c r="I141" s="267">
        <v>59.5</v>
      </c>
      <c r="J141" s="207">
        <v>8437.6949999999997</v>
      </c>
      <c r="K141" s="207">
        <f t="shared" ref="K141:K171" si="39">+Q141-Z141</f>
        <v>0</v>
      </c>
      <c r="L141" s="267">
        <v>92.389720954128435</v>
      </c>
      <c r="M141" s="205">
        <f t="shared" si="34"/>
        <v>0</v>
      </c>
      <c r="N141" s="207">
        <f t="shared" si="35"/>
        <v>0</v>
      </c>
      <c r="O141" s="207">
        <f t="shared" si="36"/>
        <v>59.5</v>
      </c>
      <c r="P141" s="205">
        <f t="shared" si="32"/>
        <v>0</v>
      </c>
      <c r="Q141" s="206"/>
      <c r="R141" s="267">
        <v>92.389720954128435</v>
      </c>
      <c r="S141" s="205">
        <f t="shared" si="33"/>
        <v>0</v>
      </c>
      <c r="T141" s="207">
        <f t="shared" si="37"/>
        <v>0</v>
      </c>
      <c r="U141" s="207">
        <v>59.5</v>
      </c>
      <c r="V141" s="205">
        <f t="shared" si="38"/>
        <v>0</v>
      </c>
      <c r="W141" s="123"/>
      <c r="Z141" s="347"/>
    </row>
    <row r="142" spans="1:26" s="216" customFormat="1" ht="23.1" hidden="1" customHeight="1" outlineLevel="2">
      <c r="A142" s="339">
        <v>2.7000000000000006</v>
      </c>
      <c r="B142" s="258" t="s">
        <v>217</v>
      </c>
      <c r="C142" s="258" t="s">
        <v>192</v>
      </c>
      <c r="D142" s="223" t="s">
        <v>103</v>
      </c>
      <c r="E142" s="207">
        <v>1621.18</v>
      </c>
      <c r="F142" s="205">
        <v>92.389720954128435</v>
      </c>
      <c r="G142" s="205">
        <v>149780.36781641396</v>
      </c>
      <c r="H142" s="207">
        <v>1621.18</v>
      </c>
      <c r="I142" s="267">
        <v>59.5</v>
      </c>
      <c r="J142" s="207">
        <v>96460.21</v>
      </c>
      <c r="K142" s="207">
        <f t="shared" si="39"/>
        <v>0</v>
      </c>
      <c r="L142" s="267">
        <v>92.389720954128435</v>
      </c>
      <c r="M142" s="205">
        <f t="shared" si="34"/>
        <v>0</v>
      </c>
      <c r="N142" s="207">
        <f t="shared" si="35"/>
        <v>0</v>
      </c>
      <c r="O142" s="207">
        <f t="shared" si="36"/>
        <v>59.5</v>
      </c>
      <c r="P142" s="205">
        <f t="shared" si="32"/>
        <v>0</v>
      </c>
      <c r="Q142" s="206"/>
      <c r="R142" s="267">
        <v>92.389720954128435</v>
      </c>
      <c r="S142" s="205">
        <f t="shared" si="33"/>
        <v>0</v>
      </c>
      <c r="T142" s="207">
        <f t="shared" si="37"/>
        <v>0</v>
      </c>
      <c r="U142" s="207">
        <v>59.5</v>
      </c>
      <c r="V142" s="205">
        <f t="shared" si="38"/>
        <v>0</v>
      </c>
      <c r="W142" s="123"/>
      <c r="Z142" s="347"/>
    </row>
    <row r="143" spans="1:26" s="216" customFormat="1" ht="23.1" hidden="1" customHeight="1" outlineLevel="2">
      <c r="A143" s="339">
        <v>2.8000000000000007</v>
      </c>
      <c r="B143" s="258" t="s">
        <v>191</v>
      </c>
      <c r="C143" s="331" t="s">
        <v>192</v>
      </c>
      <c r="D143" s="258" t="s">
        <v>103</v>
      </c>
      <c r="E143" s="207">
        <v>1481.24</v>
      </c>
      <c r="F143" s="205">
        <v>84.109644330275231</v>
      </c>
      <c r="G143" s="205">
        <v>124586.56956777688</v>
      </c>
      <c r="H143" s="207">
        <v>1481.24</v>
      </c>
      <c r="I143" s="267">
        <v>59.5</v>
      </c>
      <c r="J143" s="207">
        <v>88133.78</v>
      </c>
      <c r="K143" s="207">
        <f t="shared" si="39"/>
        <v>225.75459999999998</v>
      </c>
      <c r="L143" s="267">
        <v>84.109644330275231</v>
      </c>
      <c r="M143" s="205">
        <f t="shared" si="34"/>
        <v>18988.139111923552</v>
      </c>
      <c r="N143" s="207">
        <f t="shared" si="35"/>
        <v>225.75459999999998</v>
      </c>
      <c r="O143" s="207">
        <f t="shared" si="36"/>
        <v>59.5</v>
      </c>
      <c r="P143" s="205">
        <f t="shared" si="32"/>
        <v>13432.3987</v>
      </c>
      <c r="Q143" s="206">
        <v>755.2586</v>
      </c>
      <c r="R143" s="267">
        <v>84.109644330275231</v>
      </c>
      <c r="S143" s="205">
        <f t="shared" si="33"/>
        <v>63524.532223381611</v>
      </c>
      <c r="T143" s="207">
        <f t="shared" si="37"/>
        <v>755.2586</v>
      </c>
      <c r="U143" s="207">
        <v>59.5</v>
      </c>
      <c r="V143" s="205">
        <f t="shared" si="38"/>
        <v>44937.886700000003</v>
      </c>
      <c r="W143" s="123"/>
      <c r="Z143" s="347">
        <v>529.50400000000002</v>
      </c>
    </row>
    <row r="144" spans="1:26" s="216" customFormat="1" ht="23.1" hidden="1" customHeight="1" outlineLevel="2">
      <c r="A144" s="339">
        <v>2.9000000000000008</v>
      </c>
      <c r="B144" s="258" t="s">
        <v>218</v>
      </c>
      <c r="C144" s="331" t="s">
        <v>194</v>
      </c>
      <c r="D144" s="258" t="s">
        <v>103</v>
      </c>
      <c r="E144" s="207">
        <v>97.41</v>
      </c>
      <c r="F144" s="205">
        <v>84.109644330275231</v>
      </c>
      <c r="G144" s="205">
        <v>8193.1204542121104</v>
      </c>
      <c r="H144" s="207">
        <v>97.41</v>
      </c>
      <c r="I144" s="267">
        <v>59.5</v>
      </c>
      <c r="J144" s="207">
        <v>5795.8949999999995</v>
      </c>
      <c r="K144" s="207">
        <f t="shared" si="39"/>
        <v>0</v>
      </c>
      <c r="L144" s="267">
        <v>84.109644330275231</v>
      </c>
      <c r="M144" s="205">
        <f t="shared" si="34"/>
        <v>0</v>
      </c>
      <c r="N144" s="207">
        <f t="shared" si="35"/>
        <v>0</v>
      </c>
      <c r="O144" s="207">
        <f t="shared" si="36"/>
        <v>59.5</v>
      </c>
      <c r="P144" s="205">
        <f t="shared" si="32"/>
        <v>0</v>
      </c>
      <c r="Q144" s="206"/>
      <c r="R144" s="267">
        <v>84.109644330275231</v>
      </c>
      <c r="S144" s="205">
        <f t="shared" si="33"/>
        <v>0</v>
      </c>
      <c r="T144" s="207">
        <f t="shared" si="37"/>
        <v>0</v>
      </c>
      <c r="U144" s="207">
        <v>59.5</v>
      </c>
      <c r="V144" s="205">
        <f t="shared" si="38"/>
        <v>0</v>
      </c>
      <c r="W144" s="123"/>
      <c r="Z144" s="347"/>
    </row>
    <row r="145" spans="1:26" s="216" customFormat="1" ht="23.1" hidden="1" customHeight="1" outlineLevel="2">
      <c r="A145" s="340">
        <v>2.1</v>
      </c>
      <c r="B145" s="258" t="s">
        <v>219</v>
      </c>
      <c r="C145" s="331" t="s">
        <v>216</v>
      </c>
      <c r="D145" s="258" t="s">
        <v>103</v>
      </c>
      <c r="E145" s="207">
        <v>16.579999999999998</v>
      </c>
      <c r="F145" s="205">
        <v>138.50396212844038</v>
      </c>
      <c r="G145" s="205">
        <v>2296.3956920895412</v>
      </c>
      <c r="H145" s="207">
        <v>16.579999999999998</v>
      </c>
      <c r="I145" s="267">
        <v>59.5</v>
      </c>
      <c r="J145" s="207">
        <v>986.50999999999988</v>
      </c>
      <c r="K145" s="207">
        <f t="shared" si="39"/>
        <v>1.6896000000000004</v>
      </c>
      <c r="L145" s="267">
        <v>138.50396212844038</v>
      </c>
      <c r="M145" s="205">
        <f t="shared" si="34"/>
        <v>234.01629441221291</v>
      </c>
      <c r="N145" s="207">
        <f t="shared" si="35"/>
        <v>1.6896000000000004</v>
      </c>
      <c r="O145" s="207">
        <f t="shared" si="36"/>
        <v>59.5</v>
      </c>
      <c r="P145" s="205">
        <f t="shared" si="32"/>
        <v>100.53120000000003</v>
      </c>
      <c r="Q145" s="206">
        <v>8.5983000000000001</v>
      </c>
      <c r="R145" s="267">
        <v>138.50396212844038</v>
      </c>
      <c r="S145" s="205">
        <f t="shared" si="33"/>
        <v>1190.8986175689688</v>
      </c>
      <c r="T145" s="207">
        <f t="shared" si="37"/>
        <v>8.5983000000000001</v>
      </c>
      <c r="U145" s="207">
        <v>59.5</v>
      </c>
      <c r="V145" s="205">
        <f t="shared" si="38"/>
        <v>511.59885000000003</v>
      </c>
      <c r="W145" s="123"/>
      <c r="Z145" s="347">
        <v>6.9086999999999996</v>
      </c>
    </row>
    <row r="146" spans="1:26" s="216" customFormat="1" ht="23.1" hidden="1" customHeight="1" outlineLevel="2">
      <c r="A146" s="339">
        <v>2.11</v>
      </c>
      <c r="B146" s="258" t="s">
        <v>220</v>
      </c>
      <c r="C146" s="331" t="s">
        <v>221</v>
      </c>
      <c r="D146" s="258" t="s">
        <v>103</v>
      </c>
      <c r="E146" s="207">
        <v>1.2</v>
      </c>
      <c r="F146" s="205">
        <v>138.49447750458714</v>
      </c>
      <c r="G146" s="205">
        <v>166.19337300550455</v>
      </c>
      <c r="H146" s="207">
        <v>1.2</v>
      </c>
      <c r="I146" s="267">
        <v>59.5</v>
      </c>
      <c r="J146" s="207">
        <v>71.399999999999991</v>
      </c>
      <c r="K146" s="207">
        <f t="shared" si="39"/>
        <v>0</v>
      </c>
      <c r="L146" s="267">
        <v>138.49447750458714</v>
      </c>
      <c r="M146" s="205">
        <f t="shared" si="34"/>
        <v>0</v>
      </c>
      <c r="N146" s="207">
        <f t="shared" si="35"/>
        <v>0</v>
      </c>
      <c r="O146" s="207">
        <f t="shared" si="36"/>
        <v>59.5</v>
      </c>
      <c r="P146" s="205">
        <f t="shared" si="32"/>
        <v>0</v>
      </c>
      <c r="Q146" s="206"/>
      <c r="R146" s="267">
        <v>138.49447750458714</v>
      </c>
      <c r="S146" s="205">
        <f t="shared" si="33"/>
        <v>0</v>
      </c>
      <c r="T146" s="207">
        <f t="shared" si="37"/>
        <v>0</v>
      </c>
      <c r="U146" s="207">
        <v>59.5</v>
      </c>
      <c r="V146" s="205">
        <f t="shared" si="38"/>
        <v>0</v>
      </c>
      <c r="W146" s="123"/>
      <c r="Z146" s="347"/>
    </row>
    <row r="147" spans="1:26" s="216" customFormat="1" ht="23.1" hidden="1" customHeight="1" outlineLevel="2">
      <c r="A147" s="340">
        <v>2.1199999999999997</v>
      </c>
      <c r="B147" s="258" t="s">
        <v>195</v>
      </c>
      <c r="C147" s="331" t="s">
        <v>192</v>
      </c>
      <c r="D147" s="258" t="s">
        <v>103</v>
      </c>
      <c r="E147" s="207">
        <v>6.35</v>
      </c>
      <c r="F147" s="205">
        <v>128.21314524770642</v>
      </c>
      <c r="G147" s="205">
        <v>814.15347232293573</v>
      </c>
      <c r="H147" s="207">
        <v>6.35</v>
      </c>
      <c r="I147" s="267">
        <v>59.5</v>
      </c>
      <c r="J147" s="207">
        <v>377.82499999999999</v>
      </c>
      <c r="K147" s="207">
        <f t="shared" si="39"/>
        <v>0</v>
      </c>
      <c r="L147" s="267">
        <v>128.21314524770642</v>
      </c>
      <c r="M147" s="205">
        <f t="shared" si="34"/>
        <v>0</v>
      </c>
      <c r="N147" s="207">
        <f t="shared" si="35"/>
        <v>0</v>
      </c>
      <c r="O147" s="207">
        <f t="shared" si="36"/>
        <v>59.5</v>
      </c>
      <c r="P147" s="205">
        <f t="shared" si="32"/>
        <v>0</v>
      </c>
      <c r="Q147" s="206"/>
      <c r="R147" s="267">
        <v>128.21314524770642</v>
      </c>
      <c r="S147" s="205">
        <f t="shared" si="33"/>
        <v>0</v>
      </c>
      <c r="T147" s="207">
        <f t="shared" si="37"/>
        <v>0</v>
      </c>
      <c r="U147" s="207">
        <v>59.5</v>
      </c>
      <c r="V147" s="205">
        <f t="shared" si="38"/>
        <v>0</v>
      </c>
      <c r="W147" s="123"/>
      <c r="Z147" s="347"/>
    </row>
    <row r="148" spans="1:26" s="216" customFormat="1" ht="23.1" hidden="1" customHeight="1" outlineLevel="2">
      <c r="A148" s="339">
        <v>2.1299999999999994</v>
      </c>
      <c r="B148" s="258" t="s">
        <v>132</v>
      </c>
      <c r="C148" s="331" t="s">
        <v>196</v>
      </c>
      <c r="D148" s="258" t="s">
        <v>103</v>
      </c>
      <c r="E148" s="207">
        <v>226.65</v>
      </c>
      <c r="F148" s="205">
        <v>231.99389944954129</v>
      </c>
      <c r="G148" s="205">
        <v>52581.417310238532</v>
      </c>
      <c r="H148" s="207">
        <v>226.65</v>
      </c>
      <c r="I148" s="267">
        <v>59.5</v>
      </c>
      <c r="J148" s="207">
        <v>13485.675000000001</v>
      </c>
      <c r="K148" s="207">
        <f t="shared" si="39"/>
        <v>0</v>
      </c>
      <c r="L148" s="267">
        <v>231.99389944954129</v>
      </c>
      <c r="M148" s="205">
        <f t="shared" si="34"/>
        <v>0</v>
      </c>
      <c r="N148" s="207">
        <f t="shared" si="35"/>
        <v>0</v>
      </c>
      <c r="O148" s="207">
        <f t="shared" si="36"/>
        <v>59.5</v>
      </c>
      <c r="P148" s="205">
        <f t="shared" si="32"/>
        <v>0</v>
      </c>
      <c r="Q148" s="206"/>
      <c r="R148" s="267">
        <v>231.99389944954129</v>
      </c>
      <c r="S148" s="205">
        <f t="shared" si="33"/>
        <v>0</v>
      </c>
      <c r="T148" s="207">
        <f t="shared" si="37"/>
        <v>0</v>
      </c>
      <c r="U148" s="207">
        <v>59.5</v>
      </c>
      <c r="V148" s="205">
        <f t="shared" si="38"/>
        <v>0</v>
      </c>
      <c r="W148" s="123"/>
      <c r="Z148" s="347"/>
    </row>
    <row r="149" spans="1:26" s="216" customFormat="1" ht="23.1" hidden="1" customHeight="1" outlineLevel="2">
      <c r="A149" s="340">
        <v>2.1399999999999992</v>
      </c>
      <c r="B149" s="258" t="s">
        <v>134</v>
      </c>
      <c r="C149" s="331" t="s">
        <v>196</v>
      </c>
      <c r="D149" s="258" t="s">
        <v>103</v>
      </c>
      <c r="E149" s="207">
        <v>2.34</v>
      </c>
      <c r="F149" s="205">
        <v>228.72170422018348</v>
      </c>
      <c r="G149" s="205">
        <v>535.20878787522929</v>
      </c>
      <c r="H149" s="207">
        <v>2.34</v>
      </c>
      <c r="I149" s="267">
        <v>59.5</v>
      </c>
      <c r="J149" s="207">
        <v>139.22999999999999</v>
      </c>
      <c r="K149" s="207">
        <f t="shared" si="39"/>
        <v>0</v>
      </c>
      <c r="L149" s="267">
        <v>228.72170422018348</v>
      </c>
      <c r="M149" s="205">
        <f t="shared" si="34"/>
        <v>0</v>
      </c>
      <c r="N149" s="207">
        <f t="shared" si="35"/>
        <v>0</v>
      </c>
      <c r="O149" s="207">
        <f t="shared" si="36"/>
        <v>59.5</v>
      </c>
      <c r="P149" s="205">
        <f t="shared" ref="P149:P175" si="40">+O149*N149</f>
        <v>0</v>
      </c>
      <c r="Q149" s="206"/>
      <c r="R149" s="267">
        <v>228.72170422018348</v>
      </c>
      <c r="S149" s="205">
        <f t="shared" si="33"/>
        <v>0</v>
      </c>
      <c r="T149" s="207">
        <f t="shared" si="37"/>
        <v>0</v>
      </c>
      <c r="U149" s="207">
        <v>59.5</v>
      </c>
      <c r="V149" s="205">
        <f t="shared" si="38"/>
        <v>0</v>
      </c>
      <c r="W149" s="123"/>
      <c r="Z149" s="347"/>
    </row>
    <row r="150" spans="1:26" s="216" customFormat="1" ht="23.1" hidden="1" customHeight="1" outlineLevel="2">
      <c r="A150" s="339">
        <v>2.149999999999999</v>
      </c>
      <c r="B150" s="258" t="s">
        <v>135</v>
      </c>
      <c r="C150" s="331" t="s">
        <v>197</v>
      </c>
      <c r="D150" s="258" t="s">
        <v>103</v>
      </c>
      <c r="E150" s="207">
        <v>111.51</v>
      </c>
      <c r="F150" s="205">
        <v>181.50724667889907</v>
      </c>
      <c r="G150" s="205">
        <v>20239.873077164037</v>
      </c>
      <c r="H150" s="207">
        <v>111.51</v>
      </c>
      <c r="I150" s="267">
        <v>59.5</v>
      </c>
      <c r="J150" s="207">
        <v>6634.8450000000003</v>
      </c>
      <c r="K150" s="207">
        <f t="shared" si="39"/>
        <v>0</v>
      </c>
      <c r="L150" s="267">
        <v>181.50724667889907</v>
      </c>
      <c r="M150" s="205">
        <f t="shared" si="34"/>
        <v>0</v>
      </c>
      <c r="N150" s="207">
        <f t="shared" si="35"/>
        <v>0</v>
      </c>
      <c r="O150" s="207">
        <f t="shared" si="36"/>
        <v>59.5</v>
      </c>
      <c r="P150" s="205">
        <f t="shared" si="40"/>
        <v>0</v>
      </c>
      <c r="Q150" s="206"/>
      <c r="R150" s="267">
        <v>181.50724667889907</v>
      </c>
      <c r="S150" s="205">
        <f t="shared" si="33"/>
        <v>0</v>
      </c>
      <c r="T150" s="207">
        <f t="shared" si="37"/>
        <v>0</v>
      </c>
      <c r="U150" s="207">
        <v>59.5</v>
      </c>
      <c r="V150" s="205">
        <f t="shared" si="38"/>
        <v>0</v>
      </c>
      <c r="W150" s="123"/>
      <c r="Z150" s="347"/>
    </row>
    <row r="151" spans="1:26" s="216" customFormat="1" ht="23.1" hidden="1" customHeight="1" outlineLevel="2">
      <c r="A151" s="340">
        <v>2.1599999999999988</v>
      </c>
      <c r="B151" s="258" t="s">
        <v>137</v>
      </c>
      <c r="C151" s="331" t="s">
        <v>196</v>
      </c>
      <c r="D151" s="258" t="s">
        <v>103</v>
      </c>
      <c r="E151" s="207">
        <v>0.5</v>
      </c>
      <c r="F151" s="205">
        <v>181.49776205504588</v>
      </c>
      <c r="G151" s="205">
        <v>90.748881027522941</v>
      </c>
      <c r="H151" s="207">
        <v>0.5</v>
      </c>
      <c r="I151" s="267">
        <v>59.5</v>
      </c>
      <c r="J151" s="207">
        <v>29.75</v>
      </c>
      <c r="K151" s="207">
        <f t="shared" si="39"/>
        <v>0</v>
      </c>
      <c r="L151" s="267">
        <v>181.49776205504588</v>
      </c>
      <c r="M151" s="205">
        <f t="shared" si="34"/>
        <v>0</v>
      </c>
      <c r="N151" s="207">
        <f t="shared" si="35"/>
        <v>0</v>
      </c>
      <c r="O151" s="207">
        <f t="shared" si="36"/>
        <v>59.5</v>
      </c>
      <c r="P151" s="205">
        <f t="shared" si="40"/>
        <v>0</v>
      </c>
      <c r="Q151" s="206"/>
      <c r="R151" s="267">
        <v>181.49776205504588</v>
      </c>
      <c r="S151" s="205">
        <f t="shared" si="33"/>
        <v>0</v>
      </c>
      <c r="T151" s="207">
        <f t="shared" si="37"/>
        <v>0</v>
      </c>
      <c r="U151" s="207">
        <v>59.5</v>
      </c>
      <c r="V151" s="205">
        <f t="shared" si="38"/>
        <v>0</v>
      </c>
      <c r="W151" s="123"/>
      <c r="Z151" s="347"/>
    </row>
    <row r="152" spans="1:26" s="216" customFormat="1" ht="23.1" hidden="1" customHeight="1" outlineLevel="2">
      <c r="A152" s="339">
        <v>2.1699999999999986</v>
      </c>
      <c r="B152" s="258" t="s">
        <v>198</v>
      </c>
      <c r="C152" s="331" t="s">
        <v>199</v>
      </c>
      <c r="D152" s="258" t="s">
        <v>103</v>
      </c>
      <c r="E152" s="207">
        <v>0.6</v>
      </c>
      <c r="F152" s="205">
        <v>172.25025379816515</v>
      </c>
      <c r="G152" s="205">
        <v>103.35015227889909</v>
      </c>
      <c r="H152" s="207">
        <v>0.6</v>
      </c>
      <c r="I152" s="267">
        <v>59.5</v>
      </c>
      <c r="J152" s="207">
        <v>35.699999999999996</v>
      </c>
      <c r="K152" s="207">
        <f t="shared" si="39"/>
        <v>0</v>
      </c>
      <c r="L152" s="267">
        <v>172.25025379816515</v>
      </c>
      <c r="M152" s="205">
        <f t="shared" si="34"/>
        <v>0</v>
      </c>
      <c r="N152" s="207">
        <f t="shared" si="35"/>
        <v>0</v>
      </c>
      <c r="O152" s="207">
        <f t="shared" si="36"/>
        <v>59.5</v>
      </c>
      <c r="P152" s="205">
        <f t="shared" si="40"/>
        <v>0</v>
      </c>
      <c r="Q152" s="206"/>
      <c r="R152" s="267">
        <v>172.25025379816515</v>
      </c>
      <c r="S152" s="205">
        <f t="shared" si="33"/>
        <v>0</v>
      </c>
      <c r="T152" s="207">
        <f t="shared" si="37"/>
        <v>0</v>
      </c>
      <c r="U152" s="207">
        <v>59.5</v>
      </c>
      <c r="V152" s="205">
        <f t="shared" si="38"/>
        <v>0</v>
      </c>
      <c r="W152" s="123"/>
      <c r="Z152" s="347"/>
    </row>
    <row r="153" spans="1:26" s="216" customFormat="1" ht="23.1" hidden="1" customHeight="1" outlineLevel="2">
      <c r="A153" s="340">
        <v>2.1799999999999984</v>
      </c>
      <c r="B153" s="258" t="s">
        <v>200</v>
      </c>
      <c r="C153" s="331" t="s">
        <v>199</v>
      </c>
      <c r="D153" s="258" t="s">
        <v>103</v>
      </c>
      <c r="E153" s="207">
        <v>45.98</v>
      </c>
      <c r="F153" s="205">
        <v>207.39078517431193</v>
      </c>
      <c r="G153" s="205">
        <v>9535.8283023148615</v>
      </c>
      <c r="H153" s="207">
        <v>45.98</v>
      </c>
      <c r="I153" s="267">
        <v>59.5</v>
      </c>
      <c r="J153" s="207">
        <v>2735.81</v>
      </c>
      <c r="K153" s="207">
        <f t="shared" si="39"/>
        <v>0</v>
      </c>
      <c r="L153" s="267">
        <v>207.39078517431193</v>
      </c>
      <c r="M153" s="205">
        <f t="shared" si="34"/>
        <v>0</v>
      </c>
      <c r="N153" s="207">
        <f t="shared" si="35"/>
        <v>0</v>
      </c>
      <c r="O153" s="207">
        <f t="shared" si="36"/>
        <v>59.5</v>
      </c>
      <c r="P153" s="205">
        <f t="shared" si="40"/>
        <v>0</v>
      </c>
      <c r="Q153" s="206"/>
      <c r="R153" s="267">
        <v>207.39078517431193</v>
      </c>
      <c r="S153" s="205">
        <f t="shared" si="33"/>
        <v>0</v>
      </c>
      <c r="T153" s="207">
        <f t="shared" si="37"/>
        <v>0</v>
      </c>
      <c r="U153" s="207">
        <v>59.5</v>
      </c>
      <c r="V153" s="205">
        <f t="shared" si="38"/>
        <v>0</v>
      </c>
      <c r="W153" s="123"/>
      <c r="Z153" s="347"/>
    </row>
    <row r="154" spans="1:26" s="216" customFormat="1" ht="23.1" hidden="1" customHeight="1" outlineLevel="2">
      <c r="A154" s="339">
        <v>2.1899999999999982</v>
      </c>
      <c r="B154" s="258" t="s">
        <v>201</v>
      </c>
      <c r="C154" s="331" t="s">
        <v>199</v>
      </c>
      <c r="D154" s="258" t="s">
        <v>103</v>
      </c>
      <c r="E154" s="207">
        <v>9.89</v>
      </c>
      <c r="F154" s="205">
        <v>193.35354187155963</v>
      </c>
      <c r="G154" s="205">
        <v>1912.2665291097248</v>
      </c>
      <c r="H154" s="207">
        <v>9.89</v>
      </c>
      <c r="I154" s="267">
        <v>59.5</v>
      </c>
      <c r="J154" s="207">
        <v>588.45500000000004</v>
      </c>
      <c r="K154" s="207">
        <f t="shared" si="39"/>
        <v>0</v>
      </c>
      <c r="L154" s="267">
        <v>193.35354187155963</v>
      </c>
      <c r="M154" s="205">
        <f t="shared" si="34"/>
        <v>0</v>
      </c>
      <c r="N154" s="207">
        <f t="shared" si="35"/>
        <v>0</v>
      </c>
      <c r="O154" s="207">
        <f t="shared" si="36"/>
        <v>59.5</v>
      </c>
      <c r="P154" s="205">
        <f t="shared" si="40"/>
        <v>0</v>
      </c>
      <c r="Q154" s="206"/>
      <c r="R154" s="267">
        <v>193.35354187155963</v>
      </c>
      <c r="S154" s="205">
        <f t="shared" si="33"/>
        <v>0</v>
      </c>
      <c r="T154" s="207">
        <f t="shared" si="37"/>
        <v>0</v>
      </c>
      <c r="U154" s="207">
        <v>59.5</v>
      </c>
      <c r="V154" s="205">
        <f t="shared" si="38"/>
        <v>0</v>
      </c>
      <c r="W154" s="123"/>
      <c r="Z154" s="347"/>
    </row>
    <row r="155" spans="1:26" s="216" customFormat="1" ht="23.1" hidden="1" customHeight="1" outlineLevel="2">
      <c r="A155" s="340">
        <v>2.199999999999998</v>
      </c>
      <c r="B155" s="258" t="s">
        <v>202</v>
      </c>
      <c r="C155" s="331" t="s">
        <v>199</v>
      </c>
      <c r="D155" s="258" t="s">
        <v>103</v>
      </c>
      <c r="E155" s="207">
        <v>19.809999999999999</v>
      </c>
      <c r="F155" s="205">
        <v>206.3190226788991</v>
      </c>
      <c r="G155" s="205">
        <v>4087.1798392689911</v>
      </c>
      <c r="H155" s="207">
        <v>19.809999999999999</v>
      </c>
      <c r="I155" s="267">
        <v>59.5</v>
      </c>
      <c r="J155" s="207">
        <v>1178.6949999999999</v>
      </c>
      <c r="K155" s="207">
        <f t="shared" si="39"/>
        <v>0</v>
      </c>
      <c r="L155" s="267">
        <v>206.3190226788991</v>
      </c>
      <c r="M155" s="205">
        <f t="shared" si="34"/>
        <v>0</v>
      </c>
      <c r="N155" s="207">
        <f t="shared" si="35"/>
        <v>0</v>
      </c>
      <c r="O155" s="207">
        <f t="shared" si="36"/>
        <v>59.5</v>
      </c>
      <c r="P155" s="205">
        <f t="shared" si="40"/>
        <v>0</v>
      </c>
      <c r="Q155" s="206"/>
      <c r="R155" s="267">
        <v>206.3190226788991</v>
      </c>
      <c r="S155" s="205">
        <f t="shared" si="33"/>
        <v>0</v>
      </c>
      <c r="T155" s="207">
        <f t="shared" si="37"/>
        <v>0</v>
      </c>
      <c r="U155" s="207">
        <v>59.5</v>
      </c>
      <c r="V155" s="205">
        <f t="shared" si="38"/>
        <v>0</v>
      </c>
      <c r="W155" s="123"/>
      <c r="Z155" s="347"/>
    </row>
    <row r="156" spans="1:26" s="215" customFormat="1" ht="23.1" hidden="1" customHeight="1" outlineLevel="1" collapsed="1">
      <c r="A156" s="257">
        <v>3</v>
      </c>
      <c r="B156" s="342" t="s">
        <v>222</v>
      </c>
      <c r="C156" s="274"/>
      <c r="D156" s="315"/>
      <c r="E156" s="229"/>
      <c r="F156" s="222">
        <v>0</v>
      </c>
      <c r="G156" s="222">
        <v>0</v>
      </c>
      <c r="H156" s="229"/>
      <c r="I156" s="267"/>
      <c r="J156" s="229">
        <v>0</v>
      </c>
      <c r="K156" s="207">
        <f t="shared" si="39"/>
        <v>0</v>
      </c>
      <c r="L156" s="266"/>
      <c r="M156" s="222">
        <f>SUM(M157:M171)</f>
        <v>0</v>
      </c>
      <c r="N156" s="229"/>
      <c r="O156" s="229"/>
      <c r="P156" s="222">
        <f>SUM(P157:P171)</f>
        <v>0</v>
      </c>
      <c r="Q156" s="229"/>
      <c r="R156" s="266"/>
      <c r="S156" s="222">
        <f>SUM(S157:S171)</f>
        <v>0</v>
      </c>
      <c r="T156" s="229"/>
      <c r="U156" s="229"/>
      <c r="V156" s="222">
        <f>SUM(V157:V171)</f>
        <v>0</v>
      </c>
      <c r="W156" s="137"/>
      <c r="Z156" s="283"/>
    </row>
    <row r="157" spans="1:26" s="216" customFormat="1" ht="23.1" hidden="1" customHeight="1" outlineLevel="2">
      <c r="A157" s="223">
        <v>3.1</v>
      </c>
      <c r="B157" s="258" t="s">
        <v>217</v>
      </c>
      <c r="C157" s="331" t="s">
        <v>223</v>
      </c>
      <c r="D157" s="258" t="s">
        <v>103</v>
      </c>
      <c r="E157" s="207">
        <v>278.29000000000002</v>
      </c>
      <c r="F157" s="205">
        <v>94.324584220183482</v>
      </c>
      <c r="G157" s="205">
        <v>26249.588542634861</v>
      </c>
      <c r="H157" s="207">
        <v>278.29000000000002</v>
      </c>
      <c r="I157" s="267">
        <v>59.5</v>
      </c>
      <c r="J157" s="207">
        <v>16558.255000000001</v>
      </c>
      <c r="K157" s="207">
        <f t="shared" si="39"/>
        <v>0</v>
      </c>
      <c r="L157" s="267">
        <v>94.324584220183482</v>
      </c>
      <c r="M157" s="205">
        <f t="shared" si="34"/>
        <v>0</v>
      </c>
      <c r="N157" s="207">
        <f>+K157</f>
        <v>0</v>
      </c>
      <c r="O157" s="207">
        <f>+U157</f>
        <v>59.5</v>
      </c>
      <c r="P157" s="205">
        <f t="shared" si="40"/>
        <v>0</v>
      </c>
      <c r="Q157" s="206"/>
      <c r="R157" s="267">
        <v>94.324584220183482</v>
      </c>
      <c r="S157" s="205">
        <f t="shared" si="33"/>
        <v>0</v>
      </c>
      <c r="T157" s="207">
        <f>+Q157</f>
        <v>0</v>
      </c>
      <c r="U157" s="207">
        <v>59.5</v>
      </c>
      <c r="V157" s="205">
        <f t="shared" si="38"/>
        <v>0</v>
      </c>
      <c r="W157" s="123"/>
      <c r="Z157" s="347"/>
    </row>
    <row r="158" spans="1:26" s="216" customFormat="1" ht="23.1" hidden="1" customHeight="1" outlineLevel="2">
      <c r="A158" s="223">
        <v>3.2</v>
      </c>
      <c r="B158" s="258" t="s">
        <v>191</v>
      </c>
      <c r="C158" s="331" t="s">
        <v>224</v>
      </c>
      <c r="D158" s="258" t="s">
        <v>103</v>
      </c>
      <c r="E158" s="207">
        <v>177.4</v>
      </c>
      <c r="F158" s="205">
        <v>86.035022972477051</v>
      </c>
      <c r="G158" s="205">
        <v>15262.613075317429</v>
      </c>
      <c r="H158" s="207">
        <v>177.4</v>
      </c>
      <c r="I158" s="267">
        <v>59.5</v>
      </c>
      <c r="J158" s="207">
        <v>10555.3</v>
      </c>
      <c r="K158" s="207">
        <f t="shared" si="39"/>
        <v>0</v>
      </c>
      <c r="L158" s="267">
        <v>86.035022972477051</v>
      </c>
      <c r="M158" s="205">
        <f t="shared" si="34"/>
        <v>0</v>
      </c>
      <c r="N158" s="207">
        <f t="shared" ref="N158:N171" si="41">+K158</f>
        <v>0</v>
      </c>
      <c r="O158" s="207">
        <f t="shared" ref="O158:O171" si="42">+U158</f>
        <v>59.5</v>
      </c>
      <c r="P158" s="205">
        <f t="shared" si="40"/>
        <v>0</v>
      </c>
      <c r="Q158" s="206"/>
      <c r="R158" s="267">
        <v>86.035022972477051</v>
      </c>
      <c r="S158" s="205">
        <f t="shared" si="33"/>
        <v>0</v>
      </c>
      <c r="T158" s="207">
        <f t="shared" ref="T158:T171" si="43">+Q158</f>
        <v>0</v>
      </c>
      <c r="U158" s="207">
        <v>59.5</v>
      </c>
      <c r="V158" s="205">
        <f t="shared" si="38"/>
        <v>0</v>
      </c>
      <c r="W158" s="123"/>
      <c r="Z158" s="347"/>
    </row>
    <row r="159" spans="1:26" s="216" customFormat="1" ht="23.1" hidden="1" customHeight="1" outlineLevel="2">
      <c r="A159" s="223">
        <v>3.3</v>
      </c>
      <c r="B159" s="258" t="s">
        <v>218</v>
      </c>
      <c r="C159" s="331" t="s">
        <v>225</v>
      </c>
      <c r="D159" s="258" t="s">
        <v>103</v>
      </c>
      <c r="E159" s="207">
        <v>16.989999999999998</v>
      </c>
      <c r="F159" s="205">
        <v>86.035022972477051</v>
      </c>
      <c r="G159" s="205">
        <v>1461.735040302385</v>
      </c>
      <c r="H159" s="207">
        <v>16.989999999999998</v>
      </c>
      <c r="I159" s="267">
        <v>59.5</v>
      </c>
      <c r="J159" s="207">
        <v>1010.9049999999999</v>
      </c>
      <c r="K159" s="207">
        <f t="shared" si="39"/>
        <v>0</v>
      </c>
      <c r="L159" s="267">
        <v>86.035022972477051</v>
      </c>
      <c r="M159" s="205">
        <f t="shared" si="34"/>
        <v>0</v>
      </c>
      <c r="N159" s="207">
        <f t="shared" si="41"/>
        <v>0</v>
      </c>
      <c r="O159" s="207">
        <f t="shared" si="42"/>
        <v>59.5</v>
      </c>
      <c r="P159" s="205">
        <f t="shared" si="40"/>
        <v>0</v>
      </c>
      <c r="Q159" s="206"/>
      <c r="R159" s="267">
        <v>86.035022972477051</v>
      </c>
      <c r="S159" s="205">
        <f t="shared" si="33"/>
        <v>0</v>
      </c>
      <c r="T159" s="207">
        <f t="shared" si="43"/>
        <v>0</v>
      </c>
      <c r="U159" s="207">
        <v>59.5</v>
      </c>
      <c r="V159" s="205">
        <f t="shared" si="38"/>
        <v>0</v>
      </c>
      <c r="W159" s="123"/>
      <c r="Z159" s="347"/>
    </row>
    <row r="160" spans="1:26" s="216" customFormat="1" ht="23.1" hidden="1" customHeight="1" outlineLevel="2">
      <c r="A160" s="223">
        <v>3.4000000000000004</v>
      </c>
      <c r="B160" s="258" t="s">
        <v>219</v>
      </c>
      <c r="C160" s="331" t="s">
        <v>226</v>
      </c>
      <c r="D160" s="258" t="s">
        <v>103</v>
      </c>
      <c r="E160" s="207">
        <v>1.6</v>
      </c>
      <c r="F160" s="205">
        <v>140.4293407706422</v>
      </c>
      <c r="G160" s="205">
        <v>224.68694523302753</v>
      </c>
      <c r="H160" s="207">
        <v>1.6</v>
      </c>
      <c r="I160" s="267">
        <v>59.5</v>
      </c>
      <c r="J160" s="207">
        <v>95.2</v>
      </c>
      <c r="K160" s="207">
        <f t="shared" si="39"/>
        <v>0</v>
      </c>
      <c r="L160" s="267">
        <v>140.4293407706422</v>
      </c>
      <c r="M160" s="205">
        <f t="shared" si="34"/>
        <v>0</v>
      </c>
      <c r="N160" s="207">
        <f t="shared" si="41"/>
        <v>0</v>
      </c>
      <c r="O160" s="207">
        <f t="shared" si="42"/>
        <v>59.5</v>
      </c>
      <c r="P160" s="205">
        <f t="shared" si="40"/>
        <v>0</v>
      </c>
      <c r="Q160" s="206"/>
      <c r="R160" s="267">
        <v>140.4293407706422</v>
      </c>
      <c r="S160" s="205">
        <f t="shared" si="33"/>
        <v>0</v>
      </c>
      <c r="T160" s="207">
        <f t="shared" si="43"/>
        <v>0</v>
      </c>
      <c r="U160" s="207">
        <v>59.5</v>
      </c>
      <c r="V160" s="205">
        <f t="shared" si="38"/>
        <v>0</v>
      </c>
      <c r="W160" s="123"/>
      <c r="Z160" s="347"/>
    </row>
    <row r="161" spans="1:26" s="216" customFormat="1" ht="23.1" hidden="1" customHeight="1" outlineLevel="2">
      <c r="A161" s="223">
        <v>3.5000000000000004</v>
      </c>
      <c r="B161" s="258" t="s">
        <v>220</v>
      </c>
      <c r="C161" s="331" t="s">
        <v>227</v>
      </c>
      <c r="D161" s="258" t="s">
        <v>103</v>
      </c>
      <c r="E161" s="207">
        <v>0.66</v>
      </c>
      <c r="F161" s="205">
        <v>140.4293407706422</v>
      </c>
      <c r="G161" s="205">
        <v>92.683364908623858</v>
      </c>
      <c r="H161" s="207">
        <v>0.66</v>
      </c>
      <c r="I161" s="267">
        <v>59.5</v>
      </c>
      <c r="J161" s="207">
        <v>39.270000000000003</v>
      </c>
      <c r="K161" s="207">
        <f t="shared" si="39"/>
        <v>0</v>
      </c>
      <c r="L161" s="267">
        <v>140.4293407706422</v>
      </c>
      <c r="M161" s="205">
        <f t="shared" si="34"/>
        <v>0</v>
      </c>
      <c r="N161" s="207">
        <f t="shared" si="41"/>
        <v>0</v>
      </c>
      <c r="O161" s="207">
        <f t="shared" si="42"/>
        <v>59.5</v>
      </c>
      <c r="P161" s="205">
        <f t="shared" si="40"/>
        <v>0</v>
      </c>
      <c r="Q161" s="206"/>
      <c r="R161" s="267">
        <v>140.4293407706422</v>
      </c>
      <c r="S161" s="205">
        <f t="shared" si="33"/>
        <v>0</v>
      </c>
      <c r="T161" s="207">
        <f t="shared" si="43"/>
        <v>0</v>
      </c>
      <c r="U161" s="207">
        <v>59.5</v>
      </c>
      <c r="V161" s="205">
        <f t="shared" si="38"/>
        <v>0</v>
      </c>
      <c r="W161" s="123"/>
      <c r="Z161" s="347"/>
    </row>
    <row r="162" spans="1:26" s="216" customFormat="1" ht="23.1" hidden="1" customHeight="1" outlineLevel="2">
      <c r="A162" s="223">
        <v>3.6000000000000005</v>
      </c>
      <c r="B162" s="258" t="s">
        <v>228</v>
      </c>
      <c r="C162" s="331" t="s">
        <v>223</v>
      </c>
      <c r="D162" s="258" t="s">
        <v>103</v>
      </c>
      <c r="E162" s="207">
        <v>3.37</v>
      </c>
      <c r="F162" s="205">
        <v>130.13852388990827</v>
      </c>
      <c r="G162" s="205">
        <v>438.56682550899086</v>
      </c>
      <c r="H162" s="207">
        <v>3.37</v>
      </c>
      <c r="I162" s="267">
        <v>59.5</v>
      </c>
      <c r="J162" s="207">
        <v>200.51499999999999</v>
      </c>
      <c r="K162" s="207">
        <f t="shared" si="39"/>
        <v>0</v>
      </c>
      <c r="L162" s="267">
        <v>130.13852388990827</v>
      </c>
      <c r="M162" s="205">
        <f t="shared" si="34"/>
        <v>0</v>
      </c>
      <c r="N162" s="207">
        <f t="shared" si="41"/>
        <v>0</v>
      </c>
      <c r="O162" s="207">
        <f t="shared" si="42"/>
        <v>59.5</v>
      </c>
      <c r="P162" s="205">
        <f t="shared" si="40"/>
        <v>0</v>
      </c>
      <c r="Q162" s="206"/>
      <c r="R162" s="267">
        <v>130.13852388990827</v>
      </c>
      <c r="S162" s="205">
        <f t="shared" si="33"/>
        <v>0</v>
      </c>
      <c r="T162" s="207">
        <f t="shared" si="43"/>
        <v>0</v>
      </c>
      <c r="U162" s="207">
        <v>59.5</v>
      </c>
      <c r="V162" s="205">
        <f t="shared" si="38"/>
        <v>0</v>
      </c>
      <c r="W162" s="123"/>
      <c r="Z162" s="347"/>
    </row>
    <row r="163" spans="1:26" s="216" customFormat="1" ht="23.1" hidden="1" customHeight="1" outlineLevel="2">
      <c r="A163" s="223">
        <v>3.7000000000000006</v>
      </c>
      <c r="B163" s="258" t="s">
        <v>132</v>
      </c>
      <c r="C163" s="331" t="s">
        <v>196</v>
      </c>
      <c r="D163" s="258" t="s">
        <v>103</v>
      </c>
      <c r="E163" s="207">
        <v>28.21</v>
      </c>
      <c r="F163" s="205">
        <v>231.99389944954129</v>
      </c>
      <c r="G163" s="205">
        <v>6544.5479034715599</v>
      </c>
      <c r="H163" s="207">
        <v>28.21</v>
      </c>
      <c r="I163" s="267">
        <v>59.5</v>
      </c>
      <c r="J163" s="207">
        <v>1678.4949999999999</v>
      </c>
      <c r="K163" s="207">
        <f t="shared" si="39"/>
        <v>0</v>
      </c>
      <c r="L163" s="267">
        <v>231.99389944954129</v>
      </c>
      <c r="M163" s="205">
        <f t="shared" si="34"/>
        <v>0</v>
      </c>
      <c r="N163" s="207">
        <f t="shared" si="41"/>
        <v>0</v>
      </c>
      <c r="O163" s="207">
        <f t="shared" si="42"/>
        <v>59.5</v>
      </c>
      <c r="P163" s="205">
        <f t="shared" si="40"/>
        <v>0</v>
      </c>
      <c r="Q163" s="206"/>
      <c r="R163" s="267">
        <v>231.99389944954129</v>
      </c>
      <c r="S163" s="205">
        <f t="shared" si="33"/>
        <v>0</v>
      </c>
      <c r="T163" s="207">
        <f t="shared" si="43"/>
        <v>0</v>
      </c>
      <c r="U163" s="207">
        <v>59.5</v>
      </c>
      <c r="V163" s="205">
        <f t="shared" si="38"/>
        <v>0</v>
      </c>
      <c r="W163" s="123"/>
      <c r="Z163" s="347"/>
    </row>
    <row r="164" spans="1:26" s="216" customFormat="1" ht="23.1" hidden="1" customHeight="1" outlineLevel="2">
      <c r="A164" s="223">
        <v>3.8000000000000007</v>
      </c>
      <c r="B164" s="258" t="s">
        <v>134</v>
      </c>
      <c r="C164" s="331" t="s">
        <v>196</v>
      </c>
      <c r="D164" s="258" t="s">
        <v>103</v>
      </c>
      <c r="E164" s="207">
        <v>0.19</v>
      </c>
      <c r="F164" s="205">
        <v>228.75015809174312</v>
      </c>
      <c r="G164" s="205">
        <v>43.462530037431193</v>
      </c>
      <c r="H164" s="207">
        <v>0.19</v>
      </c>
      <c r="I164" s="267">
        <v>59.5</v>
      </c>
      <c r="J164" s="207">
        <v>11.305</v>
      </c>
      <c r="K164" s="207">
        <f t="shared" si="39"/>
        <v>0</v>
      </c>
      <c r="L164" s="267">
        <v>228.75015809174312</v>
      </c>
      <c r="M164" s="205">
        <f t="shared" si="34"/>
        <v>0</v>
      </c>
      <c r="N164" s="207">
        <f t="shared" si="41"/>
        <v>0</v>
      </c>
      <c r="O164" s="207">
        <f t="shared" si="42"/>
        <v>59.5</v>
      </c>
      <c r="P164" s="205">
        <f t="shared" si="40"/>
        <v>0</v>
      </c>
      <c r="Q164" s="206"/>
      <c r="R164" s="267">
        <v>228.75015809174312</v>
      </c>
      <c r="S164" s="205">
        <f t="shared" si="33"/>
        <v>0</v>
      </c>
      <c r="T164" s="207">
        <f t="shared" si="43"/>
        <v>0</v>
      </c>
      <c r="U164" s="207">
        <v>59.5</v>
      </c>
      <c r="V164" s="205">
        <f t="shared" si="38"/>
        <v>0</v>
      </c>
      <c r="W164" s="123"/>
      <c r="Z164" s="347"/>
    </row>
    <row r="165" spans="1:26" s="216" customFormat="1" ht="23.1" hidden="1" customHeight="1" outlineLevel="2">
      <c r="A165" s="223">
        <v>3.9000000000000008</v>
      </c>
      <c r="B165" s="258" t="s">
        <v>135</v>
      </c>
      <c r="C165" s="331" t="s">
        <v>197</v>
      </c>
      <c r="D165" s="258" t="s">
        <v>103</v>
      </c>
      <c r="E165" s="207">
        <v>11.15</v>
      </c>
      <c r="F165" s="205">
        <v>181.50724667889907</v>
      </c>
      <c r="G165" s="205">
        <v>2023.8058004697245</v>
      </c>
      <c r="H165" s="207">
        <v>11.15</v>
      </c>
      <c r="I165" s="267">
        <v>59.5</v>
      </c>
      <c r="J165" s="207">
        <v>663.42499999999995</v>
      </c>
      <c r="K165" s="207">
        <f t="shared" si="39"/>
        <v>0</v>
      </c>
      <c r="L165" s="267">
        <v>181.50724667889907</v>
      </c>
      <c r="M165" s="205">
        <f t="shared" si="34"/>
        <v>0</v>
      </c>
      <c r="N165" s="207">
        <f t="shared" si="41"/>
        <v>0</v>
      </c>
      <c r="O165" s="207">
        <f t="shared" si="42"/>
        <v>59.5</v>
      </c>
      <c r="P165" s="205">
        <f t="shared" si="40"/>
        <v>0</v>
      </c>
      <c r="Q165" s="206"/>
      <c r="R165" s="267">
        <v>181.50724667889907</v>
      </c>
      <c r="S165" s="205">
        <f t="shared" si="33"/>
        <v>0</v>
      </c>
      <c r="T165" s="207">
        <f t="shared" si="43"/>
        <v>0</v>
      </c>
      <c r="U165" s="207">
        <v>59.5</v>
      </c>
      <c r="V165" s="205">
        <f t="shared" si="38"/>
        <v>0</v>
      </c>
      <c r="W165" s="123"/>
      <c r="Z165" s="347"/>
    </row>
    <row r="166" spans="1:26" s="216" customFormat="1" ht="23.1" hidden="1" customHeight="1" outlineLevel="2">
      <c r="A166" s="267">
        <v>3.1</v>
      </c>
      <c r="B166" s="258" t="s">
        <v>137</v>
      </c>
      <c r="C166" s="331" t="s">
        <v>196</v>
      </c>
      <c r="D166" s="258" t="s">
        <v>103</v>
      </c>
      <c r="E166" s="207">
        <v>3.6</v>
      </c>
      <c r="F166" s="205">
        <v>181.50724667889907</v>
      </c>
      <c r="G166" s="205">
        <v>653.42608804403665</v>
      </c>
      <c r="H166" s="207">
        <v>3.6</v>
      </c>
      <c r="I166" s="267">
        <v>59.5</v>
      </c>
      <c r="J166" s="207">
        <v>214.2</v>
      </c>
      <c r="K166" s="207">
        <f t="shared" si="39"/>
        <v>0</v>
      </c>
      <c r="L166" s="267">
        <v>181.50724667889907</v>
      </c>
      <c r="M166" s="205">
        <f t="shared" si="34"/>
        <v>0</v>
      </c>
      <c r="N166" s="207">
        <f t="shared" si="41"/>
        <v>0</v>
      </c>
      <c r="O166" s="207">
        <f t="shared" si="42"/>
        <v>59.5</v>
      </c>
      <c r="P166" s="205">
        <f t="shared" si="40"/>
        <v>0</v>
      </c>
      <c r="Q166" s="206"/>
      <c r="R166" s="267">
        <v>181.50724667889907</v>
      </c>
      <c r="S166" s="205">
        <f t="shared" si="33"/>
        <v>0</v>
      </c>
      <c r="T166" s="207">
        <f t="shared" si="43"/>
        <v>0</v>
      </c>
      <c r="U166" s="207">
        <v>59.5</v>
      </c>
      <c r="V166" s="205">
        <f t="shared" si="38"/>
        <v>0</v>
      </c>
      <c r="W166" s="123"/>
      <c r="Z166" s="347"/>
    </row>
    <row r="167" spans="1:26" s="216" customFormat="1" ht="23.1" hidden="1" customHeight="1" outlineLevel="2">
      <c r="A167" s="223">
        <v>3.11</v>
      </c>
      <c r="B167" s="258" t="s">
        <v>229</v>
      </c>
      <c r="C167" s="331" t="s">
        <v>197</v>
      </c>
      <c r="D167" s="258" t="s">
        <v>103</v>
      </c>
      <c r="E167" s="207">
        <v>41.08</v>
      </c>
      <c r="F167" s="205">
        <v>172.25025379816515</v>
      </c>
      <c r="G167" s="205">
        <v>7076.0404260286241</v>
      </c>
      <c r="H167" s="207">
        <v>41.08</v>
      </c>
      <c r="I167" s="267"/>
      <c r="J167" s="207">
        <v>0</v>
      </c>
      <c r="K167" s="207">
        <f t="shared" si="39"/>
        <v>0</v>
      </c>
      <c r="L167" s="267">
        <v>172.25025379816515</v>
      </c>
      <c r="M167" s="205">
        <f t="shared" si="34"/>
        <v>0</v>
      </c>
      <c r="N167" s="207">
        <f t="shared" si="41"/>
        <v>0</v>
      </c>
      <c r="O167" s="207">
        <f t="shared" si="42"/>
        <v>59.5</v>
      </c>
      <c r="P167" s="205">
        <f t="shared" si="40"/>
        <v>0</v>
      </c>
      <c r="Q167" s="206"/>
      <c r="R167" s="267">
        <v>172.25025379816515</v>
      </c>
      <c r="S167" s="205">
        <f t="shared" si="33"/>
        <v>0</v>
      </c>
      <c r="T167" s="207">
        <f t="shared" si="43"/>
        <v>0</v>
      </c>
      <c r="U167" s="207">
        <v>59.5</v>
      </c>
      <c r="V167" s="205">
        <f t="shared" si="38"/>
        <v>0</v>
      </c>
      <c r="W167" s="123"/>
      <c r="Z167" s="347"/>
    </row>
    <row r="168" spans="1:26" s="216" customFormat="1" ht="23.1" hidden="1" customHeight="1" outlineLevel="2">
      <c r="A168" s="267">
        <v>3.1199999999999997</v>
      </c>
      <c r="B168" s="258" t="s">
        <v>230</v>
      </c>
      <c r="C168" s="331" t="s">
        <v>197</v>
      </c>
      <c r="D168" s="258" t="s">
        <v>103</v>
      </c>
      <c r="E168" s="207">
        <v>12.02</v>
      </c>
      <c r="F168" s="205">
        <v>207.39078517431193</v>
      </c>
      <c r="G168" s="205">
        <v>2492.8372377952292</v>
      </c>
      <c r="H168" s="207">
        <v>12.02</v>
      </c>
      <c r="I168" s="267">
        <v>0</v>
      </c>
      <c r="J168" s="207">
        <v>0</v>
      </c>
      <c r="K168" s="207">
        <f t="shared" si="39"/>
        <v>0</v>
      </c>
      <c r="L168" s="267">
        <v>207.39078517431193</v>
      </c>
      <c r="M168" s="205">
        <f t="shared" si="34"/>
        <v>0</v>
      </c>
      <c r="N168" s="207">
        <f t="shared" si="41"/>
        <v>0</v>
      </c>
      <c r="O168" s="207">
        <f t="shared" si="42"/>
        <v>59.5</v>
      </c>
      <c r="P168" s="205">
        <f t="shared" si="40"/>
        <v>0</v>
      </c>
      <c r="Q168" s="206"/>
      <c r="R168" s="267">
        <v>207.39078517431193</v>
      </c>
      <c r="S168" s="205">
        <f t="shared" si="33"/>
        <v>0</v>
      </c>
      <c r="T168" s="207">
        <f t="shared" si="43"/>
        <v>0</v>
      </c>
      <c r="U168" s="207">
        <v>59.5</v>
      </c>
      <c r="V168" s="205">
        <f t="shared" si="38"/>
        <v>0</v>
      </c>
      <c r="W168" s="123"/>
      <c r="Z168" s="347"/>
    </row>
    <row r="169" spans="1:26" s="216" customFormat="1" ht="23.1" hidden="1" customHeight="1" outlineLevel="2">
      <c r="A169" s="223">
        <v>3.1299999999999994</v>
      </c>
      <c r="B169" s="258" t="s">
        <v>231</v>
      </c>
      <c r="C169" s="331" t="s">
        <v>197</v>
      </c>
      <c r="D169" s="258" t="s">
        <v>103</v>
      </c>
      <c r="E169" s="207">
        <v>0.78</v>
      </c>
      <c r="F169" s="205">
        <v>193.36302649541284</v>
      </c>
      <c r="G169" s="205">
        <v>150.82316066642201</v>
      </c>
      <c r="H169" s="207">
        <v>0.78</v>
      </c>
      <c r="I169" s="267">
        <v>0</v>
      </c>
      <c r="J169" s="207">
        <v>0</v>
      </c>
      <c r="K169" s="207">
        <f t="shared" si="39"/>
        <v>0</v>
      </c>
      <c r="L169" s="267">
        <v>193.36302649541284</v>
      </c>
      <c r="M169" s="205">
        <f t="shared" si="34"/>
        <v>0</v>
      </c>
      <c r="N169" s="207">
        <f t="shared" si="41"/>
        <v>0</v>
      </c>
      <c r="O169" s="207">
        <f t="shared" si="42"/>
        <v>59.5</v>
      </c>
      <c r="P169" s="205">
        <f t="shared" si="40"/>
        <v>0</v>
      </c>
      <c r="Q169" s="206"/>
      <c r="R169" s="267">
        <v>193.36302649541284</v>
      </c>
      <c r="S169" s="205">
        <f t="shared" si="33"/>
        <v>0</v>
      </c>
      <c r="T169" s="207">
        <f t="shared" si="43"/>
        <v>0</v>
      </c>
      <c r="U169" s="207">
        <v>59.5</v>
      </c>
      <c r="V169" s="205">
        <f t="shared" si="38"/>
        <v>0</v>
      </c>
      <c r="W169" s="123"/>
      <c r="Z169" s="347"/>
    </row>
    <row r="170" spans="1:26" s="216" customFormat="1" ht="23.1" hidden="1" customHeight="1" outlineLevel="2">
      <c r="A170" s="267">
        <v>3.1399999999999992</v>
      </c>
      <c r="B170" s="343" t="s">
        <v>232</v>
      </c>
      <c r="C170" s="350" t="s">
        <v>197</v>
      </c>
      <c r="D170" s="344" t="s">
        <v>103</v>
      </c>
      <c r="E170" s="207">
        <v>17.059999999999999</v>
      </c>
      <c r="F170" s="205">
        <v>206.3190226788991</v>
      </c>
      <c r="G170" s="205">
        <v>3519.8025269020186</v>
      </c>
      <c r="H170" s="207">
        <v>17.059999999999999</v>
      </c>
      <c r="I170" s="263"/>
      <c r="J170" s="207">
        <v>0</v>
      </c>
      <c r="K170" s="207">
        <f t="shared" si="39"/>
        <v>0</v>
      </c>
      <c r="L170" s="267">
        <v>206.3190226788991</v>
      </c>
      <c r="M170" s="205">
        <f t="shared" si="34"/>
        <v>0</v>
      </c>
      <c r="N170" s="207">
        <f t="shared" si="41"/>
        <v>0</v>
      </c>
      <c r="O170" s="207">
        <f t="shared" si="42"/>
        <v>59.5</v>
      </c>
      <c r="P170" s="205">
        <f t="shared" si="40"/>
        <v>0</v>
      </c>
      <c r="Q170" s="206"/>
      <c r="R170" s="267">
        <v>206.3190226788991</v>
      </c>
      <c r="S170" s="205">
        <f t="shared" si="33"/>
        <v>0</v>
      </c>
      <c r="T170" s="207">
        <f t="shared" si="43"/>
        <v>0</v>
      </c>
      <c r="U170" s="207">
        <v>59.5</v>
      </c>
      <c r="V170" s="205">
        <f t="shared" si="38"/>
        <v>0</v>
      </c>
      <c r="W170" s="123"/>
      <c r="Z170" s="347"/>
    </row>
    <row r="171" spans="1:26" s="216" customFormat="1" ht="23.1" hidden="1" customHeight="1" outlineLevel="2">
      <c r="A171" s="223">
        <v>3.149999999999999</v>
      </c>
      <c r="B171" s="223" t="s">
        <v>142</v>
      </c>
      <c r="C171" s="223"/>
      <c r="D171" s="223" t="s">
        <v>143</v>
      </c>
      <c r="E171" s="207">
        <v>1</v>
      </c>
      <c r="F171" s="205">
        <v>-30448.829402422019</v>
      </c>
      <c r="G171" s="205">
        <v>-30448.829402422019</v>
      </c>
      <c r="H171" s="207">
        <v>1</v>
      </c>
      <c r="I171" s="263"/>
      <c r="J171" s="207">
        <v>0</v>
      </c>
      <c r="K171" s="207">
        <f t="shared" si="39"/>
        <v>0</v>
      </c>
      <c r="L171" s="267">
        <v>-30448.829402422019</v>
      </c>
      <c r="M171" s="205">
        <f t="shared" si="34"/>
        <v>0</v>
      </c>
      <c r="N171" s="207">
        <f t="shared" si="41"/>
        <v>0</v>
      </c>
      <c r="O171" s="207">
        <f t="shared" si="42"/>
        <v>59.5</v>
      </c>
      <c r="P171" s="205">
        <f t="shared" si="40"/>
        <v>0</v>
      </c>
      <c r="Q171" s="206"/>
      <c r="R171" s="267">
        <v>-30448.829402422019</v>
      </c>
      <c r="S171" s="205">
        <f t="shared" si="33"/>
        <v>0</v>
      </c>
      <c r="T171" s="207">
        <f t="shared" si="43"/>
        <v>0</v>
      </c>
      <c r="U171" s="207">
        <v>59.5</v>
      </c>
      <c r="V171" s="205">
        <f t="shared" si="38"/>
        <v>0</v>
      </c>
      <c r="W171" s="123"/>
      <c r="Z171" s="347"/>
    </row>
    <row r="172" spans="1:26" s="215" customFormat="1" ht="23.1" customHeight="1" collapsed="1">
      <c r="A172" s="337" t="s">
        <v>233</v>
      </c>
      <c r="B172" s="337" t="s">
        <v>234</v>
      </c>
      <c r="C172" s="220"/>
      <c r="D172" s="220"/>
      <c r="E172" s="229"/>
      <c r="F172" s="222"/>
      <c r="G172" s="222">
        <v>1487934.5369802327</v>
      </c>
      <c r="H172" s="229"/>
      <c r="I172" s="266"/>
      <c r="J172" s="229">
        <v>1985433.8899999997</v>
      </c>
      <c r="K172" s="229"/>
      <c r="L172" s="266"/>
      <c r="M172" s="222">
        <f>+M173+M201+M222</f>
        <v>114448.34239529454</v>
      </c>
      <c r="N172" s="229"/>
      <c r="O172" s="229"/>
      <c r="P172" s="222">
        <f>+P173+P201+P222</f>
        <v>110419.81599</v>
      </c>
      <c r="Q172" s="229"/>
      <c r="R172" s="266"/>
      <c r="S172" s="222">
        <f>+S173+S201+S222</f>
        <v>630370.18015804118</v>
      </c>
      <c r="T172" s="229"/>
      <c r="U172" s="229"/>
      <c r="V172" s="222">
        <f>+V173+V201+V222</f>
        <v>591426.06120000011</v>
      </c>
      <c r="W172" s="137"/>
      <c r="Z172" s="283"/>
    </row>
    <row r="173" spans="1:26" s="215" customFormat="1" ht="23.1" hidden="1" customHeight="1" outlineLevel="1" collapsed="1">
      <c r="A173" s="257">
        <v>1</v>
      </c>
      <c r="B173" s="342" t="s">
        <v>144</v>
      </c>
      <c r="C173" s="274"/>
      <c r="D173" s="315"/>
      <c r="E173" s="229"/>
      <c r="F173" s="222">
        <v>0</v>
      </c>
      <c r="G173" s="222"/>
      <c r="H173" s="229"/>
      <c r="I173" s="266"/>
      <c r="J173" s="229"/>
      <c r="K173" s="229"/>
      <c r="L173" s="266"/>
      <c r="M173" s="222">
        <f>SUM(M174:M200)</f>
        <v>74345.361280211029</v>
      </c>
      <c r="N173" s="229"/>
      <c r="O173" s="229"/>
      <c r="P173" s="222">
        <f>SUM(P174:P200)</f>
        <v>83571.327539999998</v>
      </c>
      <c r="Q173" s="229"/>
      <c r="R173" s="266"/>
      <c r="S173" s="222">
        <f>SUM(S174:S200)</f>
        <v>445059.94676707557</v>
      </c>
      <c r="T173" s="229"/>
      <c r="U173" s="229"/>
      <c r="V173" s="222">
        <f>SUM(V174:V200)</f>
        <v>468642.4800000001</v>
      </c>
      <c r="W173" s="137"/>
      <c r="Z173" s="283"/>
    </row>
    <row r="174" spans="1:26" s="216" customFormat="1" ht="23.1" hidden="1" customHeight="1" outlineLevel="2">
      <c r="A174" s="258">
        <v>1.1000000000000001</v>
      </c>
      <c r="B174" s="343" t="s">
        <v>145</v>
      </c>
      <c r="C174" s="351" t="s">
        <v>171</v>
      </c>
      <c r="D174" s="351" t="s">
        <v>147</v>
      </c>
      <c r="E174" s="207">
        <v>3.5550000000000002</v>
      </c>
      <c r="F174" s="205">
        <v>1831.8223125137615</v>
      </c>
      <c r="G174" s="205">
        <v>6512.1283209864223</v>
      </c>
      <c r="H174" s="207">
        <v>3.5550000000000002</v>
      </c>
      <c r="I174" s="267">
        <v>1480</v>
      </c>
      <c r="J174" s="207">
        <v>5261.4</v>
      </c>
      <c r="K174" s="207">
        <f>+Q174-Z174</f>
        <v>0</v>
      </c>
      <c r="L174" s="267">
        <v>1831.8223125137615</v>
      </c>
      <c r="M174" s="205">
        <f t="shared" si="34"/>
        <v>0</v>
      </c>
      <c r="N174" s="207">
        <f>+K174</f>
        <v>0</v>
      </c>
      <c r="O174" s="207">
        <f>+U174</f>
        <v>1380</v>
      </c>
      <c r="P174" s="205">
        <f t="shared" si="40"/>
        <v>0</v>
      </c>
      <c r="Q174" s="206"/>
      <c r="R174" s="267">
        <v>1831.8223125137615</v>
      </c>
      <c r="S174" s="205">
        <f t="shared" si="33"/>
        <v>0</v>
      </c>
      <c r="T174" s="207">
        <f>+Q174</f>
        <v>0</v>
      </c>
      <c r="U174" s="207">
        <v>1380</v>
      </c>
      <c r="V174" s="205">
        <f t="shared" si="38"/>
        <v>0</v>
      </c>
      <c r="W174" s="123"/>
      <c r="Z174" s="347"/>
    </row>
    <row r="175" spans="1:26" s="216" customFormat="1" ht="23.1" hidden="1" customHeight="1" outlineLevel="2">
      <c r="A175" s="258">
        <v>1.2</v>
      </c>
      <c r="B175" s="343" t="s">
        <v>145</v>
      </c>
      <c r="C175" s="351" t="s">
        <v>172</v>
      </c>
      <c r="D175" s="351" t="s">
        <v>147</v>
      </c>
      <c r="E175" s="207">
        <v>0.2</v>
      </c>
      <c r="F175" s="205">
        <v>1360.6831072293576</v>
      </c>
      <c r="G175" s="205">
        <v>272.13662144587153</v>
      </c>
      <c r="H175" s="207">
        <v>0.2</v>
      </c>
      <c r="I175" s="267">
        <v>1480</v>
      </c>
      <c r="J175" s="207">
        <v>296</v>
      </c>
      <c r="K175" s="207">
        <f t="shared" ref="K175:K200" si="44">+Q175-Z175</f>
        <v>0</v>
      </c>
      <c r="L175" s="267">
        <v>1360.6831072293576</v>
      </c>
      <c r="M175" s="205">
        <f t="shared" si="34"/>
        <v>0</v>
      </c>
      <c r="N175" s="207">
        <f t="shared" ref="N175:N200" si="45">+K175</f>
        <v>0</v>
      </c>
      <c r="O175" s="207">
        <f t="shared" ref="O175:O200" si="46">+U175</f>
        <v>1380</v>
      </c>
      <c r="P175" s="205">
        <f t="shared" si="40"/>
        <v>0</v>
      </c>
      <c r="Q175" s="206"/>
      <c r="R175" s="267">
        <v>1360.6831072293576</v>
      </c>
      <c r="S175" s="205">
        <f t="shared" si="33"/>
        <v>0</v>
      </c>
      <c r="T175" s="207">
        <f t="shared" ref="T175:T200" si="47">+Q175</f>
        <v>0</v>
      </c>
      <c r="U175" s="207">
        <v>1380</v>
      </c>
      <c r="V175" s="205">
        <f t="shared" si="38"/>
        <v>0</v>
      </c>
      <c r="W175" s="123"/>
      <c r="Z175" s="347"/>
    </row>
    <row r="176" spans="1:26" s="216" customFormat="1" ht="23.1" hidden="1" customHeight="1" outlineLevel="2">
      <c r="A176" s="258">
        <v>1.2999999999999998</v>
      </c>
      <c r="B176" s="343" t="s">
        <v>145</v>
      </c>
      <c r="C176" s="351" t="s">
        <v>173</v>
      </c>
      <c r="D176" s="351" t="s">
        <v>147</v>
      </c>
      <c r="E176" s="207">
        <v>0.5</v>
      </c>
      <c r="F176" s="205">
        <v>1052.337985761468</v>
      </c>
      <c r="G176" s="205">
        <v>526.16899288073398</v>
      </c>
      <c r="H176" s="207">
        <v>0.5</v>
      </c>
      <c r="I176" s="267">
        <v>1480</v>
      </c>
      <c r="J176" s="207">
        <v>740</v>
      </c>
      <c r="K176" s="207">
        <f t="shared" si="44"/>
        <v>0</v>
      </c>
      <c r="L176" s="267">
        <v>1052.337985761468</v>
      </c>
      <c r="M176" s="205">
        <f t="shared" si="34"/>
        <v>0</v>
      </c>
      <c r="N176" s="207">
        <f t="shared" si="45"/>
        <v>0</v>
      </c>
      <c r="O176" s="207">
        <f t="shared" si="46"/>
        <v>1380</v>
      </c>
      <c r="P176" s="205">
        <f t="shared" ref="P176:P221" si="48">+O176*N176</f>
        <v>0</v>
      </c>
      <c r="Q176" s="206"/>
      <c r="R176" s="267">
        <v>1052.337985761468</v>
      </c>
      <c r="S176" s="205">
        <f t="shared" si="33"/>
        <v>0</v>
      </c>
      <c r="T176" s="207">
        <f t="shared" si="47"/>
        <v>0</v>
      </c>
      <c r="U176" s="207">
        <v>1380</v>
      </c>
      <c r="V176" s="205">
        <f t="shared" si="38"/>
        <v>0</v>
      </c>
      <c r="W176" s="123"/>
      <c r="Z176" s="347"/>
    </row>
    <row r="177" spans="1:26" s="216" customFormat="1" ht="23.1" hidden="1" customHeight="1" outlineLevel="2">
      <c r="A177" s="258">
        <v>1.3999999999999997</v>
      </c>
      <c r="B177" s="343" t="s">
        <v>145</v>
      </c>
      <c r="C177" s="351" t="s">
        <v>174</v>
      </c>
      <c r="D177" s="351" t="s">
        <v>147</v>
      </c>
      <c r="E177" s="207">
        <v>1.129</v>
      </c>
      <c r="F177" s="205">
        <v>1127.1052755963306</v>
      </c>
      <c r="G177" s="205">
        <v>1272.5018561482573</v>
      </c>
      <c r="H177" s="207">
        <v>1.129</v>
      </c>
      <c r="I177" s="267">
        <v>1480</v>
      </c>
      <c r="J177" s="207">
        <v>1670.92</v>
      </c>
      <c r="K177" s="207">
        <f t="shared" si="44"/>
        <v>0</v>
      </c>
      <c r="L177" s="267">
        <v>1127.1052755963306</v>
      </c>
      <c r="M177" s="205">
        <f t="shared" si="34"/>
        <v>0</v>
      </c>
      <c r="N177" s="207">
        <f t="shared" si="45"/>
        <v>0</v>
      </c>
      <c r="O177" s="207">
        <f t="shared" si="46"/>
        <v>1380</v>
      </c>
      <c r="P177" s="205">
        <f t="shared" si="48"/>
        <v>0</v>
      </c>
      <c r="Q177" s="206"/>
      <c r="R177" s="267">
        <v>1127.1052755963306</v>
      </c>
      <c r="S177" s="205">
        <f t="shared" si="33"/>
        <v>0</v>
      </c>
      <c r="T177" s="207">
        <f t="shared" si="47"/>
        <v>0</v>
      </c>
      <c r="U177" s="207">
        <v>1380</v>
      </c>
      <c r="V177" s="205">
        <f t="shared" si="38"/>
        <v>0</v>
      </c>
      <c r="W177" s="123"/>
      <c r="Z177" s="347"/>
    </row>
    <row r="178" spans="1:26" s="216" customFormat="1" ht="23.1" hidden="1" customHeight="1" outlineLevel="2">
      <c r="A178" s="258">
        <v>1.4999999999999996</v>
      </c>
      <c r="B178" s="343" t="s">
        <v>145</v>
      </c>
      <c r="C178" s="351" t="s">
        <v>175</v>
      </c>
      <c r="D178" s="351" t="s">
        <v>147</v>
      </c>
      <c r="E178" s="207">
        <v>179.268</v>
      </c>
      <c r="F178" s="205">
        <v>1127.1052755963306</v>
      </c>
      <c r="G178" s="205">
        <v>202053.90854560299</v>
      </c>
      <c r="H178" s="207">
        <v>179.268</v>
      </c>
      <c r="I178" s="267">
        <v>1480</v>
      </c>
      <c r="J178" s="207">
        <v>265316.64</v>
      </c>
      <c r="K178" s="207">
        <f t="shared" si="44"/>
        <v>13.422852999999989</v>
      </c>
      <c r="L178" s="267">
        <v>1127.1052755963306</v>
      </c>
      <c r="M178" s="205">
        <f t="shared" si="34"/>
        <v>15128.96842985402</v>
      </c>
      <c r="N178" s="207">
        <f t="shared" si="45"/>
        <v>13.422852999999989</v>
      </c>
      <c r="O178" s="207">
        <f t="shared" si="46"/>
        <v>1380</v>
      </c>
      <c r="P178" s="205">
        <f t="shared" si="48"/>
        <v>18523.537139999986</v>
      </c>
      <c r="Q178" s="206">
        <f>65.973+4.872</f>
        <v>70.844999999999999</v>
      </c>
      <c r="R178" s="267">
        <v>1127.1052755963306</v>
      </c>
      <c r="S178" s="205">
        <f t="shared" si="33"/>
        <v>79849.773249622041</v>
      </c>
      <c r="T178" s="207">
        <f t="shared" si="47"/>
        <v>70.844999999999999</v>
      </c>
      <c r="U178" s="207">
        <v>1380</v>
      </c>
      <c r="V178" s="205">
        <f t="shared" si="38"/>
        <v>97766.099999999991</v>
      </c>
      <c r="W178" s="123"/>
      <c r="Z178" s="347">
        <v>57.42214700000001</v>
      </c>
    </row>
    <row r="179" spans="1:26" s="216" customFormat="1" ht="23.1" hidden="1" customHeight="1" outlineLevel="2">
      <c r="A179" s="258">
        <v>1.5999999999999994</v>
      </c>
      <c r="B179" s="343" t="s">
        <v>145</v>
      </c>
      <c r="C179" s="351" t="s">
        <v>176</v>
      </c>
      <c r="D179" s="351" t="s">
        <v>147</v>
      </c>
      <c r="E179" s="207">
        <v>93.587999999999994</v>
      </c>
      <c r="F179" s="205">
        <v>1127.1052755963306</v>
      </c>
      <c r="G179" s="205">
        <v>105483.52853250937</v>
      </c>
      <c r="H179" s="207">
        <v>93.587999999999994</v>
      </c>
      <c r="I179" s="267">
        <v>1480</v>
      </c>
      <c r="J179" s="207">
        <v>138510.24</v>
      </c>
      <c r="K179" s="207">
        <f t="shared" si="44"/>
        <v>9.7091910000000041</v>
      </c>
      <c r="L179" s="267">
        <v>1127.1052755963306</v>
      </c>
      <c r="M179" s="205">
        <f t="shared" si="34"/>
        <v>10943.280397872417</v>
      </c>
      <c r="N179" s="207">
        <f t="shared" si="45"/>
        <v>9.7091910000000041</v>
      </c>
      <c r="O179" s="207">
        <f t="shared" si="46"/>
        <v>1380</v>
      </c>
      <c r="P179" s="205">
        <f t="shared" si="48"/>
        <v>13398.683580000006</v>
      </c>
      <c r="Q179" s="206">
        <f>35.764+2.246</f>
        <v>38.010000000000005</v>
      </c>
      <c r="R179" s="267">
        <v>1127.1052755963306</v>
      </c>
      <c r="S179" s="205">
        <f t="shared" si="33"/>
        <v>42841.27152541653</v>
      </c>
      <c r="T179" s="207">
        <f t="shared" si="47"/>
        <v>38.010000000000005</v>
      </c>
      <c r="U179" s="207">
        <v>1380</v>
      </c>
      <c r="V179" s="205">
        <f t="shared" si="38"/>
        <v>52453.80000000001</v>
      </c>
      <c r="W179" s="123"/>
      <c r="Z179" s="347">
        <v>28.300809000000001</v>
      </c>
    </row>
    <row r="180" spans="1:26" s="216" customFormat="1" ht="23.1" hidden="1" customHeight="1" outlineLevel="2">
      <c r="A180" s="258">
        <v>1.6999999999999993</v>
      </c>
      <c r="B180" s="343" t="s">
        <v>145</v>
      </c>
      <c r="C180" s="351" t="s">
        <v>177</v>
      </c>
      <c r="D180" s="351" t="s">
        <v>147</v>
      </c>
      <c r="E180" s="207">
        <v>81.001000000000005</v>
      </c>
      <c r="F180" s="205">
        <v>1002.1453563302753</v>
      </c>
      <c r="G180" s="205">
        <v>81174.776008108631</v>
      </c>
      <c r="H180" s="207">
        <v>81.001000000000005</v>
      </c>
      <c r="I180" s="267">
        <v>1480</v>
      </c>
      <c r="J180" s="207">
        <v>119881.48000000001</v>
      </c>
      <c r="K180" s="207">
        <f t="shared" si="44"/>
        <v>7.4764710000000036</v>
      </c>
      <c r="L180" s="267">
        <v>1002.1453563302753</v>
      </c>
      <c r="M180" s="205">
        <f t="shared" si="34"/>
        <v>7492.5106943879728</v>
      </c>
      <c r="N180" s="207">
        <f t="shared" si="45"/>
        <v>7.4764710000000036</v>
      </c>
      <c r="O180" s="207">
        <f t="shared" si="46"/>
        <v>1380</v>
      </c>
      <c r="P180" s="205">
        <f t="shared" si="48"/>
        <v>10317.529980000005</v>
      </c>
      <c r="Q180" s="206">
        <f>29.944+3.303</f>
        <v>33.247</v>
      </c>
      <c r="R180" s="267">
        <v>1002.1453563302753</v>
      </c>
      <c r="S180" s="205">
        <f t="shared" si="33"/>
        <v>33318.326661912659</v>
      </c>
      <c r="T180" s="207">
        <f t="shared" si="47"/>
        <v>33.247</v>
      </c>
      <c r="U180" s="207">
        <v>1380</v>
      </c>
      <c r="V180" s="205">
        <f t="shared" si="38"/>
        <v>45880.86</v>
      </c>
      <c r="W180" s="123"/>
      <c r="Z180" s="347">
        <v>25.770528999999996</v>
      </c>
    </row>
    <row r="181" spans="1:26" s="216" customFormat="1" ht="23.1" hidden="1" customHeight="1" outlineLevel="2">
      <c r="A181" s="258">
        <v>1.7999999999999992</v>
      </c>
      <c r="B181" s="343" t="s">
        <v>145</v>
      </c>
      <c r="C181" s="351" t="s">
        <v>178</v>
      </c>
      <c r="D181" s="351" t="s">
        <v>147</v>
      </c>
      <c r="E181" s="207">
        <v>23.734000000000002</v>
      </c>
      <c r="F181" s="205">
        <v>1002.135871706422</v>
      </c>
      <c r="G181" s="205">
        <v>23784.692779080222</v>
      </c>
      <c r="H181" s="207">
        <v>23.734000000000002</v>
      </c>
      <c r="I181" s="267">
        <v>1480</v>
      </c>
      <c r="J181" s="207">
        <v>35126.32</v>
      </c>
      <c r="K181" s="207">
        <f t="shared" si="44"/>
        <v>2.2718910000000001</v>
      </c>
      <c r="L181" s="267">
        <v>1002.135871706422</v>
      </c>
      <c r="M181" s="205">
        <f t="shared" si="34"/>
        <v>2276.743467706975</v>
      </c>
      <c r="N181" s="207">
        <f t="shared" si="45"/>
        <v>2.2718910000000001</v>
      </c>
      <c r="O181" s="207">
        <f t="shared" si="46"/>
        <v>1380</v>
      </c>
      <c r="P181" s="205">
        <f t="shared" si="48"/>
        <v>3135.2095800000002</v>
      </c>
      <c r="Q181" s="206">
        <f>11.064+0.198</f>
        <v>11.262</v>
      </c>
      <c r="R181" s="267">
        <v>1002.135871706422</v>
      </c>
      <c r="S181" s="205">
        <f t="shared" si="33"/>
        <v>11286.054187157724</v>
      </c>
      <c r="T181" s="207">
        <f t="shared" si="47"/>
        <v>11.262</v>
      </c>
      <c r="U181" s="207">
        <v>1380</v>
      </c>
      <c r="V181" s="205">
        <f t="shared" si="38"/>
        <v>15541.560000000001</v>
      </c>
      <c r="W181" s="123"/>
      <c r="Z181" s="347">
        <v>8.9901090000000003</v>
      </c>
    </row>
    <row r="182" spans="1:26" s="216" customFormat="1" ht="23.1" hidden="1" customHeight="1" outlineLevel="2">
      <c r="A182" s="258">
        <v>1.899999999999999</v>
      </c>
      <c r="B182" s="343" t="s">
        <v>145</v>
      </c>
      <c r="C182" s="351" t="s">
        <v>179</v>
      </c>
      <c r="D182" s="351" t="s">
        <v>147</v>
      </c>
      <c r="E182" s="207">
        <v>44.265000000000001</v>
      </c>
      <c r="F182" s="205">
        <v>1002.135871706422</v>
      </c>
      <c r="G182" s="205">
        <v>44359.544361084772</v>
      </c>
      <c r="H182" s="207">
        <v>44.265000000000001</v>
      </c>
      <c r="I182" s="267">
        <v>1480</v>
      </c>
      <c r="J182" s="207">
        <v>65512.2</v>
      </c>
      <c r="K182" s="207">
        <f t="shared" si="44"/>
        <v>2.6515559999999994</v>
      </c>
      <c r="L182" s="267">
        <v>1002.135871706422</v>
      </c>
      <c r="M182" s="205">
        <f t="shared" si="34"/>
        <v>2657.2193834383929</v>
      </c>
      <c r="N182" s="207">
        <f t="shared" si="45"/>
        <v>2.6515559999999994</v>
      </c>
      <c r="O182" s="207">
        <f t="shared" si="46"/>
        <v>1380</v>
      </c>
      <c r="P182" s="205">
        <f t="shared" si="48"/>
        <v>3659.1472799999992</v>
      </c>
      <c r="Q182" s="206">
        <f>24.282+0.894</f>
        <v>25.175999999999998</v>
      </c>
      <c r="R182" s="267">
        <v>1002.135871706422</v>
      </c>
      <c r="S182" s="205">
        <f t="shared" si="33"/>
        <v>25229.772706080879</v>
      </c>
      <c r="T182" s="207">
        <f t="shared" si="47"/>
        <v>25.175999999999998</v>
      </c>
      <c r="U182" s="207">
        <v>1380</v>
      </c>
      <c r="V182" s="205">
        <f t="shared" si="38"/>
        <v>34742.879999999997</v>
      </c>
      <c r="W182" s="123"/>
      <c r="Z182" s="347">
        <v>22.524443999999999</v>
      </c>
    </row>
    <row r="183" spans="1:26" s="216" customFormat="1" ht="23.1" hidden="1" customHeight="1" outlineLevel="2">
      <c r="A183" s="348">
        <v>1.1000000000000001</v>
      </c>
      <c r="B183" s="343" t="s">
        <v>145</v>
      </c>
      <c r="C183" s="351" t="s">
        <v>180</v>
      </c>
      <c r="D183" s="351" t="s">
        <v>147</v>
      </c>
      <c r="E183" s="207">
        <v>17.254000000000001</v>
      </c>
      <c r="F183" s="205">
        <v>1002.1453563302753</v>
      </c>
      <c r="G183" s="205">
        <v>17291.01597812257</v>
      </c>
      <c r="H183" s="207">
        <v>17.254000000000001</v>
      </c>
      <c r="I183" s="267">
        <v>1480</v>
      </c>
      <c r="J183" s="207">
        <v>25535.919999999998</v>
      </c>
      <c r="K183" s="207">
        <f t="shared" si="44"/>
        <v>0.90820399999999868</v>
      </c>
      <c r="L183" s="267">
        <v>1002.1453563302753</v>
      </c>
      <c r="M183" s="205">
        <f t="shared" si="34"/>
        <v>910.15242120057997</v>
      </c>
      <c r="N183" s="207">
        <f t="shared" si="45"/>
        <v>0.90820399999999868</v>
      </c>
      <c r="O183" s="207">
        <f t="shared" si="46"/>
        <v>1380</v>
      </c>
      <c r="P183" s="205">
        <f t="shared" si="48"/>
        <v>1253.3215199999981</v>
      </c>
      <c r="Q183" s="206">
        <f>5.422+0.148</f>
        <v>5.5699999999999994</v>
      </c>
      <c r="R183" s="267">
        <v>1002.1453563302753</v>
      </c>
      <c r="S183" s="205">
        <f t="shared" si="33"/>
        <v>5581.9496347596323</v>
      </c>
      <c r="T183" s="207">
        <f t="shared" si="47"/>
        <v>5.5699999999999994</v>
      </c>
      <c r="U183" s="207">
        <v>1380</v>
      </c>
      <c r="V183" s="205">
        <f t="shared" si="38"/>
        <v>7686.5999999999995</v>
      </c>
      <c r="W183" s="123"/>
      <c r="Z183" s="347">
        <v>4.6617960000000007</v>
      </c>
    </row>
    <row r="184" spans="1:26" s="216" customFormat="1" ht="23.1" hidden="1" customHeight="1" outlineLevel="2">
      <c r="A184" s="258">
        <v>1.1100000000000001</v>
      </c>
      <c r="B184" s="352" t="s">
        <v>145</v>
      </c>
      <c r="C184" s="352" t="s">
        <v>181</v>
      </c>
      <c r="D184" s="352" t="s">
        <v>147</v>
      </c>
      <c r="E184" s="207">
        <v>21.707000000000001</v>
      </c>
      <c r="F184" s="205">
        <v>1002.1453563302753</v>
      </c>
      <c r="G184" s="205">
        <v>21753.569249861284</v>
      </c>
      <c r="H184" s="207">
        <v>21.707000000000001</v>
      </c>
      <c r="I184" s="267">
        <v>1480</v>
      </c>
      <c r="J184" s="207">
        <v>32126.36</v>
      </c>
      <c r="K184" s="207">
        <f t="shared" si="44"/>
        <v>1.2636469999999989</v>
      </c>
      <c r="L184" s="267">
        <v>1002.1453563302753</v>
      </c>
      <c r="M184" s="205">
        <f t="shared" si="34"/>
        <v>1266.3579730906822</v>
      </c>
      <c r="N184" s="207">
        <f t="shared" si="45"/>
        <v>1.2636469999999989</v>
      </c>
      <c r="O184" s="207">
        <f t="shared" si="46"/>
        <v>1380</v>
      </c>
      <c r="P184" s="205">
        <f t="shared" si="48"/>
        <v>1743.8328599999984</v>
      </c>
      <c r="Q184" s="206">
        <f>8.318+0.181</f>
        <v>8.4989999999999988</v>
      </c>
      <c r="R184" s="267">
        <v>1002.1453563302753</v>
      </c>
      <c r="S184" s="205">
        <f t="shared" si="33"/>
        <v>8517.2333834510082</v>
      </c>
      <c r="T184" s="207">
        <f t="shared" si="47"/>
        <v>8.4989999999999988</v>
      </c>
      <c r="U184" s="207">
        <v>1380</v>
      </c>
      <c r="V184" s="205">
        <f t="shared" si="38"/>
        <v>11728.619999999999</v>
      </c>
      <c r="W184" s="123"/>
      <c r="Z184" s="347">
        <v>7.2353529999999999</v>
      </c>
    </row>
    <row r="185" spans="1:26" s="216" customFormat="1" ht="23.1" hidden="1" customHeight="1" outlineLevel="2">
      <c r="A185" s="348">
        <v>1.1200000000000001</v>
      </c>
      <c r="B185" s="352" t="s">
        <v>145</v>
      </c>
      <c r="C185" s="352" t="s">
        <v>182</v>
      </c>
      <c r="D185" s="352" t="s">
        <v>147</v>
      </c>
      <c r="E185" s="207">
        <v>19.829000000000001</v>
      </c>
      <c r="F185" s="205">
        <v>1002.1453563302753</v>
      </c>
      <c r="G185" s="205">
        <v>19871.540270673027</v>
      </c>
      <c r="H185" s="207">
        <v>19.829000000000001</v>
      </c>
      <c r="I185" s="267">
        <v>1480</v>
      </c>
      <c r="J185" s="207">
        <v>29346.92</v>
      </c>
      <c r="K185" s="207">
        <f t="shared" si="44"/>
        <v>1.1772159999999996</v>
      </c>
      <c r="L185" s="267">
        <v>1002.1453563302753</v>
      </c>
      <c r="M185" s="205">
        <f t="shared" si="34"/>
        <v>1179.7415477977008</v>
      </c>
      <c r="N185" s="207">
        <f t="shared" si="45"/>
        <v>1.1772159999999996</v>
      </c>
      <c r="O185" s="207">
        <f t="shared" si="46"/>
        <v>1380</v>
      </c>
      <c r="P185" s="205">
        <f t="shared" si="48"/>
        <v>1624.5580799999993</v>
      </c>
      <c r="Q185" s="206">
        <f>6.454+0.274</f>
        <v>6.7279999999999998</v>
      </c>
      <c r="R185" s="267">
        <v>1002.1453563302753</v>
      </c>
      <c r="S185" s="205">
        <f t="shared" si="33"/>
        <v>6742.4339573900916</v>
      </c>
      <c r="T185" s="207">
        <f t="shared" si="47"/>
        <v>6.7279999999999998</v>
      </c>
      <c r="U185" s="207">
        <v>1380</v>
      </c>
      <c r="V185" s="205">
        <f t="shared" si="38"/>
        <v>9284.64</v>
      </c>
      <c r="W185" s="123"/>
      <c r="Z185" s="347">
        <v>5.5507840000000002</v>
      </c>
    </row>
    <row r="186" spans="1:26" s="216" customFormat="1" ht="23.1" hidden="1" customHeight="1" outlineLevel="2">
      <c r="A186" s="258">
        <v>1.1300000000000001</v>
      </c>
      <c r="B186" s="352" t="s">
        <v>145</v>
      </c>
      <c r="C186" s="352" t="s">
        <v>183</v>
      </c>
      <c r="D186" s="352" t="s">
        <v>147</v>
      </c>
      <c r="E186" s="207">
        <v>65.873999999999995</v>
      </c>
      <c r="F186" s="205">
        <v>1002.1453563302753</v>
      </c>
      <c r="G186" s="205">
        <v>66015.323202900545</v>
      </c>
      <c r="H186" s="207">
        <v>65.873999999999995</v>
      </c>
      <c r="I186" s="267">
        <v>1480</v>
      </c>
      <c r="J186" s="207">
        <v>97493.51999999999</v>
      </c>
      <c r="K186" s="207">
        <f t="shared" si="44"/>
        <v>6.1823160000000001</v>
      </c>
      <c r="L186" s="267">
        <v>1002.1453563302753</v>
      </c>
      <c r="M186" s="205">
        <f t="shared" si="34"/>
        <v>6195.5792707663622</v>
      </c>
      <c r="N186" s="207">
        <f t="shared" si="45"/>
        <v>6.1823160000000001</v>
      </c>
      <c r="O186" s="207">
        <f t="shared" si="46"/>
        <v>1380</v>
      </c>
      <c r="P186" s="205">
        <f t="shared" si="48"/>
        <v>8531.5960799999993</v>
      </c>
      <c r="Q186" s="206">
        <v>32.938000000000002</v>
      </c>
      <c r="R186" s="267">
        <v>1002.1453563302753</v>
      </c>
      <c r="S186" s="205">
        <f t="shared" si="33"/>
        <v>33008.663746806611</v>
      </c>
      <c r="T186" s="207">
        <f t="shared" si="47"/>
        <v>32.938000000000002</v>
      </c>
      <c r="U186" s="207">
        <v>1380</v>
      </c>
      <c r="V186" s="205">
        <f t="shared" si="38"/>
        <v>45454.44</v>
      </c>
      <c r="W186" s="123"/>
      <c r="Z186" s="347">
        <v>26.755684000000002</v>
      </c>
    </row>
    <row r="187" spans="1:26" s="216" customFormat="1" ht="23.1" hidden="1" customHeight="1" outlineLevel="2">
      <c r="A187" s="348">
        <v>1.1400000000000001</v>
      </c>
      <c r="B187" s="352" t="s">
        <v>145</v>
      </c>
      <c r="C187" s="352" t="s">
        <v>184</v>
      </c>
      <c r="D187" s="352" t="s">
        <v>147</v>
      </c>
      <c r="E187" s="207">
        <v>6.84</v>
      </c>
      <c r="F187" s="205">
        <v>887.54264631192655</v>
      </c>
      <c r="G187" s="205">
        <v>6070.7917007735778</v>
      </c>
      <c r="H187" s="207">
        <v>6.84</v>
      </c>
      <c r="I187" s="267">
        <v>1480</v>
      </c>
      <c r="J187" s="207">
        <v>10123.199999999999</v>
      </c>
      <c r="K187" s="207">
        <f t="shared" si="44"/>
        <v>0.72791599999999956</v>
      </c>
      <c r="L187" s="267">
        <v>887.54264631192655</v>
      </c>
      <c r="M187" s="205">
        <f t="shared" si="34"/>
        <v>646.05649293279191</v>
      </c>
      <c r="N187" s="207">
        <f t="shared" si="45"/>
        <v>0.72791599999999956</v>
      </c>
      <c r="O187" s="207">
        <f t="shared" si="46"/>
        <v>1380</v>
      </c>
      <c r="P187" s="205">
        <f t="shared" si="48"/>
        <v>1004.5240799999993</v>
      </c>
      <c r="Q187" s="206">
        <f>6.541+0.209</f>
        <v>6.75</v>
      </c>
      <c r="R187" s="267">
        <v>887.54264631192655</v>
      </c>
      <c r="S187" s="205">
        <f t="shared" si="33"/>
        <v>5990.9128626055044</v>
      </c>
      <c r="T187" s="207">
        <f t="shared" si="47"/>
        <v>6.75</v>
      </c>
      <c r="U187" s="207">
        <v>1380</v>
      </c>
      <c r="V187" s="205">
        <f t="shared" si="38"/>
        <v>9315</v>
      </c>
      <c r="W187" s="123"/>
      <c r="Z187" s="347">
        <v>6.0220840000000004</v>
      </c>
    </row>
    <row r="188" spans="1:26" s="216" customFormat="1" ht="23.1" hidden="1" customHeight="1" outlineLevel="2">
      <c r="A188" s="258">
        <v>1.1500000000000001</v>
      </c>
      <c r="B188" s="352" t="s">
        <v>145</v>
      </c>
      <c r="C188" s="352" t="s">
        <v>185</v>
      </c>
      <c r="D188" s="352" t="s">
        <v>147</v>
      </c>
      <c r="E188" s="207">
        <v>1.2</v>
      </c>
      <c r="F188" s="205">
        <v>887.55213093577981</v>
      </c>
      <c r="G188" s="205">
        <v>1065.0625571229357</v>
      </c>
      <c r="H188" s="207">
        <v>1.2</v>
      </c>
      <c r="I188" s="267">
        <v>1480</v>
      </c>
      <c r="J188" s="207">
        <v>1776</v>
      </c>
      <c r="K188" s="207">
        <f t="shared" si="44"/>
        <v>0</v>
      </c>
      <c r="L188" s="267">
        <v>887.55213093577981</v>
      </c>
      <c r="M188" s="205">
        <f t="shared" si="34"/>
        <v>0</v>
      </c>
      <c r="N188" s="207">
        <f t="shared" si="45"/>
        <v>0</v>
      </c>
      <c r="O188" s="207">
        <f t="shared" si="46"/>
        <v>1380</v>
      </c>
      <c r="P188" s="205">
        <f t="shared" si="48"/>
        <v>0</v>
      </c>
      <c r="Q188" s="206"/>
      <c r="R188" s="267">
        <v>887.55213093577981</v>
      </c>
      <c r="S188" s="205">
        <f t="shared" si="33"/>
        <v>0</v>
      </c>
      <c r="T188" s="207">
        <f t="shared" si="47"/>
        <v>0</v>
      </c>
      <c r="U188" s="207">
        <v>1380</v>
      </c>
      <c r="V188" s="205">
        <f t="shared" si="38"/>
        <v>0</v>
      </c>
      <c r="W188" s="123"/>
      <c r="Z188" s="347"/>
    </row>
    <row r="189" spans="1:26" s="216" customFormat="1" ht="23.1" hidden="1" customHeight="1" outlineLevel="2">
      <c r="A189" s="348">
        <v>1.1600000000000001</v>
      </c>
      <c r="B189" s="339" t="s">
        <v>162</v>
      </c>
      <c r="C189" s="339" t="s">
        <v>172</v>
      </c>
      <c r="D189" s="339" t="s">
        <v>147</v>
      </c>
      <c r="E189" s="207">
        <v>1.651</v>
      </c>
      <c r="F189" s="205">
        <v>1874.5505429724772</v>
      </c>
      <c r="G189" s="205">
        <v>3094.8829464475598</v>
      </c>
      <c r="H189" s="207">
        <v>1.651</v>
      </c>
      <c r="I189" s="267">
        <v>1480</v>
      </c>
      <c r="J189" s="207">
        <v>2443.48</v>
      </c>
      <c r="K189" s="207">
        <f t="shared" si="44"/>
        <v>0</v>
      </c>
      <c r="L189" s="267">
        <v>1874.5505429724772</v>
      </c>
      <c r="M189" s="205">
        <f t="shared" si="34"/>
        <v>0</v>
      </c>
      <c r="N189" s="207">
        <f t="shared" si="45"/>
        <v>0</v>
      </c>
      <c r="O189" s="207">
        <f t="shared" si="46"/>
        <v>1380</v>
      </c>
      <c r="P189" s="205">
        <f t="shared" si="48"/>
        <v>0</v>
      </c>
      <c r="Q189" s="206"/>
      <c r="R189" s="267">
        <v>1874.5505429724772</v>
      </c>
      <c r="S189" s="205">
        <f t="shared" si="33"/>
        <v>0</v>
      </c>
      <c r="T189" s="207">
        <f t="shared" si="47"/>
        <v>0</v>
      </c>
      <c r="U189" s="207">
        <v>1380</v>
      </c>
      <c r="V189" s="205">
        <f t="shared" si="38"/>
        <v>0</v>
      </c>
      <c r="W189" s="123"/>
      <c r="Z189" s="347"/>
    </row>
    <row r="190" spans="1:26" s="216" customFormat="1" ht="23.1" hidden="1" customHeight="1" outlineLevel="2">
      <c r="A190" s="258">
        <v>1.1700000000000002</v>
      </c>
      <c r="B190" s="258" t="s">
        <v>162</v>
      </c>
      <c r="C190" s="258" t="s">
        <v>173</v>
      </c>
      <c r="D190" s="258" t="s">
        <v>147</v>
      </c>
      <c r="E190" s="207">
        <v>2.0750000000000002</v>
      </c>
      <c r="F190" s="205">
        <v>1142.8971743119266</v>
      </c>
      <c r="G190" s="205">
        <v>2371.5116366972479</v>
      </c>
      <c r="H190" s="207">
        <v>2.0750000000000002</v>
      </c>
      <c r="I190" s="267">
        <v>1480</v>
      </c>
      <c r="J190" s="207">
        <v>3071.0000000000005</v>
      </c>
      <c r="K190" s="207">
        <f t="shared" si="44"/>
        <v>0</v>
      </c>
      <c r="L190" s="267">
        <v>1142.8971743119266</v>
      </c>
      <c r="M190" s="205">
        <f t="shared" si="34"/>
        <v>0</v>
      </c>
      <c r="N190" s="207">
        <f t="shared" si="45"/>
        <v>0</v>
      </c>
      <c r="O190" s="207">
        <f t="shared" si="46"/>
        <v>1380</v>
      </c>
      <c r="P190" s="205">
        <f t="shared" si="48"/>
        <v>0</v>
      </c>
      <c r="Q190" s="206"/>
      <c r="R190" s="267">
        <v>1142.8971743119266</v>
      </c>
      <c r="S190" s="205">
        <f t="shared" si="33"/>
        <v>0</v>
      </c>
      <c r="T190" s="207">
        <f t="shared" si="47"/>
        <v>0</v>
      </c>
      <c r="U190" s="207">
        <v>1380</v>
      </c>
      <c r="V190" s="205">
        <f t="shared" si="38"/>
        <v>0</v>
      </c>
      <c r="W190" s="123"/>
      <c r="Z190" s="347"/>
    </row>
    <row r="191" spans="1:26" s="216" customFormat="1" ht="23.1" hidden="1" customHeight="1" outlineLevel="2">
      <c r="A191" s="348">
        <v>1.1800000000000002</v>
      </c>
      <c r="B191" s="258" t="s">
        <v>162</v>
      </c>
      <c r="C191" s="258" t="s">
        <v>174</v>
      </c>
      <c r="D191" s="258" t="s">
        <v>147</v>
      </c>
      <c r="E191" s="207">
        <v>9.2309999999999999</v>
      </c>
      <c r="F191" s="205">
        <v>1874.5505429724772</v>
      </c>
      <c r="G191" s="205">
        <v>17303.976062178936</v>
      </c>
      <c r="H191" s="207">
        <v>9.2309999999999999</v>
      </c>
      <c r="I191" s="267">
        <v>1480</v>
      </c>
      <c r="J191" s="207">
        <v>13661.88</v>
      </c>
      <c r="K191" s="207">
        <f t="shared" si="44"/>
        <v>1.1936720000000003</v>
      </c>
      <c r="L191" s="267">
        <v>1874.5505429724772</v>
      </c>
      <c r="M191" s="205">
        <f t="shared" si="34"/>
        <v>2237.5984957310434</v>
      </c>
      <c r="N191" s="207">
        <f t="shared" si="45"/>
        <v>1.1936720000000003</v>
      </c>
      <c r="O191" s="207">
        <f t="shared" si="46"/>
        <v>1380</v>
      </c>
      <c r="P191" s="205">
        <f t="shared" si="48"/>
        <v>1647.2673600000005</v>
      </c>
      <c r="Q191" s="206">
        <f>2.217+0.858+0.351</f>
        <v>3.4260000000000002</v>
      </c>
      <c r="R191" s="267">
        <v>1874.5505429724772</v>
      </c>
      <c r="S191" s="205">
        <f t="shared" ref="S191:S256" si="49">+R191*Q191</f>
        <v>6422.2101602237071</v>
      </c>
      <c r="T191" s="207">
        <f t="shared" si="47"/>
        <v>3.4260000000000002</v>
      </c>
      <c r="U191" s="207">
        <v>1380</v>
      </c>
      <c r="V191" s="205">
        <f t="shared" si="38"/>
        <v>4727.88</v>
      </c>
      <c r="W191" s="123"/>
      <c r="Z191" s="347">
        <v>2.2323279999999999</v>
      </c>
    </row>
    <row r="192" spans="1:26" s="216" customFormat="1" ht="23.1" hidden="1" customHeight="1" outlineLevel="2">
      <c r="A192" s="258">
        <v>1.1900000000000002</v>
      </c>
      <c r="B192" s="258" t="s">
        <v>162</v>
      </c>
      <c r="C192" s="258" t="s">
        <v>175</v>
      </c>
      <c r="D192" s="258" t="s">
        <v>147</v>
      </c>
      <c r="E192" s="207">
        <v>112.75</v>
      </c>
      <c r="F192" s="205">
        <v>1874.5505429724772</v>
      </c>
      <c r="G192" s="205">
        <v>211355.57372014679</v>
      </c>
      <c r="H192" s="207">
        <v>112.75</v>
      </c>
      <c r="I192" s="267">
        <v>1480</v>
      </c>
      <c r="J192" s="207">
        <v>166870</v>
      </c>
      <c r="K192" s="207">
        <f t="shared" si="44"/>
        <v>10.230000000000004</v>
      </c>
      <c r="L192" s="267">
        <v>1874.5505429724772</v>
      </c>
      <c r="M192" s="205">
        <f t="shared" si="34"/>
        <v>19176.65205460845</v>
      </c>
      <c r="N192" s="207">
        <f t="shared" si="45"/>
        <v>10.230000000000004</v>
      </c>
      <c r="O192" s="207">
        <f t="shared" si="46"/>
        <v>1380</v>
      </c>
      <c r="P192" s="205">
        <f t="shared" si="48"/>
        <v>14117.400000000005</v>
      </c>
      <c r="Q192" s="206">
        <v>42.652000000000001</v>
      </c>
      <c r="R192" s="267">
        <v>1874.5505429724772</v>
      </c>
      <c r="S192" s="205">
        <f t="shared" si="49"/>
        <v>79953.329758862092</v>
      </c>
      <c r="T192" s="207">
        <f t="shared" si="47"/>
        <v>42.652000000000001</v>
      </c>
      <c r="U192" s="207">
        <v>1380</v>
      </c>
      <c r="V192" s="205">
        <f t="shared" si="38"/>
        <v>58859.76</v>
      </c>
      <c r="W192" s="123"/>
      <c r="Z192" s="347">
        <v>32.421999999999997</v>
      </c>
    </row>
    <row r="193" spans="1:26" s="216" customFormat="1" ht="23.1" hidden="1" customHeight="1" outlineLevel="2">
      <c r="A193" s="348">
        <v>1.2000000000000002</v>
      </c>
      <c r="B193" s="258" t="s">
        <v>162</v>
      </c>
      <c r="C193" s="258" t="s">
        <v>176</v>
      </c>
      <c r="D193" s="258" t="s">
        <v>147</v>
      </c>
      <c r="E193" s="207">
        <v>26.341999999999999</v>
      </c>
      <c r="F193" s="205">
        <v>1874.5505429724772</v>
      </c>
      <c r="G193" s="205">
        <v>49379.41040298099</v>
      </c>
      <c r="H193" s="207">
        <v>26.341999999999999</v>
      </c>
      <c r="I193" s="267">
        <v>1480</v>
      </c>
      <c r="J193" s="207">
        <v>38986.159999999996</v>
      </c>
      <c r="K193" s="207">
        <f t="shared" si="44"/>
        <v>0.56400000000000006</v>
      </c>
      <c r="L193" s="267">
        <v>1874.5505429724772</v>
      </c>
      <c r="M193" s="205">
        <f t="shared" si="34"/>
        <v>1057.2465062364772</v>
      </c>
      <c r="N193" s="207">
        <f t="shared" si="45"/>
        <v>0.56400000000000006</v>
      </c>
      <c r="O193" s="207">
        <f t="shared" si="46"/>
        <v>1380</v>
      </c>
      <c r="P193" s="205">
        <f t="shared" si="48"/>
        <v>778.32</v>
      </c>
      <c r="Q193" s="206">
        <v>17.238</v>
      </c>
      <c r="R193" s="267">
        <v>1874.5505429724772</v>
      </c>
      <c r="S193" s="205">
        <f t="shared" si="49"/>
        <v>32313.50225975956</v>
      </c>
      <c r="T193" s="207">
        <f t="shared" si="47"/>
        <v>17.238</v>
      </c>
      <c r="U193" s="207">
        <v>1380</v>
      </c>
      <c r="V193" s="205">
        <f t="shared" si="38"/>
        <v>23788.44</v>
      </c>
      <c r="W193" s="123"/>
      <c r="Z193" s="347">
        <v>16.673999999999999</v>
      </c>
    </row>
    <row r="194" spans="1:26" s="216" customFormat="1" ht="23.1" hidden="1" customHeight="1" outlineLevel="2">
      <c r="A194" s="258">
        <v>1.2100000000000002</v>
      </c>
      <c r="B194" s="258" t="s">
        <v>162</v>
      </c>
      <c r="C194" s="258" t="s">
        <v>177</v>
      </c>
      <c r="D194" s="258" t="s">
        <v>147</v>
      </c>
      <c r="E194" s="207">
        <v>31.206</v>
      </c>
      <c r="F194" s="205">
        <v>1142.8971743119266</v>
      </c>
      <c r="G194" s="205">
        <v>35665.249221577978</v>
      </c>
      <c r="H194" s="207">
        <v>31.206</v>
      </c>
      <c r="I194" s="267">
        <v>1480</v>
      </c>
      <c r="J194" s="207">
        <v>46184.88</v>
      </c>
      <c r="K194" s="207">
        <f t="shared" si="44"/>
        <v>2.7800000000000011</v>
      </c>
      <c r="L194" s="267">
        <v>1142.8971743119266</v>
      </c>
      <c r="M194" s="205">
        <f t="shared" si="34"/>
        <v>3177.2541445871575</v>
      </c>
      <c r="N194" s="207">
        <f t="shared" si="45"/>
        <v>2.7800000000000011</v>
      </c>
      <c r="O194" s="207">
        <f t="shared" si="46"/>
        <v>1380</v>
      </c>
      <c r="P194" s="205">
        <f t="shared" si="48"/>
        <v>3836.4000000000015</v>
      </c>
      <c r="Q194" s="206">
        <v>37.255000000000003</v>
      </c>
      <c r="R194" s="267">
        <v>1142.8971743119266</v>
      </c>
      <c r="S194" s="205">
        <f t="shared" si="49"/>
        <v>42578.634228990828</v>
      </c>
      <c r="T194" s="207">
        <f t="shared" si="47"/>
        <v>37.255000000000003</v>
      </c>
      <c r="U194" s="207">
        <v>1380</v>
      </c>
      <c r="V194" s="205">
        <f t="shared" si="38"/>
        <v>51411.9</v>
      </c>
      <c r="W194" s="123"/>
      <c r="Z194" s="347">
        <v>34.475000000000001</v>
      </c>
    </row>
    <row r="195" spans="1:26" s="216" customFormat="1" ht="23.1" hidden="1" customHeight="1" outlineLevel="2">
      <c r="A195" s="348">
        <v>1.2200000000000002</v>
      </c>
      <c r="B195" s="258" t="s">
        <v>162</v>
      </c>
      <c r="C195" s="258" t="s">
        <v>178</v>
      </c>
      <c r="D195" s="258" t="s">
        <v>147</v>
      </c>
      <c r="E195" s="207">
        <v>2.746</v>
      </c>
      <c r="F195" s="205">
        <v>1142.9066589357797</v>
      </c>
      <c r="G195" s="205">
        <v>3138.4216854376509</v>
      </c>
      <c r="H195" s="207">
        <v>2.746</v>
      </c>
      <c r="I195" s="267">
        <v>1480</v>
      </c>
      <c r="J195" s="207">
        <v>4064.08</v>
      </c>
      <c r="K195" s="207">
        <f t="shared" si="44"/>
        <v>0</v>
      </c>
      <c r="L195" s="267">
        <v>1142.9066589357797</v>
      </c>
      <c r="M195" s="205">
        <f t="shared" si="34"/>
        <v>0</v>
      </c>
      <c r="N195" s="207">
        <f t="shared" si="45"/>
        <v>0</v>
      </c>
      <c r="O195" s="207">
        <f t="shared" si="46"/>
        <v>1380</v>
      </c>
      <c r="P195" s="205">
        <f t="shared" si="48"/>
        <v>0</v>
      </c>
      <c r="Q195" s="206"/>
      <c r="R195" s="267">
        <v>1142.9066589357797</v>
      </c>
      <c r="S195" s="205">
        <f t="shared" si="49"/>
        <v>0</v>
      </c>
      <c r="T195" s="207">
        <f t="shared" si="47"/>
        <v>0</v>
      </c>
      <c r="U195" s="207">
        <v>1380</v>
      </c>
      <c r="V195" s="205">
        <f t="shared" si="38"/>
        <v>0</v>
      </c>
      <c r="W195" s="123"/>
      <c r="Z195" s="347"/>
    </row>
    <row r="196" spans="1:26" s="216" customFormat="1" ht="23.1" hidden="1" customHeight="1" outlineLevel="2">
      <c r="A196" s="258">
        <v>1.2300000000000002</v>
      </c>
      <c r="B196" s="258" t="s">
        <v>162</v>
      </c>
      <c r="C196" s="258" t="s">
        <v>179</v>
      </c>
      <c r="D196" s="258" t="s">
        <v>147</v>
      </c>
      <c r="E196" s="207">
        <v>0.52800000000000002</v>
      </c>
      <c r="F196" s="205">
        <v>1142.9066589357797</v>
      </c>
      <c r="G196" s="205">
        <v>603.45471591809167</v>
      </c>
      <c r="H196" s="207">
        <v>0.52800000000000002</v>
      </c>
      <c r="I196" s="267">
        <v>1480</v>
      </c>
      <c r="J196" s="207">
        <v>781.44</v>
      </c>
      <c r="K196" s="207">
        <f t="shared" si="44"/>
        <v>0</v>
      </c>
      <c r="L196" s="267">
        <v>1142.9066589357797</v>
      </c>
      <c r="M196" s="205">
        <f t="shared" si="34"/>
        <v>0</v>
      </c>
      <c r="N196" s="207">
        <f t="shared" si="45"/>
        <v>0</v>
      </c>
      <c r="O196" s="207">
        <f t="shared" si="46"/>
        <v>1380</v>
      </c>
      <c r="P196" s="205">
        <f t="shared" si="48"/>
        <v>0</v>
      </c>
      <c r="Q196" s="206"/>
      <c r="R196" s="267">
        <v>1142.9066589357797</v>
      </c>
      <c r="S196" s="205">
        <f t="shared" si="49"/>
        <v>0</v>
      </c>
      <c r="T196" s="207">
        <f t="shared" si="47"/>
        <v>0</v>
      </c>
      <c r="U196" s="207">
        <v>1380</v>
      </c>
      <c r="V196" s="205">
        <f t="shared" si="38"/>
        <v>0</v>
      </c>
      <c r="W196" s="123"/>
      <c r="Z196" s="347"/>
    </row>
    <row r="197" spans="1:26" s="216" customFormat="1" ht="23.1" hidden="1" customHeight="1" outlineLevel="2">
      <c r="A197" s="348">
        <v>1.2400000000000002</v>
      </c>
      <c r="B197" s="258" t="s">
        <v>162</v>
      </c>
      <c r="C197" s="258" t="s">
        <v>180</v>
      </c>
      <c r="D197" s="258" t="s">
        <v>147</v>
      </c>
      <c r="E197" s="207">
        <v>15.275</v>
      </c>
      <c r="F197" s="205">
        <v>1142.8971743119266</v>
      </c>
      <c r="G197" s="205">
        <v>17457.754337614679</v>
      </c>
      <c r="H197" s="207">
        <v>15.275</v>
      </c>
      <c r="I197" s="267">
        <v>1480</v>
      </c>
      <c r="J197" s="207">
        <v>22607</v>
      </c>
      <c r="K197" s="207">
        <f t="shared" si="44"/>
        <v>0</v>
      </c>
      <c r="L197" s="267">
        <v>1142.8971743119266</v>
      </c>
      <c r="M197" s="205">
        <f t="shared" si="34"/>
        <v>0</v>
      </c>
      <c r="N197" s="207">
        <f t="shared" si="45"/>
        <v>0</v>
      </c>
      <c r="O197" s="207">
        <f t="shared" si="46"/>
        <v>1380</v>
      </c>
      <c r="P197" s="205">
        <f t="shared" si="48"/>
        <v>0</v>
      </c>
      <c r="Q197" s="206"/>
      <c r="R197" s="267">
        <v>1142.8971743119266</v>
      </c>
      <c r="S197" s="205">
        <f t="shared" si="49"/>
        <v>0</v>
      </c>
      <c r="T197" s="207">
        <f t="shared" si="47"/>
        <v>0</v>
      </c>
      <c r="U197" s="207">
        <v>1380</v>
      </c>
      <c r="V197" s="205">
        <f t="shared" si="38"/>
        <v>0</v>
      </c>
      <c r="W197" s="123"/>
      <c r="Z197" s="347"/>
    </row>
    <row r="198" spans="1:26" s="216" customFormat="1" ht="23.1" hidden="1" customHeight="1" outlineLevel="2">
      <c r="A198" s="258">
        <v>1.2500000000000002</v>
      </c>
      <c r="B198" s="258" t="s">
        <v>164</v>
      </c>
      <c r="C198" s="258" t="s">
        <v>186</v>
      </c>
      <c r="D198" s="258" t="s">
        <v>166</v>
      </c>
      <c r="E198" s="207">
        <v>8270</v>
      </c>
      <c r="F198" s="205">
        <v>8.2231688807339456</v>
      </c>
      <c r="G198" s="205">
        <v>68005.606643669729</v>
      </c>
      <c r="H198" s="207">
        <v>8270</v>
      </c>
      <c r="I198" s="267"/>
      <c r="J198" s="207">
        <v>0</v>
      </c>
      <c r="K198" s="207">
        <f t="shared" si="44"/>
        <v>0</v>
      </c>
      <c r="L198" s="267">
        <v>8.2231688807339456</v>
      </c>
      <c r="M198" s="205">
        <f t="shared" si="34"/>
        <v>0</v>
      </c>
      <c r="N198" s="207">
        <f t="shared" si="45"/>
        <v>0</v>
      </c>
      <c r="O198" s="207">
        <f t="shared" si="46"/>
        <v>0</v>
      </c>
      <c r="P198" s="205">
        <f t="shared" si="48"/>
        <v>0</v>
      </c>
      <c r="Q198" s="206">
        <v>3762</v>
      </c>
      <c r="R198" s="267">
        <v>8.2231688807339456</v>
      </c>
      <c r="S198" s="205">
        <f t="shared" si="49"/>
        <v>30935.561329321103</v>
      </c>
      <c r="T198" s="207">
        <f t="shared" si="47"/>
        <v>3762</v>
      </c>
      <c r="U198" s="207"/>
      <c r="V198" s="205">
        <f t="shared" si="38"/>
        <v>0</v>
      </c>
      <c r="W198" s="123"/>
      <c r="Z198" s="347">
        <v>3762</v>
      </c>
    </row>
    <row r="199" spans="1:26" s="216" customFormat="1" ht="23.1" hidden="1" customHeight="1" outlineLevel="2">
      <c r="A199" s="348">
        <v>1.2600000000000002</v>
      </c>
      <c r="B199" s="258" t="s">
        <v>164</v>
      </c>
      <c r="C199" s="258" t="s">
        <v>187</v>
      </c>
      <c r="D199" s="258" t="s">
        <v>166</v>
      </c>
      <c r="E199" s="207">
        <v>15</v>
      </c>
      <c r="F199" s="205">
        <v>10.214939889908257</v>
      </c>
      <c r="G199" s="205">
        <v>153.22409834862384</v>
      </c>
      <c r="H199" s="207">
        <v>15</v>
      </c>
      <c r="I199" s="267"/>
      <c r="J199" s="207">
        <v>0</v>
      </c>
      <c r="K199" s="207">
        <f t="shared" si="44"/>
        <v>0</v>
      </c>
      <c r="L199" s="267">
        <v>10.214939889908257</v>
      </c>
      <c r="M199" s="205">
        <f t="shared" si="34"/>
        <v>0</v>
      </c>
      <c r="N199" s="207">
        <f t="shared" si="45"/>
        <v>0</v>
      </c>
      <c r="O199" s="207">
        <f t="shared" si="46"/>
        <v>0</v>
      </c>
      <c r="P199" s="205">
        <f t="shared" si="48"/>
        <v>0</v>
      </c>
      <c r="Q199" s="206">
        <v>48</v>
      </c>
      <c r="R199" s="267">
        <v>10.214939889908257</v>
      </c>
      <c r="S199" s="205">
        <f t="shared" si="49"/>
        <v>490.31711471559629</v>
      </c>
      <c r="T199" s="207">
        <f t="shared" si="47"/>
        <v>48</v>
      </c>
      <c r="U199" s="207"/>
      <c r="V199" s="205">
        <f t="shared" si="38"/>
        <v>0</v>
      </c>
      <c r="W199" s="123"/>
      <c r="Z199" s="347">
        <v>48</v>
      </c>
    </row>
    <row r="200" spans="1:26" s="216" customFormat="1" ht="23.1" hidden="1" customHeight="1" outlineLevel="2">
      <c r="A200" s="258">
        <v>1.2700000000000002</v>
      </c>
      <c r="B200" s="258" t="s">
        <v>164</v>
      </c>
      <c r="C200" s="258" t="s">
        <v>188</v>
      </c>
      <c r="D200" s="258" t="s">
        <v>166</v>
      </c>
      <c r="E200" s="207">
        <v>1</v>
      </c>
      <c r="F200" s="205">
        <v>12.159287779816513</v>
      </c>
      <c r="G200" s="205">
        <v>12.159287779816513</v>
      </c>
      <c r="H200" s="207">
        <v>1</v>
      </c>
      <c r="I200" s="267"/>
      <c r="J200" s="207">
        <v>0</v>
      </c>
      <c r="K200" s="207">
        <f t="shared" si="44"/>
        <v>0</v>
      </c>
      <c r="L200" s="267">
        <v>12.159287779816513</v>
      </c>
      <c r="M200" s="205">
        <f t="shared" si="34"/>
        <v>0</v>
      </c>
      <c r="N200" s="207">
        <f t="shared" si="45"/>
        <v>0</v>
      </c>
      <c r="O200" s="207">
        <f t="shared" si="46"/>
        <v>0</v>
      </c>
      <c r="P200" s="205">
        <f t="shared" si="48"/>
        <v>0</v>
      </c>
      <c r="Q200" s="206"/>
      <c r="R200" s="267">
        <v>12.159287779816513</v>
      </c>
      <c r="S200" s="205">
        <f t="shared" si="49"/>
        <v>0</v>
      </c>
      <c r="T200" s="207">
        <f t="shared" si="47"/>
        <v>0</v>
      </c>
      <c r="U200" s="207"/>
      <c r="V200" s="205">
        <f t="shared" si="38"/>
        <v>0</v>
      </c>
      <c r="W200" s="123"/>
      <c r="Z200" s="347"/>
    </row>
    <row r="201" spans="1:26" s="215" customFormat="1" ht="23.1" hidden="1" customHeight="1" outlineLevel="1" collapsed="1">
      <c r="A201" s="257">
        <v>2</v>
      </c>
      <c r="B201" s="342" t="s">
        <v>189</v>
      </c>
      <c r="C201" s="274"/>
      <c r="D201" s="315"/>
      <c r="E201" s="229"/>
      <c r="F201" s="222">
        <v>0</v>
      </c>
      <c r="G201" s="222">
        <v>0</v>
      </c>
      <c r="H201" s="229"/>
      <c r="I201" s="267"/>
      <c r="J201" s="229">
        <v>0</v>
      </c>
      <c r="K201" s="229"/>
      <c r="L201" s="266"/>
      <c r="M201" s="222">
        <f>SUM(M202:M221)</f>
        <v>40102.981115083508</v>
      </c>
      <c r="N201" s="229"/>
      <c r="O201" s="229"/>
      <c r="P201" s="222">
        <f>SUM(P202:P221)</f>
        <v>26848.488450000001</v>
      </c>
      <c r="Q201" s="229"/>
      <c r="R201" s="266"/>
      <c r="S201" s="222">
        <f>SUM(S202:S221)</f>
        <v>185310.23339096567</v>
      </c>
      <c r="T201" s="229"/>
      <c r="U201" s="229"/>
      <c r="V201" s="222">
        <f>SUM(V202:V221)</f>
        <v>122783.5812</v>
      </c>
      <c r="W201" s="137"/>
      <c r="Z201" s="283"/>
    </row>
    <row r="202" spans="1:26" s="216" customFormat="1" ht="23.1" hidden="1" customHeight="1" outlineLevel="2">
      <c r="A202" s="339">
        <v>2.1</v>
      </c>
      <c r="B202" s="258" t="s">
        <v>106</v>
      </c>
      <c r="C202" s="258" t="s">
        <v>190</v>
      </c>
      <c r="D202" s="258" t="s">
        <v>103</v>
      </c>
      <c r="E202" s="207">
        <v>387.96</v>
      </c>
      <c r="F202" s="205">
        <v>92.389720954128435</v>
      </c>
      <c r="G202" s="205">
        <v>35843.516141363667</v>
      </c>
      <c r="H202" s="207">
        <v>387.96</v>
      </c>
      <c r="I202" s="267">
        <v>65</v>
      </c>
      <c r="J202" s="207">
        <v>25217.4</v>
      </c>
      <c r="K202" s="207">
        <f>+Q202-Z202</f>
        <v>0</v>
      </c>
      <c r="L202" s="267">
        <v>92.389720954128435</v>
      </c>
      <c r="M202" s="205">
        <f t="shared" ref="M202:M267" si="50">+L202*K202</f>
        <v>0</v>
      </c>
      <c r="N202" s="207">
        <f>+K202</f>
        <v>0</v>
      </c>
      <c r="O202" s="207">
        <f>+U202</f>
        <v>59.5</v>
      </c>
      <c r="P202" s="205">
        <f t="shared" si="48"/>
        <v>0</v>
      </c>
      <c r="Q202" s="206">
        <v>407.8809</v>
      </c>
      <c r="R202" s="267">
        <v>92.389720954128435</v>
      </c>
      <c r="S202" s="205">
        <f t="shared" si="49"/>
        <v>37684.002533518767</v>
      </c>
      <c r="T202" s="207">
        <f>+Q202</f>
        <v>407.8809</v>
      </c>
      <c r="U202" s="207">
        <v>59.5</v>
      </c>
      <c r="V202" s="205">
        <f t="shared" ref="V202:V265" si="51">+U202*T202</f>
        <v>24268.913550000001</v>
      </c>
      <c r="W202" s="123"/>
      <c r="Z202" s="347">
        <v>407.8809</v>
      </c>
    </row>
    <row r="203" spans="1:26" s="216" customFormat="1" ht="23.1" hidden="1" customHeight="1" outlineLevel="2">
      <c r="A203" s="339">
        <v>2.2000000000000002</v>
      </c>
      <c r="B203" s="258" t="s">
        <v>208</v>
      </c>
      <c r="C203" s="258" t="s">
        <v>209</v>
      </c>
      <c r="D203" s="258" t="s">
        <v>103</v>
      </c>
      <c r="E203" s="207">
        <v>387.51</v>
      </c>
      <c r="F203" s="205">
        <v>92.389720954128435</v>
      </c>
      <c r="G203" s="205">
        <v>35801.940766934313</v>
      </c>
      <c r="H203" s="207">
        <v>387.51</v>
      </c>
      <c r="I203" s="267">
        <v>65</v>
      </c>
      <c r="J203" s="207">
        <v>25188.15</v>
      </c>
      <c r="K203" s="207">
        <f t="shared" ref="K203:K221" si="52">+Q203-Z203</f>
        <v>0</v>
      </c>
      <c r="L203" s="267">
        <v>92.389720954128435</v>
      </c>
      <c r="M203" s="205">
        <f t="shared" si="50"/>
        <v>0</v>
      </c>
      <c r="N203" s="207">
        <f t="shared" ref="N203:N221" si="53">+K203</f>
        <v>0</v>
      </c>
      <c r="O203" s="207">
        <f t="shared" ref="O203:O221" si="54">+U203</f>
        <v>59.5</v>
      </c>
      <c r="P203" s="205">
        <f t="shared" si="48"/>
        <v>0</v>
      </c>
      <c r="Q203" s="206">
        <v>416.54919999999998</v>
      </c>
      <c r="R203" s="267">
        <v>92.389720954128435</v>
      </c>
      <c r="S203" s="205">
        <f t="shared" si="49"/>
        <v>38484.864351665434</v>
      </c>
      <c r="T203" s="207">
        <f t="shared" ref="T203:T221" si="55">+Q203</f>
        <v>416.54919999999998</v>
      </c>
      <c r="U203" s="207">
        <v>59.5</v>
      </c>
      <c r="V203" s="205">
        <f t="shared" si="51"/>
        <v>24784.6774</v>
      </c>
      <c r="W203" s="123"/>
      <c r="Z203" s="347">
        <v>416.54919999999998</v>
      </c>
    </row>
    <row r="204" spans="1:26" s="216" customFormat="1" ht="23.1" hidden="1" customHeight="1" outlineLevel="2">
      <c r="A204" s="339">
        <v>2.3000000000000003</v>
      </c>
      <c r="B204" s="258" t="s">
        <v>210</v>
      </c>
      <c r="C204" s="258" t="s">
        <v>211</v>
      </c>
      <c r="D204" s="258" t="s">
        <v>103</v>
      </c>
      <c r="E204" s="207">
        <v>391.59</v>
      </c>
      <c r="F204" s="205">
        <v>92.389720954128435</v>
      </c>
      <c r="G204" s="205">
        <v>36178.890828427153</v>
      </c>
      <c r="H204" s="207">
        <v>391.59</v>
      </c>
      <c r="I204" s="267">
        <v>65</v>
      </c>
      <c r="J204" s="207">
        <v>25453.35</v>
      </c>
      <c r="K204" s="207">
        <f t="shared" si="52"/>
        <v>167.06620000000001</v>
      </c>
      <c r="L204" s="267">
        <v>92.389720954128435</v>
      </c>
      <c r="M204" s="205">
        <f t="shared" si="50"/>
        <v>15435.199598866613</v>
      </c>
      <c r="N204" s="207">
        <f t="shared" si="53"/>
        <v>167.06620000000001</v>
      </c>
      <c r="O204" s="207">
        <f t="shared" si="54"/>
        <v>59.5</v>
      </c>
      <c r="P204" s="205">
        <f t="shared" si="48"/>
        <v>9940.438900000001</v>
      </c>
      <c r="Q204" s="206">
        <v>417.7713</v>
      </c>
      <c r="R204" s="267">
        <v>92.389720954128435</v>
      </c>
      <c r="S204" s="205">
        <f t="shared" si="49"/>
        <v>38597.773829643476</v>
      </c>
      <c r="T204" s="207">
        <f t="shared" si="55"/>
        <v>417.7713</v>
      </c>
      <c r="U204" s="207">
        <v>59.5</v>
      </c>
      <c r="V204" s="205">
        <f t="shared" si="51"/>
        <v>24857.392349999998</v>
      </c>
      <c r="W204" s="123"/>
      <c r="Z204" s="347">
        <v>250.70509999999999</v>
      </c>
    </row>
    <row r="205" spans="1:26" s="216" customFormat="1" ht="23.1" hidden="1" customHeight="1" outlineLevel="2">
      <c r="A205" s="339">
        <v>2.4000000000000004</v>
      </c>
      <c r="B205" s="258" t="s">
        <v>212</v>
      </c>
      <c r="C205" s="258" t="s">
        <v>213</v>
      </c>
      <c r="D205" s="258" t="s">
        <v>103</v>
      </c>
      <c r="E205" s="207">
        <v>415.31</v>
      </c>
      <c r="F205" s="205">
        <v>92.389720954128435</v>
      </c>
      <c r="G205" s="205">
        <v>38370.37500945908</v>
      </c>
      <c r="H205" s="207">
        <v>415.31</v>
      </c>
      <c r="I205" s="267">
        <v>65</v>
      </c>
      <c r="J205" s="207">
        <v>26995.15</v>
      </c>
      <c r="K205" s="207">
        <f t="shared" si="52"/>
        <v>83.603399999999993</v>
      </c>
      <c r="L205" s="267">
        <v>92.389720954128435</v>
      </c>
      <c r="M205" s="205">
        <f t="shared" si="50"/>
        <v>7724.0947968163809</v>
      </c>
      <c r="N205" s="207">
        <f t="shared" si="53"/>
        <v>83.603399999999993</v>
      </c>
      <c r="O205" s="207">
        <f t="shared" si="54"/>
        <v>59.5</v>
      </c>
      <c r="P205" s="205">
        <f t="shared" si="48"/>
        <v>4974.4022999999997</v>
      </c>
      <c r="Q205" s="206">
        <v>83.603399999999993</v>
      </c>
      <c r="R205" s="267">
        <v>92.389720954128435</v>
      </c>
      <c r="S205" s="205">
        <f t="shared" si="49"/>
        <v>7724.0947968163809</v>
      </c>
      <c r="T205" s="207">
        <f t="shared" si="55"/>
        <v>83.603399999999993</v>
      </c>
      <c r="U205" s="207">
        <v>59.5</v>
      </c>
      <c r="V205" s="205">
        <f t="shared" si="51"/>
        <v>4974.4022999999997</v>
      </c>
      <c r="W205" s="123"/>
      <c r="Z205" s="347"/>
    </row>
    <row r="206" spans="1:26" s="216" customFormat="1" ht="23.1" hidden="1" customHeight="1" outlineLevel="2">
      <c r="A206" s="339">
        <v>2.5000000000000004</v>
      </c>
      <c r="B206" s="258" t="s">
        <v>108</v>
      </c>
      <c r="C206" s="258" t="s">
        <v>214</v>
      </c>
      <c r="D206" s="258" t="s">
        <v>103</v>
      </c>
      <c r="E206" s="207">
        <v>300.61</v>
      </c>
      <c r="F206" s="205">
        <v>92.389720954128435</v>
      </c>
      <c r="G206" s="205">
        <v>27773.27401602055</v>
      </c>
      <c r="H206" s="207">
        <v>300.61</v>
      </c>
      <c r="I206" s="267">
        <v>65</v>
      </c>
      <c r="J206" s="207">
        <v>19539.650000000001</v>
      </c>
      <c r="K206" s="207">
        <f t="shared" si="52"/>
        <v>0</v>
      </c>
      <c r="L206" s="267">
        <v>92.389720954128435</v>
      </c>
      <c r="M206" s="205">
        <f t="shared" si="50"/>
        <v>0</v>
      </c>
      <c r="N206" s="207">
        <f t="shared" si="53"/>
        <v>0</v>
      </c>
      <c r="O206" s="207">
        <f t="shared" si="54"/>
        <v>59.5</v>
      </c>
      <c r="P206" s="205">
        <f t="shared" si="48"/>
        <v>0</v>
      </c>
      <c r="Q206" s="206"/>
      <c r="R206" s="267">
        <v>92.389720954128435</v>
      </c>
      <c r="S206" s="205">
        <f t="shared" si="49"/>
        <v>0</v>
      </c>
      <c r="T206" s="207">
        <f t="shared" si="55"/>
        <v>0</v>
      </c>
      <c r="U206" s="207">
        <v>59.5</v>
      </c>
      <c r="V206" s="205">
        <f t="shared" si="51"/>
        <v>0</v>
      </c>
      <c r="W206" s="123"/>
      <c r="Z206" s="347"/>
    </row>
    <row r="207" spans="1:26" s="216" customFormat="1" ht="23.1" hidden="1" customHeight="1" outlineLevel="2">
      <c r="A207" s="339">
        <v>2.6000000000000005</v>
      </c>
      <c r="B207" s="258" t="s">
        <v>215</v>
      </c>
      <c r="C207" s="258" t="s">
        <v>216</v>
      </c>
      <c r="D207" s="258" t="s">
        <v>103</v>
      </c>
      <c r="E207" s="207">
        <v>374.97</v>
      </c>
      <c r="F207" s="205">
        <v>92.389720954128435</v>
      </c>
      <c r="G207" s="205">
        <v>34643.373666169544</v>
      </c>
      <c r="H207" s="207">
        <v>374.97</v>
      </c>
      <c r="I207" s="267">
        <v>65</v>
      </c>
      <c r="J207" s="207">
        <v>24373.050000000003</v>
      </c>
      <c r="K207" s="207">
        <f t="shared" si="52"/>
        <v>0</v>
      </c>
      <c r="L207" s="267">
        <v>92.389720954128435</v>
      </c>
      <c r="M207" s="205">
        <f t="shared" si="50"/>
        <v>0</v>
      </c>
      <c r="N207" s="207">
        <f t="shared" si="53"/>
        <v>0</v>
      </c>
      <c r="O207" s="207">
        <f t="shared" si="54"/>
        <v>59.5</v>
      </c>
      <c r="P207" s="205">
        <f t="shared" si="48"/>
        <v>0</v>
      </c>
      <c r="Q207" s="206"/>
      <c r="R207" s="267">
        <v>92.389720954128435</v>
      </c>
      <c r="S207" s="205">
        <f t="shared" si="49"/>
        <v>0</v>
      </c>
      <c r="T207" s="207">
        <f t="shared" si="55"/>
        <v>0</v>
      </c>
      <c r="U207" s="207">
        <v>59.5</v>
      </c>
      <c r="V207" s="205">
        <f t="shared" si="51"/>
        <v>0</v>
      </c>
      <c r="W207" s="123"/>
      <c r="Z207" s="347"/>
    </row>
    <row r="208" spans="1:26" s="216" customFormat="1" ht="23.1" hidden="1" customHeight="1" outlineLevel="2">
      <c r="A208" s="339">
        <v>2.7000000000000006</v>
      </c>
      <c r="B208" s="258" t="s">
        <v>217</v>
      </c>
      <c r="C208" s="258" t="s">
        <v>192</v>
      </c>
      <c r="D208" s="223" t="s">
        <v>103</v>
      </c>
      <c r="E208" s="207">
        <v>339.66</v>
      </c>
      <c r="F208" s="205">
        <v>92.389720954128435</v>
      </c>
      <c r="G208" s="205">
        <v>31381.092619279265</v>
      </c>
      <c r="H208" s="207">
        <v>339.66</v>
      </c>
      <c r="I208" s="267">
        <v>65</v>
      </c>
      <c r="J208" s="207">
        <v>22077.9</v>
      </c>
      <c r="K208" s="207">
        <f t="shared" si="52"/>
        <v>0</v>
      </c>
      <c r="L208" s="267">
        <v>92.389720954128435</v>
      </c>
      <c r="M208" s="205">
        <f t="shared" si="50"/>
        <v>0</v>
      </c>
      <c r="N208" s="207">
        <f t="shared" si="53"/>
        <v>0</v>
      </c>
      <c r="O208" s="207">
        <f t="shared" si="54"/>
        <v>59.5</v>
      </c>
      <c r="P208" s="205">
        <f t="shared" si="48"/>
        <v>0</v>
      </c>
      <c r="Q208" s="206"/>
      <c r="R208" s="267">
        <v>92.389720954128435</v>
      </c>
      <c r="S208" s="205">
        <f t="shared" si="49"/>
        <v>0</v>
      </c>
      <c r="T208" s="207">
        <f t="shared" si="55"/>
        <v>0</v>
      </c>
      <c r="U208" s="207">
        <v>59.5</v>
      </c>
      <c r="V208" s="205">
        <f t="shared" si="51"/>
        <v>0</v>
      </c>
      <c r="W208" s="123"/>
      <c r="Z208" s="347"/>
    </row>
    <row r="209" spans="1:26" s="216" customFormat="1" ht="23.1" hidden="1" customHeight="1" outlineLevel="2">
      <c r="A209" s="339">
        <v>2.8000000000000007</v>
      </c>
      <c r="B209" s="258" t="s">
        <v>191</v>
      </c>
      <c r="C209" s="331" t="s">
        <v>192</v>
      </c>
      <c r="D209" s="258" t="s">
        <v>103</v>
      </c>
      <c r="E209" s="207">
        <v>1567.3</v>
      </c>
      <c r="F209" s="205">
        <v>84.109644330275231</v>
      </c>
      <c r="G209" s="205">
        <v>131825.04555884036</v>
      </c>
      <c r="H209" s="207">
        <v>1567.3</v>
      </c>
      <c r="I209" s="267">
        <v>65</v>
      </c>
      <c r="J209" s="207">
        <v>101874.5</v>
      </c>
      <c r="K209" s="207">
        <f t="shared" si="52"/>
        <v>199.20150000000001</v>
      </c>
      <c r="L209" s="267">
        <v>84.109644330275231</v>
      </c>
      <c r="M209" s="205">
        <f t="shared" si="50"/>
        <v>16754.767315057321</v>
      </c>
      <c r="N209" s="207">
        <f t="shared" si="53"/>
        <v>199.20150000000001</v>
      </c>
      <c r="O209" s="207">
        <f t="shared" si="54"/>
        <v>59.5</v>
      </c>
      <c r="P209" s="205">
        <f t="shared" si="48"/>
        <v>11852.489250000001</v>
      </c>
      <c r="Q209" s="206">
        <v>723.72670000000005</v>
      </c>
      <c r="R209" s="267">
        <v>84.109644330275231</v>
      </c>
      <c r="S209" s="205">
        <f t="shared" si="49"/>
        <v>60872.395329323808</v>
      </c>
      <c r="T209" s="207">
        <f t="shared" si="55"/>
        <v>723.72670000000005</v>
      </c>
      <c r="U209" s="207">
        <v>59.5</v>
      </c>
      <c r="V209" s="205">
        <f t="shared" si="51"/>
        <v>43061.738650000007</v>
      </c>
      <c r="W209" s="123"/>
      <c r="Z209" s="347">
        <v>524.52520000000004</v>
      </c>
    </row>
    <row r="210" spans="1:26" s="216" customFormat="1" ht="23.1" hidden="1" customHeight="1" outlineLevel="2">
      <c r="A210" s="339">
        <v>2.9000000000000008</v>
      </c>
      <c r="B210" s="258" t="s">
        <v>193</v>
      </c>
      <c r="C210" s="331" t="s">
        <v>194</v>
      </c>
      <c r="D210" s="258" t="s">
        <v>103</v>
      </c>
      <c r="E210" s="207">
        <v>107.13</v>
      </c>
      <c r="F210" s="205">
        <v>84.109644330275231</v>
      </c>
      <c r="G210" s="205">
        <v>9010.6661971023859</v>
      </c>
      <c r="H210" s="207">
        <v>107.13</v>
      </c>
      <c r="I210" s="267">
        <v>65</v>
      </c>
      <c r="J210" s="207">
        <v>6963.45</v>
      </c>
      <c r="K210" s="207">
        <f t="shared" si="52"/>
        <v>0</v>
      </c>
      <c r="L210" s="267">
        <v>84.109644330275231</v>
      </c>
      <c r="M210" s="205">
        <f t="shared" si="50"/>
        <v>0</v>
      </c>
      <c r="N210" s="207">
        <f t="shared" si="53"/>
        <v>0</v>
      </c>
      <c r="O210" s="207">
        <f t="shared" si="54"/>
        <v>59.5</v>
      </c>
      <c r="P210" s="205">
        <f t="shared" si="48"/>
        <v>0</v>
      </c>
      <c r="Q210" s="206"/>
      <c r="R210" s="267">
        <v>84.109644330275231</v>
      </c>
      <c r="S210" s="205">
        <f t="shared" si="49"/>
        <v>0</v>
      </c>
      <c r="T210" s="207">
        <f t="shared" si="55"/>
        <v>0</v>
      </c>
      <c r="U210" s="207">
        <v>59.5</v>
      </c>
      <c r="V210" s="205">
        <f t="shared" si="51"/>
        <v>0</v>
      </c>
      <c r="W210" s="123"/>
      <c r="Z210" s="347"/>
    </row>
    <row r="211" spans="1:26" s="216" customFormat="1" ht="23.1" hidden="1" customHeight="1" outlineLevel="2">
      <c r="A211" s="340">
        <v>2.1</v>
      </c>
      <c r="B211" s="258" t="s">
        <v>219</v>
      </c>
      <c r="C211" s="331" t="s">
        <v>216</v>
      </c>
      <c r="D211" s="258" t="s">
        <v>103</v>
      </c>
      <c r="E211" s="207">
        <v>17</v>
      </c>
      <c r="F211" s="205">
        <v>138.50396212844038</v>
      </c>
      <c r="G211" s="205">
        <v>2354.5673561834865</v>
      </c>
      <c r="H211" s="207">
        <v>17</v>
      </c>
      <c r="I211" s="267">
        <v>65</v>
      </c>
      <c r="J211" s="207">
        <v>1105</v>
      </c>
      <c r="K211" s="207">
        <f t="shared" si="52"/>
        <v>1.363999999999999</v>
      </c>
      <c r="L211" s="267">
        <v>138.50396212844038</v>
      </c>
      <c r="M211" s="205">
        <f t="shared" si="50"/>
        <v>188.91940434319253</v>
      </c>
      <c r="N211" s="207">
        <f t="shared" si="53"/>
        <v>1.363999999999999</v>
      </c>
      <c r="O211" s="207">
        <f t="shared" si="54"/>
        <v>59.5</v>
      </c>
      <c r="P211" s="205">
        <f t="shared" si="48"/>
        <v>81.157999999999944</v>
      </c>
      <c r="Q211" s="206">
        <v>14.0581</v>
      </c>
      <c r="R211" s="267">
        <v>138.50396212844038</v>
      </c>
      <c r="S211" s="205">
        <f t="shared" si="49"/>
        <v>1947.1025499978275</v>
      </c>
      <c r="T211" s="207">
        <f t="shared" si="55"/>
        <v>14.0581</v>
      </c>
      <c r="U211" s="207">
        <v>59.5</v>
      </c>
      <c r="V211" s="205">
        <f t="shared" si="51"/>
        <v>836.45695000000001</v>
      </c>
      <c r="W211" s="123"/>
      <c r="Z211" s="347">
        <v>12.694100000000001</v>
      </c>
    </row>
    <row r="212" spans="1:26" s="216" customFormat="1" ht="23.1" hidden="1" customHeight="1" outlineLevel="2">
      <c r="A212" s="339">
        <v>2.11</v>
      </c>
      <c r="B212" s="258" t="s">
        <v>235</v>
      </c>
      <c r="C212" s="331" t="s">
        <v>221</v>
      </c>
      <c r="D212" s="258" t="s">
        <v>103</v>
      </c>
      <c r="E212" s="207">
        <v>4</v>
      </c>
      <c r="F212" s="205">
        <v>138.50396212844038</v>
      </c>
      <c r="G212" s="205">
        <v>554.01584851376151</v>
      </c>
      <c r="H212" s="207">
        <v>4</v>
      </c>
      <c r="I212" s="267">
        <v>65</v>
      </c>
      <c r="J212" s="207">
        <v>260</v>
      </c>
      <c r="K212" s="207">
        <f t="shared" si="52"/>
        <v>0</v>
      </c>
      <c r="L212" s="267">
        <v>138.50396212844038</v>
      </c>
      <c r="M212" s="205">
        <f t="shared" si="50"/>
        <v>0</v>
      </c>
      <c r="N212" s="207">
        <f t="shared" si="53"/>
        <v>0</v>
      </c>
      <c r="O212" s="207">
        <f t="shared" si="54"/>
        <v>59.5</v>
      </c>
      <c r="P212" s="205">
        <f t="shared" si="48"/>
        <v>0</v>
      </c>
      <c r="Q212" s="206"/>
      <c r="R212" s="267">
        <v>138.50396212844038</v>
      </c>
      <c r="S212" s="205">
        <f t="shared" si="49"/>
        <v>0</v>
      </c>
      <c r="T212" s="207">
        <f t="shared" si="55"/>
        <v>0</v>
      </c>
      <c r="U212" s="207">
        <v>59.5</v>
      </c>
      <c r="V212" s="205">
        <f t="shared" si="51"/>
        <v>0</v>
      </c>
      <c r="W212" s="123"/>
      <c r="Z212" s="347"/>
    </row>
    <row r="213" spans="1:26" s="216" customFormat="1" ht="23.1" hidden="1" customHeight="1" outlineLevel="2">
      <c r="A213" s="340">
        <v>2.1199999999999997</v>
      </c>
      <c r="B213" s="258" t="s">
        <v>195</v>
      </c>
      <c r="C213" s="331" t="s">
        <v>192</v>
      </c>
      <c r="D213" s="258" t="s">
        <v>103</v>
      </c>
      <c r="E213" s="207">
        <v>6.35</v>
      </c>
      <c r="F213" s="205">
        <v>128.21314524770642</v>
      </c>
      <c r="G213" s="205">
        <v>814.15347232293573</v>
      </c>
      <c r="H213" s="207">
        <v>6.35</v>
      </c>
      <c r="I213" s="267">
        <v>65</v>
      </c>
      <c r="J213" s="207">
        <v>412.75</v>
      </c>
      <c r="K213" s="207">
        <f t="shared" si="52"/>
        <v>0</v>
      </c>
      <c r="L213" s="267">
        <v>128.21314524770642</v>
      </c>
      <c r="M213" s="205">
        <f t="shared" si="50"/>
        <v>0</v>
      </c>
      <c r="N213" s="207">
        <f t="shared" si="53"/>
        <v>0</v>
      </c>
      <c r="O213" s="207">
        <f t="shared" si="54"/>
        <v>59.5</v>
      </c>
      <c r="P213" s="205">
        <f t="shared" si="48"/>
        <v>0</v>
      </c>
      <c r="Q213" s="206"/>
      <c r="R213" s="267">
        <v>128.21314524770642</v>
      </c>
      <c r="S213" s="205">
        <f t="shared" si="49"/>
        <v>0</v>
      </c>
      <c r="T213" s="207">
        <f t="shared" si="55"/>
        <v>0</v>
      </c>
      <c r="U213" s="207">
        <v>59.5</v>
      </c>
      <c r="V213" s="205">
        <f t="shared" si="51"/>
        <v>0</v>
      </c>
      <c r="W213" s="123"/>
      <c r="Z213" s="347"/>
    </row>
    <row r="214" spans="1:26" s="216" customFormat="1" ht="23.1" hidden="1" customHeight="1" outlineLevel="2">
      <c r="A214" s="339">
        <v>2.1299999999999994</v>
      </c>
      <c r="B214" s="258" t="s">
        <v>132</v>
      </c>
      <c r="C214" s="331" t="s">
        <v>196</v>
      </c>
      <c r="D214" s="258" t="s">
        <v>103</v>
      </c>
      <c r="E214" s="207">
        <v>192.9</v>
      </c>
      <c r="F214" s="205">
        <v>231.99389944954129</v>
      </c>
      <c r="G214" s="205">
        <v>44751.623203816518</v>
      </c>
      <c r="H214" s="207">
        <v>192.9</v>
      </c>
      <c r="I214" s="267">
        <v>1350</v>
      </c>
      <c r="J214" s="207">
        <v>260415</v>
      </c>
      <c r="K214" s="207">
        <f t="shared" si="52"/>
        <v>0</v>
      </c>
      <c r="L214" s="267">
        <v>231.99389944954129</v>
      </c>
      <c r="M214" s="205">
        <f t="shared" si="50"/>
        <v>0</v>
      </c>
      <c r="N214" s="207">
        <f t="shared" si="53"/>
        <v>0</v>
      </c>
      <c r="O214" s="207">
        <f t="shared" si="54"/>
        <v>59.5</v>
      </c>
      <c r="P214" s="205">
        <f t="shared" si="48"/>
        <v>0</v>
      </c>
      <c r="Q214" s="206"/>
      <c r="R214" s="267">
        <v>231.99389944954129</v>
      </c>
      <c r="S214" s="205">
        <f t="shared" si="49"/>
        <v>0</v>
      </c>
      <c r="T214" s="207">
        <f t="shared" si="55"/>
        <v>0</v>
      </c>
      <c r="U214" s="207">
        <v>59.5</v>
      </c>
      <c r="V214" s="205">
        <f t="shared" si="51"/>
        <v>0</v>
      </c>
      <c r="W214" s="123"/>
      <c r="Z214" s="347"/>
    </row>
    <row r="215" spans="1:26" s="216" customFormat="1" ht="23.1" hidden="1" customHeight="1" outlineLevel="2">
      <c r="A215" s="340">
        <v>2.1399999999999992</v>
      </c>
      <c r="B215" s="258" t="s">
        <v>134</v>
      </c>
      <c r="C215" s="331" t="s">
        <v>196</v>
      </c>
      <c r="D215" s="258" t="s">
        <v>103</v>
      </c>
      <c r="E215" s="207">
        <v>3.33</v>
      </c>
      <c r="F215" s="205">
        <v>228.71221959633027</v>
      </c>
      <c r="G215" s="205">
        <v>761.61169125577987</v>
      </c>
      <c r="H215" s="207">
        <v>3.33</v>
      </c>
      <c r="I215" s="267">
        <v>1350</v>
      </c>
      <c r="J215" s="207">
        <v>4495.5</v>
      </c>
      <c r="K215" s="207">
        <f t="shared" si="52"/>
        <v>0</v>
      </c>
      <c r="L215" s="267">
        <v>228.71221959633027</v>
      </c>
      <c r="M215" s="205">
        <f t="shared" si="50"/>
        <v>0</v>
      </c>
      <c r="N215" s="207">
        <f t="shared" si="53"/>
        <v>0</v>
      </c>
      <c r="O215" s="207">
        <f t="shared" si="54"/>
        <v>59.5</v>
      </c>
      <c r="P215" s="205">
        <f t="shared" si="48"/>
        <v>0</v>
      </c>
      <c r="Q215" s="206"/>
      <c r="R215" s="267">
        <v>228.71221959633027</v>
      </c>
      <c r="S215" s="205">
        <f t="shared" si="49"/>
        <v>0</v>
      </c>
      <c r="T215" s="207">
        <f t="shared" si="55"/>
        <v>0</v>
      </c>
      <c r="U215" s="207">
        <v>59.5</v>
      </c>
      <c r="V215" s="205">
        <f t="shared" si="51"/>
        <v>0</v>
      </c>
      <c r="W215" s="123"/>
      <c r="Z215" s="347"/>
    </row>
    <row r="216" spans="1:26" s="216" customFormat="1" ht="23.1" hidden="1" customHeight="1" outlineLevel="2">
      <c r="A216" s="339">
        <v>2.149999999999999</v>
      </c>
      <c r="B216" s="258" t="s">
        <v>135</v>
      </c>
      <c r="C216" s="331" t="s">
        <v>197</v>
      </c>
      <c r="D216" s="258" t="s">
        <v>103</v>
      </c>
      <c r="E216" s="207">
        <v>22</v>
      </c>
      <c r="F216" s="205">
        <v>181.50724667889907</v>
      </c>
      <c r="G216" s="205">
        <v>3993.1594269357793</v>
      </c>
      <c r="H216" s="207">
        <v>22</v>
      </c>
      <c r="I216" s="267">
        <v>1350</v>
      </c>
      <c r="J216" s="207">
        <v>29700</v>
      </c>
      <c r="K216" s="207">
        <f t="shared" si="52"/>
        <v>0</v>
      </c>
      <c r="L216" s="267">
        <v>181.50724667889907</v>
      </c>
      <c r="M216" s="205">
        <f t="shared" si="50"/>
        <v>0</v>
      </c>
      <c r="N216" s="207">
        <f t="shared" si="53"/>
        <v>0</v>
      </c>
      <c r="O216" s="207">
        <f t="shared" si="54"/>
        <v>59.5</v>
      </c>
      <c r="P216" s="205">
        <f t="shared" si="48"/>
        <v>0</v>
      </c>
      <c r="Q216" s="206"/>
      <c r="R216" s="267">
        <v>181.50724667889907</v>
      </c>
      <c r="S216" s="205">
        <f t="shared" si="49"/>
        <v>0</v>
      </c>
      <c r="T216" s="207">
        <f t="shared" si="55"/>
        <v>0</v>
      </c>
      <c r="U216" s="207">
        <v>59.5</v>
      </c>
      <c r="V216" s="205">
        <f t="shared" si="51"/>
        <v>0</v>
      </c>
      <c r="W216" s="123"/>
      <c r="Z216" s="347"/>
    </row>
    <row r="217" spans="1:26" s="216" customFormat="1" ht="23.1" hidden="1" customHeight="1" outlineLevel="2">
      <c r="A217" s="340">
        <v>2.1599999999999988</v>
      </c>
      <c r="B217" s="258" t="s">
        <v>137</v>
      </c>
      <c r="C217" s="331" t="s">
        <v>196</v>
      </c>
      <c r="D217" s="258" t="s">
        <v>103</v>
      </c>
      <c r="E217" s="207">
        <v>2</v>
      </c>
      <c r="F217" s="205">
        <v>181.50724667889907</v>
      </c>
      <c r="G217" s="205">
        <v>363.01449335779813</v>
      </c>
      <c r="H217" s="207">
        <v>2</v>
      </c>
      <c r="I217" s="267">
        <v>1350</v>
      </c>
      <c r="J217" s="207">
        <v>2700</v>
      </c>
      <c r="K217" s="207">
        <f t="shared" si="52"/>
        <v>0</v>
      </c>
      <c r="L217" s="267">
        <v>181.50724667889907</v>
      </c>
      <c r="M217" s="205">
        <f t="shared" si="50"/>
        <v>0</v>
      </c>
      <c r="N217" s="207">
        <f t="shared" si="53"/>
        <v>0</v>
      </c>
      <c r="O217" s="207">
        <f t="shared" si="54"/>
        <v>59.5</v>
      </c>
      <c r="P217" s="205">
        <f t="shared" si="48"/>
        <v>0</v>
      </c>
      <c r="Q217" s="206"/>
      <c r="R217" s="267">
        <v>181.50724667889907</v>
      </c>
      <c r="S217" s="205">
        <f t="shared" si="49"/>
        <v>0</v>
      </c>
      <c r="T217" s="207">
        <f t="shared" si="55"/>
        <v>0</v>
      </c>
      <c r="U217" s="207">
        <v>59.5</v>
      </c>
      <c r="V217" s="205">
        <f t="shared" si="51"/>
        <v>0</v>
      </c>
      <c r="W217" s="123"/>
      <c r="Z217" s="347"/>
    </row>
    <row r="218" spans="1:26" s="216" customFormat="1" ht="23.1" hidden="1" customHeight="1" outlineLevel="2">
      <c r="A218" s="339">
        <v>2.1699999999999986</v>
      </c>
      <c r="B218" s="258" t="s">
        <v>198</v>
      </c>
      <c r="C218" s="331" t="s">
        <v>199</v>
      </c>
      <c r="D218" s="258" t="s">
        <v>103</v>
      </c>
      <c r="E218" s="207">
        <v>1.5</v>
      </c>
      <c r="F218" s="205">
        <v>172.25025379816515</v>
      </c>
      <c r="G218" s="205">
        <v>258.37538069724769</v>
      </c>
      <c r="H218" s="207">
        <v>1.5</v>
      </c>
      <c r="I218" s="267">
        <v>1350</v>
      </c>
      <c r="J218" s="207">
        <v>2025</v>
      </c>
      <c r="K218" s="207">
        <f t="shared" si="52"/>
        <v>0</v>
      </c>
      <c r="L218" s="267">
        <v>172.25025379816515</v>
      </c>
      <c r="M218" s="205">
        <f t="shared" si="50"/>
        <v>0</v>
      </c>
      <c r="N218" s="207">
        <f t="shared" si="53"/>
        <v>0</v>
      </c>
      <c r="O218" s="207">
        <f t="shared" si="54"/>
        <v>59.5</v>
      </c>
      <c r="P218" s="205">
        <f t="shared" si="48"/>
        <v>0</v>
      </c>
      <c r="Q218" s="206"/>
      <c r="R218" s="267">
        <v>172.25025379816515</v>
      </c>
      <c r="S218" s="205">
        <f t="shared" si="49"/>
        <v>0</v>
      </c>
      <c r="T218" s="207">
        <f t="shared" si="55"/>
        <v>0</v>
      </c>
      <c r="U218" s="207">
        <v>59.5</v>
      </c>
      <c r="V218" s="205">
        <f t="shared" si="51"/>
        <v>0</v>
      </c>
      <c r="W218" s="123"/>
      <c r="Z218" s="347"/>
    </row>
    <row r="219" spans="1:26" s="216" customFormat="1" ht="23.1" hidden="1" customHeight="1" outlineLevel="2">
      <c r="A219" s="340">
        <v>2.1799999999999984</v>
      </c>
      <c r="B219" s="258" t="s">
        <v>200</v>
      </c>
      <c r="C219" s="331" t="s">
        <v>199</v>
      </c>
      <c r="D219" s="258" t="s">
        <v>103</v>
      </c>
      <c r="E219" s="207">
        <v>50.97</v>
      </c>
      <c r="F219" s="205">
        <v>207.39078517431193</v>
      </c>
      <c r="G219" s="205">
        <v>10570.708320334679</v>
      </c>
      <c r="H219" s="207">
        <v>50.97</v>
      </c>
      <c r="I219" s="267">
        <v>1350</v>
      </c>
      <c r="J219" s="207">
        <v>68809.5</v>
      </c>
      <c r="K219" s="207">
        <f t="shared" si="52"/>
        <v>0</v>
      </c>
      <c r="L219" s="267">
        <v>207.39078517431193</v>
      </c>
      <c r="M219" s="205">
        <f t="shared" si="50"/>
        <v>0</v>
      </c>
      <c r="N219" s="207">
        <f t="shared" si="53"/>
        <v>0</v>
      </c>
      <c r="O219" s="207">
        <f t="shared" si="54"/>
        <v>59.5</v>
      </c>
      <c r="P219" s="205">
        <f t="shared" si="48"/>
        <v>0</v>
      </c>
      <c r="Q219" s="206"/>
      <c r="R219" s="267">
        <v>207.39078517431193</v>
      </c>
      <c r="S219" s="205">
        <f t="shared" si="49"/>
        <v>0</v>
      </c>
      <c r="T219" s="207">
        <f t="shared" si="55"/>
        <v>0</v>
      </c>
      <c r="U219" s="207">
        <v>59.5</v>
      </c>
      <c r="V219" s="205">
        <f t="shared" si="51"/>
        <v>0</v>
      </c>
      <c r="W219" s="123"/>
      <c r="Z219" s="347"/>
    </row>
    <row r="220" spans="1:26" s="216" customFormat="1" ht="23.1" hidden="1" customHeight="1" outlineLevel="2">
      <c r="A220" s="339">
        <v>2.1899999999999982</v>
      </c>
      <c r="B220" s="258" t="s">
        <v>201</v>
      </c>
      <c r="C220" s="331" t="s">
        <v>199</v>
      </c>
      <c r="D220" s="258" t="s">
        <v>103</v>
      </c>
      <c r="E220" s="207">
        <v>9.89</v>
      </c>
      <c r="F220" s="205">
        <v>193.35354187155963</v>
      </c>
      <c r="G220" s="205">
        <v>1912.2665291097248</v>
      </c>
      <c r="H220" s="207">
        <v>9.89</v>
      </c>
      <c r="I220" s="267">
        <v>1350</v>
      </c>
      <c r="J220" s="207">
        <v>13351.5</v>
      </c>
      <c r="K220" s="207">
        <f t="shared" si="52"/>
        <v>0</v>
      </c>
      <c r="L220" s="267">
        <v>193.35354187155963</v>
      </c>
      <c r="M220" s="205">
        <f t="shared" si="50"/>
        <v>0</v>
      </c>
      <c r="N220" s="207">
        <f t="shared" si="53"/>
        <v>0</v>
      </c>
      <c r="O220" s="207">
        <f t="shared" si="54"/>
        <v>59.5</v>
      </c>
      <c r="P220" s="205">
        <f t="shared" si="48"/>
        <v>0</v>
      </c>
      <c r="Q220" s="206"/>
      <c r="R220" s="267">
        <v>193.35354187155963</v>
      </c>
      <c r="S220" s="205">
        <f t="shared" si="49"/>
        <v>0</v>
      </c>
      <c r="T220" s="207">
        <f t="shared" si="55"/>
        <v>0</v>
      </c>
      <c r="U220" s="207">
        <v>59.5</v>
      </c>
      <c r="V220" s="205">
        <f t="shared" si="51"/>
        <v>0</v>
      </c>
      <c r="W220" s="123"/>
      <c r="Z220" s="347"/>
    </row>
    <row r="221" spans="1:26" s="216" customFormat="1" ht="23.1" hidden="1" customHeight="1" outlineLevel="2">
      <c r="A221" s="340">
        <v>2.199999999999998</v>
      </c>
      <c r="B221" s="258" t="s">
        <v>202</v>
      </c>
      <c r="C221" s="331" t="s">
        <v>199</v>
      </c>
      <c r="D221" s="258" t="s">
        <v>103</v>
      </c>
      <c r="E221" s="207">
        <v>8.99</v>
      </c>
      <c r="F221" s="205">
        <v>206.3190226788991</v>
      </c>
      <c r="G221" s="205">
        <v>1854.8080138833029</v>
      </c>
      <c r="H221" s="207">
        <v>8.99</v>
      </c>
      <c r="I221" s="267">
        <v>1350</v>
      </c>
      <c r="J221" s="207">
        <v>12136.5</v>
      </c>
      <c r="K221" s="207">
        <f t="shared" si="52"/>
        <v>0</v>
      </c>
      <c r="L221" s="267">
        <v>206.3190226788991</v>
      </c>
      <c r="M221" s="205">
        <f t="shared" si="50"/>
        <v>0</v>
      </c>
      <c r="N221" s="207">
        <f t="shared" si="53"/>
        <v>0</v>
      </c>
      <c r="O221" s="207">
        <f t="shared" si="54"/>
        <v>59.5</v>
      </c>
      <c r="P221" s="205">
        <f t="shared" si="48"/>
        <v>0</v>
      </c>
      <c r="Q221" s="206"/>
      <c r="R221" s="267">
        <v>206.3190226788991</v>
      </c>
      <c r="S221" s="205">
        <f t="shared" si="49"/>
        <v>0</v>
      </c>
      <c r="T221" s="207">
        <f t="shared" si="55"/>
        <v>0</v>
      </c>
      <c r="U221" s="207">
        <v>59.5</v>
      </c>
      <c r="V221" s="205">
        <f t="shared" si="51"/>
        <v>0</v>
      </c>
      <c r="W221" s="123"/>
      <c r="Z221" s="347"/>
    </row>
    <row r="222" spans="1:26" s="215" customFormat="1" ht="23.1" hidden="1" customHeight="1" outlineLevel="1" collapsed="1">
      <c r="A222" s="257">
        <v>3</v>
      </c>
      <c r="B222" s="342" t="s">
        <v>236</v>
      </c>
      <c r="C222" s="274"/>
      <c r="D222" s="315"/>
      <c r="E222" s="229"/>
      <c r="F222" s="222">
        <v>0</v>
      </c>
      <c r="G222" s="222"/>
      <c r="H222" s="229"/>
      <c r="I222" s="267"/>
      <c r="J222" s="229">
        <v>0</v>
      </c>
      <c r="K222" s="229"/>
      <c r="L222" s="266"/>
      <c r="M222" s="222">
        <f>SUM(M223:M237)</f>
        <v>0</v>
      </c>
      <c r="N222" s="229"/>
      <c r="O222" s="229"/>
      <c r="P222" s="222">
        <f>SUM(P223:P237)</f>
        <v>0</v>
      </c>
      <c r="Q222" s="229"/>
      <c r="R222" s="266"/>
      <c r="S222" s="222">
        <f>SUM(S223:S237)</f>
        <v>0</v>
      </c>
      <c r="T222" s="229"/>
      <c r="U222" s="229"/>
      <c r="V222" s="222">
        <f>SUM(V223:V237)</f>
        <v>0</v>
      </c>
      <c r="W222" s="137"/>
      <c r="Z222" s="283"/>
    </row>
    <row r="223" spans="1:26" s="216" customFormat="1" ht="23.1" hidden="1" customHeight="1" outlineLevel="2">
      <c r="A223" s="223">
        <v>3.1</v>
      </c>
      <c r="B223" s="258" t="s">
        <v>217</v>
      </c>
      <c r="C223" s="331" t="s">
        <v>223</v>
      </c>
      <c r="D223" s="258" t="s">
        <v>103</v>
      </c>
      <c r="E223" s="207">
        <v>269.08999999999997</v>
      </c>
      <c r="F223" s="205">
        <v>94.324584220183482</v>
      </c>
      <c r="G223" s="205">
        <v>25381.80236780917</v>
      </c>
      <c r="H223" s="207">
        <v>269.08999999999997</v>
      </c>
      <c r="I223" s="267">
        <v>65</v>
      </c>
      <c r="J223" s="207">
        <v>17490.849999999999</v>
      </c>
      <c r="K223" s="207">
        <f>+Q223-Z223</f>
        <v>0</v>
      </c>
      <c r="L223" s="267">
        <v>94.324584220183482</v>
      </c>
      <c r="M223" s="205">
        <f t="shared" si="50"/>
        <v>0</v>
      </c>
      <c r="N223" s="207">
        <f>+K223</f>
        <v>0</v>
      </c>
      <c r="O223" s="207">
        <f>+U223</f>
        <v>59.5</v>
      </c>
      <c r="P223" s="205">
        <f t="shared" ref="P223:P254" si="56">+O223*N223</f>
        <v>0</v>
      </c>
      <c r="Q223" s="206"/>
      <c r="R223" s="267">
        <v>94.324584220183482</v>
      </c>
      <c r="S223" s="205">
        <f t="shared" si="49"/>
        <v>0</v>
      </c>
      <c r="T223" s="207">
        <f t="shared" ref="T223:T237" si="57">+Q223</f>
        <v>0</v>
      </c>
      <c r="U223" s="207">
        <v>59.5</v>
      </c>
      <c r="V223" s="205">
        <f t="shared" si="51"/>
        <v>0</v>
      </c>
      <c r="W223" s="123"/>
      <c r="Z223" s="347"/>
    </row>
    <row r="224" spans="1:26" s="216" customFormat="1" ht="23.1" hidden="1" customHeight="1" outlineLevel="2">
      <c r="A224" s="223">
        <v>3.3</v>
      </c>
      <c r="B224" s="258" t="s">
        <v>191</v>
      </c>
      <c r="C224" s="331" t="s">
        <v>224</v>
      </c>
      <c r="D224" s="258" t="s">
        <v>103</v>
      </c>
      <c r="E224" s="207">
        <v>154.27000000000001</v>
      </c>
      <c r="F224" s="205">
        <v>86.035022972477051</v>
      </c>
      <c r="G224" s="205">
        <v>13272.622993964036</v>
      </c>
      <c r="H224" s="207">
        <v>154.27000000000001</v>
      </c>
      <c r="I224" s="267">
        <v>65</v>
      </c>
      <c r="J224" s="207">
        <v>10027.550000000001</v>
      </c>
      <c r="K224" s="207">
        <f t="shared" ref="K224:K237" si="58">+Q224-Z224</f>
        <v>0</v>
      </c>
      <c r="L224" s="267">
        <v>86.035022972477051</v>
      </c>
      <c r="M224" s="205">
        <f t="shared" si="50"/>
        <v>0</v>
      </c>
      <c r="N224" s="207">
        <f t="shared" ref="N224:N237" si="59">+K224</f>
        <v>0</v>
      </c>
      <c r="O224" s="207">
        <f t="shared" ref="O224:O237" si="60">+U224</f>
        <v>59.5</v>
      </c>
      <c r="P224" s="205">
        <f t="shared" si="56"/>
        <v>0</v>
      </c>
      <c r="Q224" s="206"/>
      <c r="R224" s="267">
        <v>86.035022972477051</v>
      </c>
      <c r="S224" s="205">
        <f t="shared" si="49"/>
        <v>0</v>
      </c>
      <c r="T224" s="207">
        <f t="shared" si="57"/>
        <v>0</v>
      </c>
      <c r="U224" s="207">
        <v>59.5</v>
      </c>
      <c r="V224" s="205">
        <f t="shared" si="51"/>
        <v>0</v>
      </c>
      <c r="W224" s="123"/>
      <c r="Z224" s="347"/>
    </row>
    <row r="225" spans="1:26" s="216" customFormat="1" ht="23.1" hidden="1" customHeight="1" outlineLevel="2">
      <c r="A225" s="223">
        <v>3.4000000000000004</v>
      </c>
      <c r="B225" s="258" t="s">
        <v>193</v>
      </c>
      <c r="C225" s="331" t="s">
        <v>225</v>
      </c>
      <c r="D225" s="258" t="s">
        <v>103</v>
      </c>
      <c r="E225" s="207">
        <v>29.17</v>
      </c>
      <c r="F225" s="205">
        <v>86.035022972477051</v>
      </c>
      <c r="G225" s="205">
        <v>2509.6416201071556</v>
      </c>
      <c r="H225" s="207">
        <v>29.17</v>
      </c>
      <c r="I225" s="267">
        <v>65</v>
      </c>
      <c r="J225" s="207">
        <v>1896.0500000000002</v>
      </c>
      <c r="K225" s="207">
        <f t="shared" si="58"/>
        <v>0</v>
      </c>
      <c r="L225" s="267">
        <v>86.035022972477051</v>
      </c>
      <c r="M225" s="205">
        <f t="shared" si="50"/>
        <v>0</v>
      </c>
      <c r="N225" s="207">
        <f t="shared" si="59"/>
        <v>0</v>
      </c>
      <c r="O225" s="207">
        <f t="shared" si="60"/>
        <v>59.5</v>
      </c>
      <c r="P225" s="205">
        <f t="shared" si="56"/>
        <v>0</v>
      </c>
      <c r="Q225" s="206"/>
      <c r="R225" s="267">
        <v>86.035022972477051</v>
      </c>
      <c r="S225" s="205">
        <f t="shared" si="49"/>
        <v>0</v>
      </c>
      <c r="T225" s="207">
        <f t="shared" si="57"/>
        <v>0</v>
      </c>
      <c r="U225" s="207">
        <v>59.5</v>
      </c>
      <c r="V225" s="205">
        <f t="shared" si="51"/>
        <v>0</v>
      </c>
      <c r="W225" s="123"/>
      <c r="Z225" s="347"/>
    </row>
    <row r="226" spans="1:26" s="216" customFormat="1" ht="23.1" hidden="1" customHeight="1" outlineLevel="2">
      <c r="A226" s="223">
        <v>3.5000000000000004</v>
      </c>
      <c r="B226" s="258" t="s">
        <v>219</v>
      </c>
      <c r="C226" s="331" t="s">
        <v>226</v>
      </c>
      <c r="D226" s="258" t="s">
        <v>103</v>
      </c>
      <c r="E226" s="207">
        <v>1.04</v>
      </c>
      <c r="F226" s="205">
        <v>140.4293407706422</v>
      </c>
      <c r="G226" s="205">
        <v>146.0465144014679</v>
      </c>
      <c r="H226" s="207">
        <v>1.04</v>
      </c>
      <c r="I226" s="267">
        <v>65</v>
      </c>
      <c r="J226" s="207">
        <v>67.600000000000009</v>
      </c>
      <c r="K226" s="207">
        <f t="shared" si="58"/>
        <v>0</v>
      </c>
      <c r="L226" s="267">
        <v>140.4293407706422</v>
      </c>
      <c r="M226" s="205">
        <f t="shared" si="50"/>
        <v>0</v>
      </c>
      <c r="N226" s="207">
        <f t="shared" si="59"/>
        <v>0</v>
      </c>
      <c r="O226" s="207">
        <f t="shared" si="60"/>
        <v>59.5</v>
      </c>
      <c r="P226" s="205">
        <f t="shared" si="56"/>
        <v>0</v>
      </c>
      <c r="Q226" s="206"/>
      <c r="R226" s="267">
        <v>140.4293407706422</v>
      </c>
      <c r="S226" s="205">
        <f t="shared" si="49"/>
        <v>0</v>
      </c>
      <c r="T226" s="207">
        <f t="shared" si="57"/>
        <v>0</v>
      </c>
      <c r="U226" s="207">
        <v>59.5</v>
      </c>
      <c r="V226" s="205">
        <f t="shared" si="51"/>
        <v>0</v>
      </c>
      <c r="W226" s="123"/>
      <c r="Z226" s="347"/>
    </row>
    <row r="227" spans="1:26" s="216" customFormat="1" ht="23.1" hidden="1" customHeight="1" outlineLevel="2">
      <c r="A227" s="223">
        <v>3.6000000000000005</v>
      </c>
      <c r="B227" s="258" t="s">
        <v>235</v>
      </c>
      <c r="C227" s="331" t="s">
        <v>227</v>
      </c>
      <c r="D227" s="258" t="s">
        <v>103</v>
      </c>
      <c r="E227" s="207">
        <v>0.66</v>
      </c>
      <c r="F227" s="205">
        <v>140.4293407706422</v>
      </c>
      <c r="G227" s="205">
        <v>92.683364908623858</v>
      </c>
      <c r="H227" s="207">
        <v>0.66</v>
      </c>
      <c r="I227" s="267">
        <v>65</v>
      </c>
      <c r="J227" s="207">
        <v>42.9</v>
      </c>
      <c r="K227" s="207">
        <f t="shared" si="58"/>
        <v>0</v>
      </c>
      <c r="L227" s="267">
        <v>140.4293407706422</v>
      </c>
      <c r="M227" s="205">
        <f t="shared" si="50"/>
        <v>0</v>
      </c>
      <c r="N227" s="207">
        <f t="shared" si="59"/>
        <v>0</v>
      </c>
      <c r="O227" s="207">
        <f t="shared" si="60"/>
        <v>59.5</v>
      </c>
      <c r="P227" s="205">
        <f t="shared" si="56"/>
        <v>0</v>
      </c>
      <c r="Q227" s="206"/>
      <c r="R227" s="267">
        <v>140.4293407706422</v>
      </c>
      <c r="S227" s="205">
        <f t="shared" si="49"/>
        <v>0</v>
      </c>
      <c r="T227" s="207">
        <f t="shared" si="57"/>
        <v>0</v>
      </c>
      <c r="U227" s="207">
        <v>59.5</v>
      </c>
      <c r="V227" s="205">
        <f t="shared" si="51"/>
        <v>0</v>
      </c>
      <c r="W227" s="123"/>
      <c r="Z227" s="347"/>
    </row>
    <row r="228" spans="1:26" s="216" customFormat="1" ht="23.1" hidden="1" customHeight="1" outlineLevel="2">
      <c r="A228" s="223">
        <v>3.7000000000000006</v>
      </c>
      <c r="B228" s="258" t="s">
        <v>228</v>
      </c>
      <c r="C228" s="331" t="s">
        <v>223</v>
      </c>
      <c r="D228" s="258" t="s">
        <v>103</v>
      </c>
      <c r="E228" s="207">
        <v>3.37</v>
      </c>
      <c r="F228" s="205">
        <v>130.13852388990827</v>
      </c>
      <c r="G228" s="205">
        <v>438.56682550899086</v>
      </c>
      <c r="H228" s="207">
        <v>3.37</v>
      </c>
      <c r="I228" s="267">
        <v>65</v>
      </c>
      <c r="J228" s="207">
        <v>219.05</v>
      </c>
      <c r="K228" s="207">
        <f t="shared" si="58"/>
        <v>0</v>
      </c>
      <c r="L228" s="267">
        <v>130.13852388990827</v>
      </c>
      <c r="M228" s="205">
        <f t="shared" si="50"/>
        <v>0</v>
      </c>
      <c r="N228" s="207">
        <f t="shared" si="59"/>
        <v>0</v>
      </c>
      <c r="O228" s="207">
        <f t="shared" si="60"/>
        <v>59.5</v>
      </c>
      <c r="P228" s="205">
        <f t="shared" si="56"/>
        <v>0</v>
      </c>
      <c r="Q228" s="206"/>
      <c r="R228" s="267">
        <v>130.13852388990827</v>
      </c>
      <c r="S228" s="205">
        <f t="shared" si="49"/>
        <v>0</v>
      </c>
      <c r="T228" s="207">
        <f t="shared" si="57"/>
        <v>0</v>
      </c>
      <c r="U228" s="207">
        <v>59.5</v>
      </c>
      <c r="V228" s="205">
        <f t="shared" si="51"/>
        <v>0</v>
      </c>
      <c r="W228" s="123"/>
      <c r="Z228" s="347"/>
    </row>
    <row r="229" spans="1:26" s="216" customFormat="1" ht="23.1" hidden="1" customHeight="1" outlineLevel="2">
      <c r="A229" s="223">
        <v>3.8000000000000007</v>
      </c>
      <c r="B229" s="258" t="s">
        <v>132</v>
      </c>
      <c r="C229" s="331" t="s">
        <v>196</v>
      </c>
      <c r="D229" s="258" t="s">
        <v>103</v>
      </c>
      <c r="E229" s="207">
        <v>18.11</v>
      </c>
      <c r="F229" s="205">
        <v>231.99389944954129</v>
      </c>
      <c r="G229" s="205">
        <v>4201.4095190311928</v>
      </c>
      <c r="H229" s="207">
        <v>18.11</v>
      </c>
      <c r="I229" s="267">
        <v>1350</v>
      </c>
      <c r="J229" s="207">
        <v>24448.5</v>
      </c>
      <c r="K229" s="207">
        <f t="shared" si="58"/>
        <v>0</v>
      </c>
      <c r="L229" s="267">
        <v>231.99389944954129</v>
      </c>
      <c r="M229" s="205">
        <f t="shared" si="50"/>
        <v>0</v>
      </c>
      <c r="N229" s="207">
        <f t="shared" si="59"/>
        <v>0</v>
      </c>
      <c r="O229" s="207">
        <f t="shared" si="60"/>
        <v>59.5</v>
      </c>
      <c r="P229" s="205">
        <f t="shared" si="56"/>
        <v>0</v>
      </c>
      <c r="Q229" s="206"/>
      <c r="R229" s="267">
        <v>231.99389944954129</v>
      </c>
      <c r="S229" s="205">
        <f t="shared" si="49"/>
        <v>0</v>
      </c>
      <c r="T229" s="207">
        <f t="shared" si="57"/>
        <v>0</v>
      </c>
      <c r="U229" s="207">
        <v>59.5</v>
      </c>
      <c r="V229" s="205">
        <f t="shared" si="51"/>
        <v>0</v>
      </c>
      <c r="W229" s="123"/>
      <c r="Z229" s="347"/>
    </row>
    <row r="230" spans="1:26" s="216" customFormat="1" ht="23.1" hidden="1" customHeight="1" outlineLevel="2">
      <c r="A230" s="223">
        <v>3.9000000000000008</v>
      </c>
      <c r="B230" s="258" t="s">
        <v>134</v>
      </c>
      <c r="C230" s="331" t="s">
        <v>196</v>
      </c>
      <c r="D230" s="258" t="s">
        <v>103</v>
      </c>
      <c r="E230" s="207">
        <v>0.19</v>
      </c>
      <c r="F230" s="205">
        <v>228.75015809174312</v>
      </c>
      <c r="G230" s="205">
        <v>43.462530037431193</v>
      </c>
      <c r="H230" s="207">
        <v>0.19</v>
      </c>
      <c r="I230" s="267">
        <v>1350</v>
      </c>
      <c r="J230" s="207">
        <v>256.5</v>
      </c>
      <c r="K230" s="207">
        <f t="shared" si="58"/>
        <v>0</v>
      </c>
      <c r="L230" s="267">
        <v>228.75015809174312</v>
      </c>
      <c r="M230" s="205">
        <f t="shared" si="50"/>
        <v>0</v>
      </c>
      <c r="N230" s="207">
        <f t="shared" si="59"/>
        <v>0</v>
      </c>
      <c r="O230" s="207">
        <f t="shared" si="60"/>
        <v>59.5</v>
      </c>
      <c r="P230" s="205">
        <f t="shared" si="56"/>
        <v>0</v>
      </c>
      <c r="Q230" s="206"/>
      <c r="R230" s="267">
        <v>228.75015809174312</v>
      </c>
      <c r="S230" s="205">
        <f t="shared" si="49"/>
        <v>0</v>
      </c>
      <c r="T230" s="207">
        <f t="shared" si="57"/>
        <v>0</v>
      </c>
      <c r="U230" s="207">
        <v>59.5</v>
      </c>
      <c r="V230" s="205">
        <f t="shared" si="51"/>
        <v>0</v>
      </c>
      <c r="W230" s="123"/>
      <c r="Z230" s="347"/>
    </row>
    <row r="231" spans="1:26" s="216" customFormat="1" ht="23.1" hidden="1" customHeight="1" outlineLevel="2">
      <c r="A231" s="267">
        <v>3.1</v>
      </c>
      <c r="B231" s="258" t="s">
        <v>135</v>
      </c>
      <c r="C231" s="331" t="s">
        <v>197</v>
      </c>
      <c r="D231" s="258" t="s">
        <v>103</v>
      </c>
      <c r="E231" s="207">
        <v>13</v>
      </c>
      <c r="F231" s="205">
        <v>181.50724667889907</v>
      </c>
      <c r="G231" s="205">
        <v>2359.5942068256877</v>
      </c>
      <c r="H231" s="207">
        <v>13</v>
      </c>
      <c r="I231" s="267">
        <v>1350</v>
      </c>
      <c r="J231" s="207">
        <v>17550</v>
      </c>
      <c r="K231" s="207">
        <f t="shared" si="58"/>
        <v>0</v>
      </c>
      <c r="L231" s="267">
        <v>181.50724667889907</v>
      </c>
      <c r="M231" s="205">
        <f t="shared" si="50"/>
        <v>0</v>
      </c>
      <c r="N231" s="207">
        <f t="shared" si="59"/>
        <v>0</v>
      </c>
      <c r="O231" s="207">
        <f t="shared" si="60"/>
        <v>59.5</v>
      </c>
      <c r="P231" s="205">
        <f t="shared" si="56"/>
        <v>0</v>
      </c>
      <c r="Q231" s="206"/>
      <c r="R231" s="267">
        <v>181.50724667889907</v>
      </c>
      <c r="S231" s="205">
        <f t="shared" si="49"/>
        <v>0</v>
      </c>
      <c r="T231" s="207">
        <f t="shared" si="57"/>
        <v>0</v>
      </c>
      <c r="U231" s="207">
        <v>59.5</v>
      </c>
      <c r="V231" s="205">
        <f t="shared" si="51"/>
        <v>0</v>
      </c>
      <c r="W231" s="123"/>
      <c r="Z231" s="347"/>
    </row>
    <row r="232" spans="1:26" s="216" customFormat="1" ht="23.1" hidden="1" customHeight="1" outlineLevel="2">
      <c r="A232" s="223">
        <v>3.11</v>
      </c>
      <c r="B232" s="258" t="s">
        <v>137</v>
      </c>
      <c r="C232" s="331" t="s">
        <v>196</v>
      </c>
      <c r="D232" s="258" t="s">
        <v>103</v>
      </c>
      <c r="E232" s="207">
        <v>5.8</v>
      </c>
      <c r="F232" s="205">
        <v>181.50724667889907</v>
      </c>
      <c r="G232" s="205">
        <v>1052.7420307376146</v>
      </c>
      <c r="H232" s="207">
        <v>5.8</v>
      </c>
      <c r="I232" s="267">
        <v>1350</v>
      </c>
      <c r="J232" s="207">
        <v>7830</v>
      </c>
      <c r="K232" s="207">
        <f t="shared" si="58"/>
        <v>0</v>
      </c>
      <c r="L232" s="267">
        <v>181.50724667889907</v>
      </c>
      <c r="M232" s="205">
        <f t="shared" si="50"/>
        <v>0</v>
      </c>
      <c r="N232" s="207">
        <f t="shared" si="59"/>
        <v>0</v>
      </c>
      <c r="O232" s="207">
        <f t="shared" si="60"/>
        <v>59.5</v>
      </c>
      <c r="P232" s="205">
        <f t="shared" si="56"/>
        <v>0</v>
      </c>
      <c r="Q232" s="206"/>
      <c r="R232" s="267">
        <v>181.50724667889907</v>
      </c>
      <c r="S232" s="205">
        <f t="shared" si="49"/>
        <v>0</v>
      </c>
      <c r="T232" s="207">
        <f t="shared" si="57"/>
        <v>0</v>
      </c>
      <c r="U232" s="207">
        <v>59.5</v>
      </c>
      <c r="V232" s="205">
        <f t="shared" si="51"/>
        <v>0</v>
      </c>
      <c r="W232" s="123"/>
      <c r="Z232" s="347"/>
    </row>
    <row r="233" spans="1:26" s="216" customFormat="1" ht="23.1" hidden="1" customHeight="1" outlineLevel="2">
      <c r="A233" s="267">
        <v>3.1199999999999997</v>
      </c>
      <c r="B233" s="258" t="s">
        <v>229</v>
      </c>
      <c r="C233" s="331" t="s">
        <v>197</v>
      </c>
      <c r="D233" s="258" t="s">
        <v>103</v>
      </c>
      <c r="E233" s="207">
        <v>50</v>
      </c>
      <c r="F233" s="205">
        <v>172.25025379816515</v>
      </c>
      <c r="G233" s="205">
        <v>8612.512689908257</v>
      </c>
      <c r="H233" s="207">
        <v>50</v>
      </c>
      <c r="I233" s="267">
        <v>1350</v>
      </c>
      <c r="J233" s="207">
        <v>67500</v>
      </c>
      <c r="K233" s="207">
        <f t="shared" si="58"/>
        <v>0</v>
      </c>
      <c r="L233" s="267">
        <v>172.25025379816515</v>
      </c>
      <c r="M233" s="205">
        <f t="shared" si="50"/>
        <v>0</v>
      </c>
      <c r="N233" s="207">
        <f t="shared" si="59"/>
        <v>0</v>
      </c>
      <c r="O233" s="207">
        <f t="shared" si="60"/>
        <v>59.5</v>
      </c>
      <c r="P233" s="205">
        <f t="shared" si="56"/>
        <v>0</v>
      </c>
      <c r="Q233" s="206"/>
      <c r="R233" s="267">
        <v>172.25025379816515</v>
      </c>
      <c r="S233" s="205">
        <f t="shared" si="49"/>
        <v>0</v>
      </c>
      <c r="T233" s="207">
        <f t="shared" si="57"/>
        <v>0</v>
      </c>
      <c r="U233" s="207">
        <v>59.5</v>
      </c>
      <c r="V233" s="205">
        <f t="shared" si="51"/>
        <v>0</v>
      </c>
      <c r="W233" s="123"/>
      <c r="Z233" s="347"/>
    </row>
    <row r="234" spans="1:26" s="216" customFormat="1" ht="23.1" hidden="1" customHeight="1" outlineLevel="2">
      <c r="A234" s="223">
        <v>3.1299999999999994</v>
      </c>
      <c r="B234" s="258" t="s">
        <v>230</v>
      </c>
      <c r="C234" s="331" t="s">
        <v>197</v>
      </c>
      <c r="D234" s="258" t="s">
        <v>103</v>
      </c>
      <c r="E234" s="207">
        <v>9.5</v>
      </c>
      <c r="F234" s="205">
        <v>207.39078517431193</v>
      </c>
      <c r="G234" s="205">
        <v>1970.2124591559634</v>
      </c>
      <c r="H234" s="207">
        <v>9.5</v>
      </c>
      <c r="I234" s="267">
        <v>1350</v>
      </c>
      <c r="J234" s="207">
        <v>12825</v>
      </c>
      <c r="K234" s="207">
        <f t="shared" si="58"/>
        <v>0</v>
      </c>
      <c r="L234" s="267">
        <v>207.39078517431193</v>
      </c>
      <c r="M234" s="205">
        <f t="shared" si="50"/>
        <v>0</v>
      </c>
      <c r="N234" s="207">
        <f t="shared" si="59"/>
        <v>0</v>
      </c>
      <c r="O234" s="207">
        <f t="shared" si="60"/>
        <v>59.5</v>
      </c>
      <c r="P234" s="205">
        <f t="shared" si="56"/>
        <v>0</v>
      </c>
      <c r="Q234" s="206"/>
      <c r="R234" s="267">
        <v>207.39078517431193</v>
      </c>
      <c r="S234" s="205">
        <f t="shared" si="49"/>
        <v>0</v>
      </c>
      <c r="T234" s="207">
        <f t="shared" si="57"/>
        <v>0</v>
      </c>
      <c r="U234" s="207">
        <v>59.5</v>
      </c>
      <c r="V234" s="205">
        <f t="shared" si="51"/>
        <v>0</v>
      </c>
      <c r="W234" s="123"/>
      <c r="Z234" s="347"/>
    </row>
    <row r="235" spans="1:26" s="216" customFormat="1" ht="23.1" hidden="1" customHeight="1" outlineLevel="2">
      <c r="A235" s="267">
        <v>3.1399999999999992</v>
      </c>
      <c r="B235" s="258" t="s">
        <v>231</v>
      </c>
      <c r="C235" s="331" t="s">
        <v>197</v>
      </c>
      <c r="D235" s="258" t="s">
        <v>103</v>
      </c>
      <c r="E235" s="207">
        <v>3</v>
      </c>
      <c r="F235" s="205">
        <v>193.35354187155963</v>
      </c>
      <c r="G235" s="205">
        <v>580.06062561467888</v>
      </c>
      <c r="H235" s="207">
        <v>3</v>
      </c>
      <c r="I235" s="267">
        <v>1350</v>
      </c>
      <c r="J235" s="207">
        <v>4050</v>
      </c>
      <c r="K235" s="207">
        <f t="shared" si="58"/>
        <v>0</v>
      </c>
      <c r="L235" s="267">
        <v>193.35354187155963</v>
      </c>
      <c r="M235" s="205">
        <f t="shared" si="50"/>
        <v>0</v>
      </c>
      <c r="N235" s="207">
        <f t="shared" si="59"/>
        <v>0</v>
      </c>
      <c r="O235" s="207">
        <f t="shared" si="60"/>
        <v>59.5</v>
      </c>
      <c r="P235" s="205">
        <f t="shared" si="56"/>
        <v>0</v>
      </c>
      <c r="Q235" s="206"/>
      <c r="R235" s="267">
        <v>193.35354187155963</v>
      </c>
      <c r="S235" s="205">
        <f t="shared" si="49"/>
        <v>0</v>
      </c>
      <c r="T235" s="207">
        <f t="shared" si="57"/>
        <v>0</v>
      </c>
      <c r="U235" s="207">
        <v>59.5</v>
      </c>
      <c r="V235" s="205">
        <f t="shared" si="51"/>
        <v>0</v>
      </c>
      <c r="W235" s="123"/>
      <c r="Z235" s="347"/>
    </row>
    <row r="236" spans="1:26" s="216" customFormat="1" ht="23.1" hidden="1" customHeight="1" outlineLevel="2">
      <c r="A236" s="223">
        <v>3.149999999999999</v>
      </c>
      <c r="B236" s="343" t="s">
        <v>232</v>
      </c>
      <c r="C236" s="350" t="s">
        <v>197</v>
      </c>
      <c r="D236" s="344" t="s">
        <v>103</v>
      </c>
      <c r="E236" s="207">
        <v>15.37</v>
      </c>
      <c r="F236" s="205">
        <v>206.3190226788991</v>
      </c>
      <c r="G236" s="205">
        <v>3171.123378574679</v>
      </c>
      <c r="H236" s="207">
        <v>15.37</v>
      </c>
      <c r="I236" s="267">
        <v>1350</v>
      </c>
      <c r="J236" s="207">
        <v>20749.5</v>
      </c>
      <c r="K236" s="207">
        <f t="shared" si="58"/>
        <v>0</v>
      </c>
      <c r="L236" s="267">
        <v>206.3190226788991</v>
      </c>
      <c r="M236" s="205">
        <f t="shared" si="50"/>
        <v>0</v>
      </c>
      <c r="N236" s="207">
        <f t="shared" si="59"/>
        <v>0</v>
      </c>
      <c r="O236" s="207">
        <f t="shared" si="60"/>
        <v>59.5</v>
      </c>
      <c r="P236" s="205">
        <f t="shared" si="56"/>
        <v>0</v>
      </c>
      <c r="Q236" s="206"/>
      <c r="R236" s="267">
        <v>206.3190226788991</v>
      </c>
      <c r="S236" s="205">
        <f t="shared" si="49"/>
        <v>0</v>
      </c>
      <c r="T236" s="207">
        <f t="shared" si="57"/>
        <v>0</v>
      </c>
      <c r="U236" s="207">
        <v>59.5</v>
      </c>
      <c r="V236" s="205">
        <f t="shared" si="51"/>
        <v>0</v>
      </c>
      <c r="W236" s="123"/>
      <c r="Z236" s="347"/>
    </row>
    <row r="237" spans="1:26" s="216" customFormat="1" ht="23.1" hidden="1" customHeight="1" outlineLevel="2">
      <c r="A237" s="267">
        <v>3.1599999999999988</v>
      </c>
      <c r="B237" s="223" t="s">
        <v>142</v>
      </c>
      <c r="C237" s="223"/>
      <c r="D237" s="223" t="s">
        <v>143</v>
      </c>
      <c r="E237" s="207">
        <v>1</v>
      </c>
      <c r="F237" s="205">
        <v>-30962.336422458717</v>
      </c>
      <c r="G237" s="205">
        <v>-30962.336422458717</v>
      </c>
      <c r="H237" s="207">
        <v>1</v>
      </c>
      <c r="I237" s="267"/>
      <c r="J237" s="207">
        <v>0</v>
      </c>
      <c r="K237" s="207">
        <f t="shared" si="58"/>
        <v>0</v>
      </c>
      <c r="L237" s="267">
        <v>-30962.336422458717</v>
      </c>
      <c r="M237" s="205">
        <f t="shared" si="50"/>
        <v>0</v>
      </c>
      <c r="N237" s="207">
        <f t="shared" si="59"/>
        <v>0</v>
      </c>
      <c r="O237" s="207">
        <f t="shared" si="60"/>
        <v>59.5</v>
      </c>
      <c r="P237" s="205">
        <f t="shared" si="56"/>
        <v>0</v>
      </c>
      <c r="Q237" s="206"/>
      <c r="R237" s="267">
        <v>-30962.336422458717</v>
      </c>
      <c r="S237" s="205">
        <f t="shared" si="49"/>
        <v>0</v>
      </c>
      <c r="T237" s="207">
        <f t="shared" si="57"/>
        <v>0</v>
      </c>
      <c r="U237" s="207">
        <v>59.5</v>
      </c>
      <c r="V237" s="205">
        <f t="shared" si="51"/>
        <v>0</v>
      </c>
      <c r="W237" s="123"/>
      <c r="Z237" s="347"/>
    </row>
    <row r="238" spans="1:26" s="215" customFormat="1" ht="23.1" customHeight="1" collapsed="1">
      <c r="A238" s="337" t="s">
        <v>237</v>
      </c>
      <c r="B238" s="337" t="s">
        <v>238</v>
      </c>
      <c r="C238" s="220"/>
      <c r="D238" s="220"/>
      <c r="E238" s="229"/>
      <c r="F238" s="222"/>
      <c r="G238" s="222">
        <v>349846.63127044652</v>
      </c>
      <c r="H238" s="229"/>
      <c r="I238" s="263"/>
      <c r="J238" s="229">
        <v>437613.82</v>
      </c>
      <c r="K238" s="229"/>
      <c r="L238" s="266"/>
      <c r="M238" s="222">
        <f>+M239+M246</f>
        <v>54164.859490266579</v>
      </c>
      <c r="N238" s="229"/>
      <c r="O238" s="229"/>
      <c r="P238" s="222">
        <f>+P239+P246</f>
        <v>57457.5236</v>
      </c>
      <c r="Q238" s="229"/>
      <c r="R238" s="266"/>
      <c r="S238" s="222">
        <f>+S239+S246</f>
        <v>199010.78804670129</v>
      </c>
      <c r="T238" s="229"/>
      <c r="U238" s="229"/>
      <c r="V238" s="222">
        <f>+V239+V246</f>
        <v>235821.71600000001</v>
      </c>
      <c r="W238" s="137"/>
      <c r="Z238" s="283"/>
    </row>
    <row r="239" spans="1:26" s="215" customFormat="1" ht="23.1" hidden="1" customHeight="1" outlineLevel="1" collapsed="1">
      <c r="A239" s="257">
        <v>1</v>
      </c>
      <c r="B239" s="342" t="s">
        <v>239</v>
      </c>
      <c r="C239" s="274"/>
      <c r="D239" s="315"/>
      <c r="E239" s="229"/>
      <c r="F239" s="222">
        <v>0</v>
      </c>
      <c r="G239" s="222"/>
      <c r="H239" s="229"/>
      <c r="I239" s="354"/>
      <c r="J239" s="229"/>
      <c r="K239" s="229"/>
      <c r="L239" s="266"/>
      <c r="M239" s="222">
        <f>SUM(M240:M245)</f>
        <v>54164.859490266579</v>
      </c>
      <c r="N239" s="229"/>
      <c r="O239" s="229"/>
      <c r="P239" s="222">
        <f>SUM(P240:P245)</f>
        <v>57457.5236</v>
      </c>
      <c r="Q239" s="229"/>
      <c r="R239" s="266"/>
      <c r="S239" s="222">
        <f>SUM(S240:S245)</f>
        <v>199010.78804670129</v>
      </c>
      <c r="T239" s="229"/>
      <c r="U239" s="229"/>
      <c r="V239" s="222">
        <f>SUM(V240:V245)</f>
        <v>235821.71600000001</v>
      </c>
      <c r="W239" s="137"/>
      <c r="Z239" s="283"/>
    </row>
    <row r="240" spans="1:26" s="216" customFormat="1" ht="23.1" hidden="1" customHeight="1" outlineLevel="2">
      <c r="A240" s="258">
        <v>1.1000000000000001</v>
      </c>
      <c r="B240" s="223" t="s">
        <v>240</v>
      </c>
      <c r="C240" s="223" t="s">
        <v>241</v>
      </c>
      <c r="D240" s="223" t="s">
        <v>103</v>
      </c>
      <c r="E240" s="207">
        <v>315.61</v>
      </c>
      <c r="F240" s="205">
        <v>258.18094590825683</v>
      </c>
      <c r="G240" s="205">
        <v>81484.488338104944</v>
      </c>
      <c r="H240" s="207">
        <v>315.61</v>
      </c>
      <c r="I240" s="263">
        <v>360</v>
      </c>
      <c r="J240" s="207">
        <v>113619.6</v>
      </c>
      <c r="K240" s="207">
        <f>+Q240-Z240</f>
        <v>0</v>
      </c>
      <c r="L240" s="267">
        <v>258.18094590825683</v>
      </c>
      <c r="M240" s="205">
        <f t="shared" si="50"/>
        <v>0</v>
      </c>
      <c r="N240" s="207">
        <f>+K240</f>
        <v>0</v>
      </c>
      <c r="O240" s="207">
        <f>+U240</f>
        <v>360</v>
      </c>
      <c r="P240" s="205">
        <f t="shared" si="56"/>
        <v>0</v>
      </c>
      <c r="Q240" s="206">
        <f>135.8536*0.5+208.9587</f>
        <v>276.88549999999998</v>
      </c>
      <c r="R240" s="267">
        <v>258.18094590825683</v>
      </c>
      <c r="S240" s="205">
        <f t="shared" si="49"/>
        <v>71486.560298280645</v>
      </c>
      <c r="T240" s="207">
        <f t="shared" ref="T240:T245" si="61">+Q240</f>
        <v>276.88549999999998</v>
      </c>
      <c r="U240" s="207">
        <v>360</v>
      </c>
      <c r="V240" s="205">
        <f t="shared" si="51"/>
        <v>99678.78</v>
      </c>
      <c r="W240" s="123"/>
      <c r="Z240" s="347">
        <v>276.88549999999998</v>
      </c>
    </row>
    <row r="241" spans="1:26" s="216" customFormat="1" ht="23.1" hidden="1" customHeight="1" outlineLevel="2">
      <c r="A241" s="258">
        <v>1.2</v>
      </c>
      <c r="B241" s="223" t="s">
        <v>240</v>
      </c>
      <c r="C241" s="223" t="s">
        <v>242</v>
      </c>
      <c r="D241" s="223" t="s">
        <v>103</v>
      </c>
      <c r="E241" s="207">
        <v>5.0999999999999996</v>
      </c>
      <c r="F241" s="205">
        <v>335.63238429357801</v>
      </c>
      <c r="G241" s="205">
        <v>1711.7251598972477</v>
      </c>
      <c r="H241" s="207">
        <v>5.0999999999999996</v>
      </c>
      <c r="I241" s="263">
        <v>360</v>
      </c>
      <c r="J241" s="207">
        <v>1835.9999999999998</v>
      </c>
      <c r="K241" s="207">
        <f>+Q241-Z241</f>
        <v>136.30941000000001</v>
      </c>
      <c r="L241" s="267">
        <v>335.63238429357801</v>
      </c>
      <c r="M241" s="205">
        <f t="shared" si="50"/>
        <v>45749.852279950894</v>
      </c>
      <c r="N241" s="207">
        <f>+K241</f>
        <v>136.30941000000001</v>
      </c>
      <c r="O241" s="207">
        <f>+U241</f>
        <v>360</v>
      </c>
      <c r="P241" s="205">
        <f t="shared" si="56"/>
        <v>49071.387600000002</v>
      </c>
      <c r="Q241" s="206">
        <f>631.77-276.89</f>
        <v>354.88</v>
      </c>
      <c r="R241" s="267">
        <v>335.63238429357801</v>
      </c>
      <c r="S241" s="205">
        <f t="shared" si="49"/>
        <v>119109.22053810496</v>
      </c>
      <c r="T241" s="207">
        <f t="shared" si="61"/>
        <v>354.88</v>
      </c>
      <c r="U241" s="207">
        <v>360</v>
      </c>
      <c r="V241" s="205">
        <f t="shared" si="51"/>
        <v>127756.8</v>
      </c>
      <c r="W241" s="123"/>
      <c r="Z241" s="347">
        <v>218.57058999999998</v>
      </c>
    </row>
    <row r="242" spans="1:26" s="216" customFormat="1" ht="23.1" hidden="1" customHeight="1" outlineLevel="2">
      <c r="A242" s="258">
        <v>1.2999999999999998</v>
      </c>
      <c r="B242" s="223" t="s">
        <v>240</v>
      </c>
      <c r="C242" s="223" t="s">
        <v>243</v>
      </c>
      <c r="D242" s="223" t="s">
        <v>103</v>
      </c>
      <c r="E242" s="207">
        <v>8.5399999999999991</v>
      </c>
      <c r="F242" s="205">
        <v>303.17600146788988</v>
      </c>
      <c r="G242" s="205">
        <v>2589.1230525357792</v>
      </c>
      <c r="H242" s="207">
        <v>8.5399999999999991</v>
      </c>
      <c r="I242" s="263">
        <v>360</v>
      </c>
      <c r="J242" s="207">
        <v>3074.3999999999996</v>
      </c>
      <c r="K242" s="207">
        <f t="shared" ref="K242:K247" si="62">+Q242-Z242</f>
        <v>0</v>
      </c>
      <c r="L242" s="267">
        <v>303.17600146788988</v>
      </c>
      <c r="M242" s="205">
        <f t="shared" si="50"/>
        <v>0</v>
      </c>
      <c r="N242" s="207">
        <f t="shared" ref="N242:N256" si="63">+K242</f>
        <v>0</v>
      </c>
      <c r="O242" s="207">
        <f t="shared" ref="O242:O256" si="64">+U242</f>
        <v>360</v>
      </c>
      <c r="P242" s="205">
        <f t="shared" si="56"/>
        <v>0</v>
      </c>
      <c r="Q242" s="206"/>
      <c r="R242" s="267">
        <v>303.17600146788988</v>
      </c>
      <c r="S242" s="205">
        <f t="shared" si="49"/>
        <v>0</v>
      </c>
      <c r="T242" s="207">
        <f t="shared" si="61"/>
        <v>0</v>
      </c>
      <c r="U242" s="207">
        <v>360</v>
      </c>
      <c r="V242" s="205">
        <f t="shared" si="51"/>
        <v>0</v>
      </c>
      <c r="W242" s="123"/>
      <c r="Z242" s="347"/>
    </row>
    <row r="243" spans="1:26" s="216" customFormat="1" ht="23.1" hidden="1" customHeight="1" outlineLevel="2">
      <c r="A243" s="258">
        <v>1.3999999999999997</v>
      </c>
      <c r="B243" s="223" t="s">
        <v>240</v>
      </c>
      <c r="C243" s="223" t="s">
        <v>244</v>
      </c>
      <c r="D243" s="223" t="s">
        <v>103</v>
      </c>
      <c r="E243" s="207">
        <v>5.65</v>
      </c>
      <c r="F243" s="205">
        <v>394.12405959633031</v>
      </c>
      <c r="G243" s="205">
        <v>2226.8009367192662</v>
      </c>
      <c r="H243" s="207">
        <v>5.65</v>
      </c>
      <c r="I243" s="263">
        <v>360</v>
      </c>
      <c r="J243" s="207">
        <v>2034.0000000000002</v>
      </c>
      <c r="K243" s="207">
        <f t="shared" si="62"/>
        <v>14.1851</v>
      </c>
      <c r="L243" s="267">
        <v>394.12405959633031</v>
      </c>
      <c r="M243" s="205">
        <f t="shared" si="50"/>
        <v>5590.689197779905</v>
      </c>
      <c r="N243" s="207">
        <f t="shared" si="63"/>
        <v>14.1851</v>
      </c>
      <c r="O243" s="207">
        <f t="shared" si="64"/>
        <v>360</v>
      </c>
      <c r="P243" s="205">
        <f t="shared" si="56"/>
        <v>5106.6360000000004</v>
      </c>
      <c r="Q243" s="206">
        <v>14.1851</v>
      </c>
      <c r="R243" s="267">
        <v>394.12405959633031</v>
      </c>
      <c r="S243" s="205">
        <f t="shared" si="49"/>
        <v>5590.689197779905</v>
      </c>
      <c r="T243" s="207">
        <f t="shared" si="61"/>
        <v>14.1851</v>
      </c>
      <c r="U243" s="207">
        <v>360</v>
      </c>
      <c r="V243" s="205">
        <f t="shared" si="51"/>
        <v>5106.6360000000004</v>
      </c>
      <c r="W243" s="123"/>
      <c r="Z243" s="347"/>
    </row>
    <row r="244" spans="1:26" s="216" customFormat="1" ht="23.1" hidden="1" customHeight="1" outlineLevel="2">
      <c r="A244" s="258">
        <v>1.4999999999999996</v>
      </c>
      <c r="B244" s="223" t="s">
        <v>245</v>
      </c>
      <c r="C244" s="223" t="s">
        <v>246</v>
      </c>
      <c r="D244" s="223" t="s">
        <v>247</v>
      </c>
      <c r="E244" s="207">
        <v>655.9</v>
      </c>
      <c r="F244" s="205">
        <v>4.3060192293577977</v>
      </c>
      <c r="G244" s="205">
        <v>2824.3180125357794</v>
      </c>
      <c r="H244" s="207">
        <v>655.9</v>
      </c>
      <c r="I244" s="263"/>
      <c r="J244" s="207">
        <v>0</v>
      </c>
      <c r="K244" s="207">
        <f t="shared" si="62"/>
        <v>655.9</v>
      </c>
      <c r="L244" s="267">
        <v>4.3060192293577977</v>
      </c>
      <c r="M244" s="205">
        <f t="shared" si="50"/>
        <v>2824.3180125357794</v>
      </c>
      <c r="N244" s="207">
        <f t="shared" si="63"/>
        <v>655.9</v>
      </c>
      <c r="O244" s="207">
        <f t="shared" si="64"/>
        <v>5</v>
      </c>
      <c r="P244" s="205">
        <f t="shared" si="56"/>
        <v>3279.5</v>
      </c>
      <c r="Q244" s="206">
        <v>655.9</v>
      </c>
      <c r="R244" s="267">
        <v>4.3060192293577977</v>
      </c>
      <c r="S244" s="205">
        <f t="shared" si="49"/>
        <v>2824.3180125357794</v>
      </c>
      <c r="T244" s="207">
        <f t="shared" si="61"/>
        <v>655.9</v>
      </c>
      <c r="U244" s="207">
        <v>5</v>
      </c>
      <c r="V244" s="205">
        <f t="shared" si="51"/>
        <v>3279.5</v>
      </c>
      <c r="W244" s="123"/>
      <c r="Z244" s="347"/>
    </row>
    <row r="245" spans="1:26" s="216" customFormat="1" ht="23.1" hidden="1" customHeight="1" outlineLevel="2">
      <c r="A245" s="258">
        <v>1.5999999999999994</v>
      </c>
      <c r="B245" s="353" t="s">
        <v>248</v>
      </c>
      <c r="C245" s="196" t="s">
        <v>249</v>
      </c>
      <c r="D245" s="314" t="s">
        <v>247</v>
      </c>
      <c r="E245" s="207">
        <v>278.89999999999998</v>
      </c>
      <c r="F245" s="205">
        <v>4.3439577247706422</v>
      </c>
      <c r="G245" s="205">
        <v>1211.5298094385321</v>
      </c>
      <c r="H245" s="207">
        <v>278.89999999999998</v>
      </c>
      <c r="I245" s="263"/>
      <c r="J245" s="207">
        <v>0</v>
      </c>
      <c r="K245" s="207">
        <f t="shared" si="62"/>
        <v>0</v>
      </c>
      <c r="L245" s="267">
        <v>4.3439577247706422</v>
      </c>
      <c r="M245" s="205">
        <f t="shared" si="50"/>
        <v>0</v>
      </c>
      <c r="N245" s="207">
        <f t="shared" si="63"/>
        <v>0</v>
      </c>
      <c r="O245" s="207">
        <f t="shared" si="64"/>
        <v>0</v>
      </c>
      <c r="P245" s="205">
        <f t="shared" si="56"/>
        <v>0</v>
      </c>
      <c r="Q245" s="206"/>
      <c r="R245" s="267">
        <v>4.3439577247706422</v>
      </c>
      <c r="S245" s="205">
        <f t="shared" si="49"/>
        <v>0</v>
      </c>
      <c r="T245" s="207">
        <f t="shared" si="61"/>
        <v>0</v>
      </c>
      <c r="U245" s="207"/>
      <c r="V245" s="205">
        <f t="shared" si="51"/>
        <v>0</v>
      </c>
      <c r="W245" s="123"/>
      <c r="Z245" s="347"/>
    </row>
    <row r="246" spans="1:26" s="215" customFormat="1" ht="23.1" hidden="1" customHeight="1" outlineLevel="1" collapsed="1">
      <c r="A246" s="257">
        <v>2</v>
      </c>
      <c r="B246" s="342" t="s">
        <v>250</v>
      </c>
      <c r="C246" s="274"/>
      <c r="D246" s="315"/>
      <c r="E246" s="229"/>
      <c r="F246" s="222">
        <v>0</v>
      </c>
      <c r="G246" s="222"/>
      <c r="H246" s="229"/>
      <c r="I246" s="263"/>
      <c r="J246" s="229">
        <v>0</v>
      </c>
      <c r="K246" s="229"/>
      <c r="L246" s="266"/>
      <c r="M246" s="222">
        <f>SUM(M247:M256)</f>
        <v>0</v>
      </c>
      <c r="N246" s="229"/>
      <c r="O246" s="229"/>
      <c r="P246" s="222">
        <f>SUM(P247:P256)</f>
        <v>0</v>
      </c>
      <c r="Q246" s="229"/>
      <c r="R246" s="266"/>
      <c r="S246" s="222">
        <f>SUM(S247:S256)</f>
        <v>0</v>
      </c>
      <c r="T246" s="229"/>
      <c r="U246" s="229"/>
      <c r="V246" s="222">
        <f>SUM(V247:V256)</f>
        <v>0</v>
      </c>
      <c r="W246" s="137"/>
      <c r="Z246" s="283"/>
    </row>
    <row r="247" spans="1:26" s="216" customFormat="1" ht="23.1" hidden="1" customHeight="1" outlineLevel="2">
      <c r="A247" s="258">
        <v>2.1</v>
      </c>
      <c r="B247" s="223" t="s">
        <v>251</v>
      </c>
      <c r="C247" s="223" t="s">
        <v>252</v>
      </c>
      <c r="D247" s="223" t="s">
        <v>247</v>
      </c>
      <c r="E247" s="207">
        <v>3413.14</v>
      </c>
      <c r="F247" s="205">
        <v>18.954202981171576</v>
      </c>
      <c r="G247" s="205">
        <v>64693.34836315595</v>
      </c>
      <c r="H247" s="207">
        <v>3413.14</v>
      </c>
      <c r="I247" s="355">
        <v>18</v>
      </c>
      <c r="J247" s="207">
        <v>61436.52</v>
      </c>
      <c r="K247" s="207">
        <f t="shared" si="62"/>
        <v>0</v>
      </c>
      <c r="L247" s="267">
        <v>18.954202981171576</v>
      </c>
      <c r="M247" s="205">
        <f t="shared" si="50"/>
        <v>0</v>
      </c>
      <c r="N247" s="207">
        <f t="shared" si="63"/>
        <v>0</v>
      </c>
      <c r="O247" s="207">
        <f t="shared" si="64"/>
        <v>0</v>
      </c>
      <c r="P247" s="205">
        <f t="shared" si="56"/>
        <v>0</v>
      </c>
      <c r="Q247" s="207"/>
      <c r="R247" s="267">
        <v>18.954202981171576</v>
      </c>
      <c r="S247" s="205">
        <f t="shared" si="49"/>
        <v>0</v>
      </c>
      <c r="T247" s="207">
        <f t="shared" ref="T247:T256" si="65">+Q247</f>
        <v>0</v>
      </c>
      <c r="U247" s="207"/>
      <c r="V247" s="205">
        <f t="shared" si="51"/>
        <v>0</v>
      </c>
      <c r="W247" s="123"/>
      <c r="Z247" s="347"/>
    </row>
    <row r="248" spans="1:26" s="216" customFormat="1" ht="23.1" hidden="1" customHeight="1" outlineLevel="2">
      <c r="A248" s="258">
        <v>2.2000000000000002</v>
      </c>
      <c r="B248" s="223" t="s">
        <v>253</v>
      </c>
      <c r="C248" s="223" t="s">
        <v>254</v>
      </c>
      <c r="D248" s="223" t="s">
        <v>247</v>
      </c>
      <c r="E248" s="207">
        <v>3413.14</v>
      </c>
      <c r="F248" s="205">
        <v>5.3467575227589128</v>
      </c>
      <c r="G248" s="205">
        <v>18249.231971229354</v>
      </c>
      <c r="H248" s="207">
        <v>3413.14</v>
      </c>
      <c r="I248" s="355">
        <v>6</v>
      </c>
      <c r="J248" s="207">
        <v>20478.84</v>
      </c>
      <c r="K248" s="207">
        <f t="shared" ref="K248:K256" si="66">+Q248-Z248</f>
        <v>0</v>
      </c>
      <c r="L248" s="267">
        <v>5.3467575227589128</v>
      </c>
      <c r="M248" s="205">
        <f t="shared" si="50"/>
        <v>0</v>
      </c>
      <c r="N248" s="207">
        <f t="shared" si="63"/>
        <v>0</v>
      </c>
      <c r="O248" s="207">
        <f t="shared" si="64"/>
        <v>0</v>
      </c>
      <c r="P248" s="205">
        <f t="shared" si="56"/>
        <v>0</v>
      </c>
      <c r="Q248" s="207"/>
      <c r="R248" s="267">
        <v>5.3467575227589128</v>
      </c>
      <c r="S248" s="205">
        <f t="shared" si="49"/>
        <v>0</v>
      </c>
      <c r="T248" s="207">
        <f t="shared" si="65"/>
        <v>0</v>
      </c>
      <c r="U248" s="207"/>
      <c r="V248" s="205">
        <f t="shared" si="51"/>
        <v>0</v>
      </c>
      <c r="W248" s="123"/>
      <c r="Z248" s="347"/>
    </row>
    <row r="249" spans="1:26" s="216" customFormat="1" ht="23.1" hidden="1" customHeight="1" outlineLevel="2">
      <c r="A249" s="258">
        <v>2.3000000000000003</v>
      </c>
      <c r="B249" s="198" t="s">
        <v>255</v>
      </c>
      <c r="C249" s="198" t="s">
        <v>256</v>
      </c>
      <c r="D249" s="198" t="s">
        <v>247</v>
      </c>
      <c r="E249" s="207">
        <v>6466.91</v>
      </c>
      <c r="F249" s="205">
        <v>14.422205592515372</v>
      </c>
      <c r="G249" s="205">
        <v>93267.105568293584</v>
      </c>
      <c r="H249" s="207">
        <v>6466.91</v>
      </c>
      <c r="I249" s="355">
        <v>18</v>
      </c>
      <c r="J249" s="207">
        <v>116404.38</v>
      </c>
      <c r="K249" s="207">
        <f t="shared" si="66"/>
        <v>0</v>
      </c>
      <c r="L249" s="267">
        <v>14.422205592515372</v>
      </c>
      <c r="M249" s="205">
        <f t="shared" si="50"/>
        <v>0</v>
      </c>
      <c r="N249" s="207">
        <f t="shared" si="63"/>
        <v>0</v>
      </c>
      <c r="O249" s="207">
        <f t="shared" si="64"/>
        <v>0</v>
      </c>
      <c r="P249" s="205">
        <f t="shared" si="56"/>
        <v>0</v>
      </c>
      <c r="Q249" s="207"/>
      <c r="R249" s="267">
        <v>14.422205592515372</v>
      </c>
      <c r="S249" s="205">
        <f t="shared" si="49"/>
        <v>0</v>
      </c>
      <c r="T249" s="207">
        <f t="shared" si="65"/>
        <v>0</v>
      </c>
      <c r="U249" s="207"/>
      <c r="V249" s="205">
        <f t="shared" si="51"/>
        <v>0</v>
      </c>
      <c r="W249" s="123"/>
      <c r="Z249" s="347"/>
    </row>
    <row r="250" spans="1:26" s="216" customFormat="1" ht="23.1" hidden="1" customHeight="1" outlineLevel="2">
      <c r="A250" s="258">
        <v>2.4000000000000004</v>
      </c>
      <c r="B250" s="198" t="s">
        <v>257</v>
      </c>
      <c r="C250" s="198" t="s">
        <v>254</v>
      </c>
      <c r="D250" s="198" t="s">
        <v>247</v>
      </c>
      <c r="E250" s="207">
        <v>6466.91</v>
      </c>
      <c r="F250" s="205">
        <v>5.3467740823315379</v>
      </c>
      <c r="G250" s="205">
        <v>34577.106780770642</v>
      </c>
      <c r="H250" s="207">
        <v>6466.91</v>
      </c>
      <c r="I250" s="355">
        <v>6</v>
      </c>
      <c r="J250" s="207">
        <v>38801.46</v>
      </c>
      <c r="K250" s="207">
        <f t="shared" si="66"/>
        <v>0</v>
      </c>
      <c r="L250" s="267">
        <v>5.3467740823315379</v>
      </c>
      <c r="M250" s="205">
        <f t="shared" si="50"/>
        <v>0</v>
      </c>
      <c r="N250" s="207">
        <f t="shared" si="63"/>
        <v>0</v>
      </c>
      <c r="O250" s="207">
        <f t="shared" si="64"/>
        <v>0</v>
      </c>
      <c r="P250" s="205">
        <f t="shared" si="56"/>
        <v>0</v>
      </c>
      <c r="Q250" s="207"/>
      <c r="R250" s="267">
        <v>5.3467740823315379</v>
      </c>
      <c r="S250" s="205">
        <f t="shared" si="49"/>
        <v>0</v>
      </c>
      <c r="T250" s="207">
        <f t="shared" si="65"/>
        <v>0</v>
      </c>
      <c r="U250" s="207"/>
      <c r="V250" s="205">
        <f t="shared" si="51"/>
        <v>0</v>
      </c>
      <c r="W250" s="123"/>
      <c r="Z250" s="347"/>
    </row>
    <row r="251" spans="1:26" s="216" customFormat="1" ht="23.1" hidden="1" customHeight="1" outlineLevel="2">
      <c r="A251" s="258">
        <v>2.5000000000000004</v>
      </c>
      <c r="B251" s="198" t="s">
        <v>258</v>
      </c>
      <c r="C251" s="198" t="s">
        <v>259</v>
      </c>
      <c r="D251" s="198" t="s">
        <v>247</v>
      </c>
      <c r="E251" s="207">
        <v>441.21</v>
      </c>
      <c r="F251" s="205">
        <v>40.022456965871555</v>
      </c>
      <c r="G251" s="205">
        <v>17658.308237912188</v>
      </c>
      <c r="H251" s="207">
        <v>441.21</v>
      </c>
      <c r="I251" s="355">
        <v>58</v>
      </c>
      <c r="J251" s="207">
        <v>25590.18</v>
      </c>
      <c r="K251" s="207">
        <f t="shared" si="66"/>
        <v>0</v>
      </c>
      <c r="L251" s="267">
        <v>40.022456965871555</v>
      </c>
      <c r="M251" s="205">
        <f t="shared" si="50"/>
        <v>0</v>
      </c>
      <c r="N251" s="207">
        <f t="shared" si="63"/>
        <v>0</v>
      </c>
      <c r="O251" s="207">
        <f t="shared" si="64"/>
        <v>0</v>
      </c>
      <c r="P251" s="205">
        <f t="shared" si="56"/>
        <v>0</v>
      </c>
      <c r="Q251" s="207"/>
      <c r="R251" s="267">
        <v>40.022456965871555</v>
      </c>
      <c r="S251" s="205">
        <f t="shared" si="49"/>
        <v>0</v>
      </c>
      <c r="T251" s="207">
        <f t="shared" si="65"/>
        <v>0</v>
      </c>
      <c r="U251" s="207"/>
      <c r="V251" s="205">
        <f t="shared" si="51"/>
        <v>0</v>
      </c>
      <c r="W251" s="123"/>
      <c r="Z251" s="347"/>
    </row>
    <row r="252" spans="1:26" s="216" customFormat="1" ht="23.1" hidden="1" customHeight="1" outlineLevel="2">
      <c r="A252" s="258">
        <v>2.6000000000000005</v>
      </c>
      <c r="B252" s="198" t="s">
        <v>260</v>
      </c>
      <c r="C252" s="198" t="s">
        <v>261</v>
      </c>
      <c r="D252" s="198" t="s">
        <v>103</v>
      </c>
      <c r="E252" s="207">
        <v>110.3</v>
      </c>
      <c r="F252" s="205">
        <v>52.715539376146786</v>
      </c>
      <c r="G252" s="205">
        <v>5814.5239931889901</v>
      </c>
      <c r="H252" s="207">
        <v>110.3</v>
      </c>
      <c r="I252" s="355">
        <v>90</v>
      </c>
      <c r="J252" s="207">
        <v>9927</v>
      </c>
      <c r="K252" s="207">
        <f t="shared" si="66"/>
        <v>0</v>
      </c>
      <c r="L252" s="263">
        <v>52.715539376146786</v>
      </c>
      <c r="M252" s="205">
        <f t="shared" si="50"/>
        <v>0</v>
      </c>
      <c r="N252" s="207">
        <f t="shared" si="63"/>
        <v>0</v>
      </c>
      <c r="O252" s="207">
        <f t="shared" si="64"/>
        <v>0</v>
      </c>
      <c r="P252" s="205">
        <f t="shared" si="56"/>
        <v>0</v>
      </c>
      <c r="Q252" s="207"/>
      <c r="R252" s="263">
        <v>52.715539376146786</v>
      </c>
      <c r="S252" s="205">
        <f t="shared" si="49"/>
        <v>0</v>
      </c>
      <c r="T252" s="207">
        <f t="shared" si="65"/>
        <v>0</v>
      </c>
      <c r="U252" s="207"/>
      <c r="V252" s="205">
        <f t="shared" si="51"/>
        <v>0</v>
      </c>
      <c r="W252" s="123"/>
      <c r="Z252" s="347"/>
    </row>
    <row r="253" spans="1:26" s="216" customFormat="1" ht="23.1" hidden="1" customHeight="1" outlineLevel="2">
      <c r="A253" s="258">
        <v>2.7000000000000006</v>
      </c>
      <c r="B253" s="198" t="s">
        <v>262</v>
      </c>
      <c r="C253" s="198" t="s">
        <v>263</v>
      </c>
      <c r="D253" s="198" t="s">
        <v>247</v>
      </c>
      <c r="E253" s="207">
        <v>512.29</v>
      </c>
      <c r="F253" s="205">
        <v>33.463934417614681</v>
      </c>
      <c r="G253" s="205">
        <v>17143.238962799824</v>
      </c>
      <c r="H253" s="207">
        <v>512.29</v>
      </c>
      <c r="I253" s="355">
        <v>58</v>
      </c>
      <c r="J253" s="207">
        <v>29712.82</v>
      </c>
      <c r="K253" s="207">
        <f t="shared" si="66"/>
        <v>0</v>
      </c>
      <c r="L253" s="263">
        <v>33.463934417614681</v>
      </c>
      <c r="M253" s="205">
        <f t="shared" si="50"/>
        <v>0</v>
      </c>
      <c r="N253" s="207">
        <f t="shared" si="63"/>
        <v>0</v>
      </c>
      <c r="O253" s="207">
        <f t="shared" si="64"/>
        <v>0</v>
      </c>
      <c r="P253" s="205">
        <f t="shared" si="56"/>
        <v>0</v>
      </c>
      <c r="Q253" s="207"/>
      <c r="R253" s="263">
        <v>33.463934417614681</v>
      </c>
      <c r="S253" s="205">
        <f t="shared" si="49"/>
        <v>0</v>
      </c>
      <c r="T253" s="207">
        <f t="shared" si="65"/>
        <v>0</v>
      </c>
      <c r="U253" s="207"/>
      <c r="V253" s="205">
        <f t="shared" si="51"/>
        <v>0</v>
      </c>
      <c r="W253" s="123"/>
      <c r="Z253" s="347"/>
    </row>
    <row r="254" spans="1:26" s="216" customFormat="1" ht="23.1" hidden="1" customHeight="1" outlineLevel="2">
      <c r="A254" s="258">
        <v>2.8000000000000007</v>
      </c>
      <c r="B254" s="198" t="s">
        <v>264</v>
      </c>
      <c r="C254" s="198" t="s">
        <v>265</v>
      </c>
      <c r="D254" s="198" t="s">
        <v>247</v>
      </c>
      <c r="E254" s="207">
        <v>512.29</v>
      </c>
      <c r="F254" s="205">
        <v>6.3240626466055039</v>
      </c>
      <c r="G254" s="205">
        <v>3239.7540532295334</v>
      </c>
      <c r="H254" s="207">
        <v>512.29</v>
      </c>
      <c r="I254" s="355">
        <v>18</v>
      </c>
      <c r="J254" s="207">
        <v>9221.2199999999993</v>
      </c>
      <c r="K254" s="207">
        <f t="shared" si="66"/>
        <v>0</v>
      </c>
      <c r="L254" s="267">
        <v>6.3240626466055039</v>
      </c>
      <c r="M254" s="205">
        <f t="shared" si="50"/>
        <v>0</v>
      </c>
      <c r="N254" s="207">
        <f t="shared" si="63"/>
        <v>0</v>
      </c>
      <c r="O254" s="207">
        <f t="shared" si="64"/>
        <v>0</v>
      </c>
      <c r="P254" s="205">
        <f t="shared" si="56"/>
        <v>0</v>
      </c>
      <c r="Q254" s="207"/>
      <c r="R254" s="267">
        <v>6.3240626466055039</v>
      </c>
      <c r="S254" s="205">
        <f t="shared" si="49"/>
        <v>0</v>
      </c>
      <c r="T254" s="207">
        <f t="shared" si="65"/>
        <v>0</v>
      </c>
      <c r="U254" s="207"/>
      <c r="V254" s="205">
        <f t="shared" si="51"/>
        <v>0</v>
      </c>
      <c r="W254" s="123"/>
      <c r="Z254" s="347"/>
    </row>
    <row r="255" spans="1:26" s="216" customFormat="1" ht="23.1" hidden="1" customHeight="1" outlineLevel="2">
      <c r="A255" s="258">
        <v>2.9000000000000008</v>
      </c>
      <c r="B255" s="198" t="s">
        <v>266</v>
      </c>
      <c r="C255" s="198" t="s">
        <v>267</v>
      </c>
      <c r="D255" s="198" t="s">
        <v>247</v>
      </c>
      <c r="E255" s="207">
        <v>152.15</v>
      </c>
      <c r="F255" s="205">
        <v>18.10633662825688</v>
      </c>
      <c r="G255" s="205">
        <v>2754.8791179892846</v>
      </c>
      <c r="H255" s="207">
        <v>152.15</v>
      </c>
      <c r="I255" s="355">
        <v>18</v>
      </c>
      <c r="J255" s="207">
        <v>2738.7</v>
      </c>
      <c r="K255" s="207">
        <f t="shared" si="66"/>
        <v>0</v>
      </c>
      <c r="L255" s="267">
        <v>18.10633662825688</v>
      </c>
      <c r="M255" s="205">
        <f t="shared" si="50"/>
        <v>0</v>
      </c>
      <c r="N255" s="207">
        <f t="shared" si="63"/>
        <v>0</v>
      </c>
      <c r="O255" s="207">
        <f t="shared" si="64"/>
        <v>0</v>
      </c>
      <c r="P255" s="205">
        <f t="shared" ref="P255:P281" si="67">+O255*N255</f>
        <v>0</v>
      </c>
      <c r="Q255" s="207"/>
      <c r="R255" s="267">
        <v>18.10633662825688</v>
      </c>
      <c r="S255" s="205">
        <f t="shared" si="49"/>
        <v>0</v>
      </c>
      <c r="T255" s="207">
        <f t="shared" si="65"/>
        <v>0</v>
      </c>
      <c r="U255" s="207"/>
      <c r="V255" s="205">
        <f t="shared" si="51"/>
        <v>0</v>
      </c>
      <c r="W255" s="123"/>
      <c r="Z255" s="347"/>
    </row>
    <row r="256" spans="1:26" s="216" customFormat="1" ht="23.1" hidden="1" customHeight="1" outlineLevel="2">
      <c r="A256" s="348">
        <v>2.1</v>
      </c>
      <c r="B256" s="223" t="s">
        <v>268</v>
      </c>
      <c r="C256" s="198" t="s">
        <v>269</v>
      </c>
      <c r="D256" s="198" t="s">
        <v>247</v>
      </c>
      <c r="E256" s="207">
        <v>152.15</v>
      </c>
      <c r="F256" s="205">
        <v>2.6365357387155979</v>
      </c>
      <c r="G256" s="205">
        <v>401.14891264557821</v>
      </c>
      <c r="H256" s="207">
        <v>152.15</v>
      </c>
      <c r="I256" s="355">
        <v>18</v>
      </c>
      <c r="J256" s="207">
        <v>2738.7</v>
      </c>
      <c r="K256" s="207">
        <f t="shared" si="66"/>
        <v>0</v>
      </c>
      <c r="L256" s="263">
        <v>2.6365357387155979</v>
      </c>
      <c r="M256" s="205">
        <f t="shared" si="50"/>
        <v>0</v>
      </c>
      <c r="N256" s="207">
        <f t="shared" si="63"/>
        <v>0</v>
      </c>
      <c r="O256" s="207">
        <f t="shared" si="64"/>
        <v>0</v>
      </c>
      <c r="P256" s="205">
        <f t="shared" si="67"/>
        <v>0</v>
      </c>
      <c r="Q256" s="207"/>
      <c r="R256" s="263">
        <v>2.6365357387155979</v>
      </c>
      <c r="S256" s="205">
        <f t="shared" si="49"/>
        <v>0</v>
      </c>
      <c r="T256" s="207">
        <f t="shared" si="65"/>
        <v>0</v>
      </c>
      <c r="U256" s="207"/>
      <c r="V256" s="205">
        <f t="shared" si="51"/>
        <v>0</v>
      </c>
      <c r="W256" s="123"/>
      <c r="Z256" s="347"/>
    </row>
    <row r="257" spans="1:26" s="215" customFormat="1" ht="23.1" customHeight="1" collapsed="1">
      <c r="A257" s="337" t="s">
        <v>270</v>
      </c>
      <c r="B257" s="337" t="s">
        <v>271</v>
      </c>
      <c r="C257" s="220"/>
      <c r="D257" s="220"/>
      <c r="E257" s="229"/>
      <c r="F257" s="222"/>
      <c r="G257" s="222">
        <v>107776.35222040952</v>
      </c>
      <c r="H257" s="229"/>
      <c r="I257" s="365"/>
      <c r="J257" s="229">
        <v>148939.79999999999</v>
      </c>
      <c r="K257" s="229"/>
      <c r="L257" s="266"/>
      <c r="M257" s="222">
        <f>SUM(M258:M267)</f>
        <v>43205.080526745245</v>
      </c>
      <c r="N257" s="229"/>
      <c r="O257" s="229"/>
      <c r="P257" s="222">
        <f>SUM(P258:P267)</f>
        <v>58739.92</v>
      </c>
      <c r="Q257" s="229"/>
      <c r="R257" s="266"/>
      <c r="S257" s="222">
        <f>SUM(S258:S267)</f>
        <v>107227.6341033952</v>
      </c>
      <c r="T257" s="229"/>
      <c r="U257" s="229"/>
      <c r="V257" s="222">
        <f>SUM(V258:V267)</f>
        <v>122181.09999999999</v>
      </c>
      <c r="W257" s="137"/>
      <c r="Z257" s="283"/>
    </row>
    <row r="258" spans="1:26" s="216" customFormat="1" ht="23.1" hidden="1" customHeight="1" outlineLevel="2">
      <c r="A258" s="258">
        <v>1</v>
      </c>
      <c r="B258" s="198" t="s">
        <v>272</v>
      </c>
      <c r="C258" s="198" t="s">
        <v>273</v>
      </c>
      <c r="D258" s="198" t="s">
        <v>103</v>
      </c>
      <c r="E258" s="207">
        <v>96.19</v>
      </c>
      <c r="F258" s="205">
        <v>279.45495721100917</v>
      </c>
      <c r="G258" s="205">
        <v>26880.77233412697</v>
      </c>
      <c r="H258" s="207">
        <v>96.19</v>
      </c>
      <c r="I258" s="263">
        <v>460</v>
      </c>
      <c r="J258" s="207">
        <v>44247.4</v>
      </c>
      <c r="K258" s="207">
        <f>+Q258-Z258</f>
        <v>96.19</v>
      </c>
      <c r="L258" s="267">
        <v>279.45495721100917</v>
      </c>
      <c r="M258" s="205">
        <f t="shared" si="50"/>
        <v>26880.77233412697</v>
      </c>
      <c r="N258" s="207">
        <f t="shared" ref="N258:N267" si="68">+K258</f>
        <v>96.19</v>
      </c>
      <c r="O258" s="207">
        <f t="shared" ref="O258:O267" si="69">+U258</f>
        <v>360</v>
      </c>
      <c r="P258" s="205">
        <f t="shared" si="67"/>
        <v>34628.400000000001</v>
      </c>
      <c r="Q258" s="207">
        <f>+E258</f>
        <v>96.19</v>
      </c>
      <c r="R258" s="267">
        <v>279.45495721100917</v>
      </c>
      <c r="S258" s="205">
        <f t="shared" ref="S258:S267" si="70">+R258*Q258</f>
        <v>26880.77233412697</v>
      </c>
      <c r="T258" s="207">
        <f t="shared" ref="T258:T267" si="71">+Q258</f>
        <v>96.19</v>
      </c>
      <c r="U258" s="207">
        <v>360</v>
      </c>
      <c r="V258" s="205">
        <f t="shared" si="51"/>
        <v>34628.400000000001</v>
      </c>
      <c r="W258" s="123"/>
      <c r="Z258" s="347"/>
    </row>
    <row r="259" spans="1:26" s="216" customFormat="1" ht="23.1" hidden="1" customHeight="1" outlineLevel="2">
      <c r="A259" s="258">
        <v>2</v>
      </c>
      <c r="B259" s="198" t="s">
        <v>272</v>
      </c>
      <c r="C259" s="198" t="s">
        <v>274</v>
      </c>
      <c r="D259" s="198" t="s">
        <v>103</v>
      </c>
      <c r="E259" s="207">
        <v>26.4</v>
      </c>
      <c r="F259" s="205">
        <v>363.29903207339447</v>
      </c>
      <c r="G259" s="205">
        <v>9591.0944467376139</v>
      </c>
      <c r="H259" s="207">
        <v>26.4</v>
      </c>
      <c r="I259" s="263">
        <v>460</v>
      </c>
      <c r="J259" s="207">
        <v>12144</v>
      </c>
      <c r="K259" s="207">
        <f t="shared" ref="K259:K267" si="72">+Q259-Z259</f>
        <v>26.4</v>
      </c>
      <c r="L259" s="267">
        <v>363.29903207339447</v>
      </c>
      <c r="M259" s="205">
        <f t="shared" si="50"/>
        <v>9591.0944467376139</v>
      </c>
      <c r="N259" s="207">
        <f t="shared" si="68"/>
        <v>26.4</v>
      </c>
      <c r="O259" s="207">
        <f t="shared" si="69"/>
        <v>360</v>
      </c>
      <c r="P259" s="205">
        <f t="shared" si="67"/>
        <v>9504</v>
      </c>
      <c r="Q259" s="207">
        <f t="shared" ref="Q259:Q266" si="73">+E259</f>
        <v>26.4</v>
      </c>
      <c r="R259" s="267">
        <v>363.29903207339447</v>
      </c>
      <c r="S259" s="205">
        <f t="shared" si="70"/>
        <v>9591.0944467376139</v>
      </c>
      <c r="T259" s="207">
        <f t="shared" si="71"/>
        <v>26.4</v>
      </c>
      <c r="U259" s="207">
        <v>360</v>
      </c>
      <c r="V259" s="205">
        <f t="shared" si="51"/>
        <v>9504</v>
      </c>
      <c r="W259" s="123"/>
      <c r="Z259" s="347"/>
    </row>
    <row r="260" spans="1:26" s="216" customFormat="1" ht="23.1" hidden="1" customHeight="1" outlineLevel="2">
      <c r="A260" s="258">
        <v>3</v>
      </c>
      <c r="B260" s="198" t="s">
        <v>240</v>
      </c>
      <c r="C260" s="198" t="s">
        <v>275</v>
      </c>
      <c r="D260" s="198" t="s">
        <v>103</v>
      </c>
      <c r="E260" s="207">
        <v>100.79</v>
      </c>
      <c r="F260" s="205">
        <v>279.45495721100917</v>
      </c>
      <c r="G260" s="205">
        <v>28166.265137297618</v>
      </c>
      <c r="H260" s="207">
        <v>100.79</v>
      </c>
      <c r="I260" s="263">
        <v>460</v>
      </c>
      <c r="J260" s="207">
        <v>46363.4</v>
      </c>
      <c r="K260" s="207">
        <f t="shared" si="72"/>
        <v>100.79</v>
      </c>
      <c r="L260" s="267">
        <v>279.45495721100917</v>
      </c>
      <c r="M260" s="205">
        <f t="shared" si="50"/>
        <v>28166.265137297618</v>
      </c>
      <c r="N260" s="207">
        <f t="shared" si="68"/>
        <v>100.79</v>
      </c>
      <c r="O260" s="207">
        <f t="shared" si="69"/>
        <v>360</v>
      </c>
      <c r="P260" s="205">
        <f t="shared" si="67"/>
        <v>36284.400000000001</v>
      </c>
      <c r="Q260" s="207">
        <f t="shared" si="73"/>
        <v>100.79</v>
      </c>
      <c r="R260" s="267">
        <v>279.45495721100917</v>
      </c>
      <c r="S260" s="205">
        <f t="shared" si="70"/>
        <v>28166.265137297618</v>
      </c>
      <c r="T260" s="207">
        <f t="shared" si="71"/>
        <v>100.79</v>
      </c>
      <c r="U260" s="207">
        <v>360</v>
      </c>
      <c r="V260" s="205">
        <f t="shared" si="51"/>
        <v>36284.400000000001</v>
      </c>
      <c r="W260" s="123"/>
      <c r="Z260" s="347"/>
    </row>
    <row r="261" spans="1:26" s="216" customFormat="1" ht="23.1" hidden="1" customHeight="1" outlineLevel="2">
      <c r="A261" s="258">
        <v>4</v>
      </c>
      <c r="B261" s="198" t="s">
        <v>240</v>
      </c>
      <c r="C261" s="198" t="s">
        <v>276</v>
      </c>
      <c r="D261" s="198" t="s">
        <v>103</v>
      </c>
      <c r="E261" s="207">
        <v>28.46</v>
      </c>
      <c r="F261" s="205">
        <v>363.29903207339447</v>
      </c>
      <c r="G261" s="205">
        <v>10339.490452808806</v>
      </c>
      <c r="H261" s="207">
        <v>28.46</v>
      </c>
      <c r="I261" s="263">
        <v>460</v>
      </c>
      <c r="J261" s="207">
        <v>13091.6</v>
      </c>
      <c r="K261" s="207">
        <f t="shared" si="72"/>
        <v>-147.76550000000003</v>
      </c>
      <c r="L261" s="267">
        <v>363.29903207339447</v>
      </c>
      <c r="M261" s="205">
        <f t="shared" si="50"/>
        <v>-53683.063123841181</v>
      </c>
      <c r="N261" s="207">
        <f t="shared" si="68"/>
        <v>-147.76550000000003</v>
      </c>
      <c r="O261" s="207">
        <f t="shared" si="69"/>
        <v>360</v>
      </c>
      <c r="P261" s="205">
        <f t="shared" si="67"/>
        <v>-53195.580000000009</v>
      </c>
      <c r="Q261" s="207">
        <f t="shared" si="73"/>
        <v>28.46</v>
      </c>
      <c r="R261" s="267">
        <v>363.29903207339447</v>
      </c>
      <c r="S261" s="205">
        <f t="shared" si="70"/>
        <v>10339.490452808806</v>
      </c>
      <c r="T261" s="207">
        <f t="shared" si="71"/>
        <v>28.46</v>
      </c>
      <c r="U261" s="207">
        <v>360</v>
      </c>
      <c r="V261" s="205">
        <f t="shared" si="51"/>
        <v>10245.6</v>
      </c>
      <c r="W261" s="123"/>
      <c r="Z261" s="347">
        <v>176.22550000000004</v>
      </c>
    </row>
    <row r="262" spans="1:26" s="216" customFormat="1" ht="23.1" hidden="1" customHeight="1" outlineLevel="2">
      <c r="A262" s="258">
        <v>5</v>
      </c>
      <c r="B262" s="198" t="s">
        <v>240</v>
      </c>
      <c r="C262" s="198" t="s">
        <v>277</v>
      </c>
      <c r="D262" s="198" t="s">
        <v>103</v>
      </c>
      <c r="E262" s="207">
        <v>6.59</v>
      </c>
      <c r="F262" s="205">
        <v>328.15850069724775</v>
      </c>
      <c r="G262" s="205">
        <v>2162.5645195948628</v>
      </c>
      <c r="H262" s="207">
        <v>6.59</v>
      </c>
      <c r="I262" s="263">
        <v>460</v>
      </c>
      <c r="J262" s="207">
        <v>3031.4</v>
      </c>
      <c r="K262" s="207">
        <f t="shared" si="72"/>
        <v>6.59</v>
      </c>
      <c r="L262" s="267">
        <v>328.15850069724775</v>
      </c>
      <c r="M262" s="205">
        <f t="shared" si="50"/>
        <v>2162.5645195948628</v>
      </c>
      <c r="N262" s="207">
        <f t="shared" si="68"/>
        <v>6.59</v>
      </c>
      <c r="O262" s="207">
        <f t="shared" si="69"/>
        <v>360</v>
      </c>
      <c r="P262" s="205">
        <f t="shared" si="67"/>
        <v>2372.4</v>
      </c>
      <c r="Q262" s="207">
        <f t="shared" si="73"/>
        <v>6.59</v>
      </c>
      <c r="R262" s="267">
        <v>328.15850069724775</v>
      </c>
      <c r="S262" s="205">
        <f t="shared" si="70"/>
        <v>2162.5645195948628</v>
      </c>
      <c r="T262" s="207">
        <f t="shared" si="71"/>
        <v>6.59</v>
      </c>
      <c r="U262" s="207">
        <v>360</v>
      </c>
      <c r="V262" s="205">
        <f t="shared" si="51"/>
        <v>2372.4</v>
      </c>
      <c r="W262" s="123"/>
      <c r="Z262" s="347"/>
    </row>
    <row r="263" spans="1:26" s="216" customFormat="1" ht="23.1" hidden="1" customHeight="1" outlineLevel="2">
      <c r="A263" s="258">
        <v>6</v>
      </c>
      <c r="B263" s="198" t="s">
        <v>240</v>
      </c>
      <c r="C263" s="198" t="s">
        <v>278</v>
      </c>
      <c r="D263" s="198" t="s">
        <v>103</v>
      </c>
      <c r="E263" s="207">
        <v>23.2</v>
      </c>
      <c r="F263" s="205">
        <v>426.60889629357803</v>
      </c>
      <c r="G263" s="205">
        <v>9897.3263940110101</v>
      </c>
      <c r="H263" s="207">
        <v>23.2</v>
      </c>
      <c r="I263" s="263">
        <v>460</v>
      </c>
      <c r="J263" s="207">
        <v>10672</v>
      </c>
      <c r="K263" s="207">
        <f t="shared" si="72"/>
        <v>23.2</v>
      </c>
      <c r="L263" s="267">
        <v>426.60889629357803</v>
      </c>
      <c r="M263" s="205">
        <f t="shared" si="50"/>
        <v>9897.3263940110101</v>
      </c>
      <c r="N263" s="207">
        <f t="shared" si="68"/>
        <v>23.2</v>
      </c>
      <c r="O263" s="207">
        <f t="shared" si="69"/>
        <v>360</v>
      </c>
      <c r="P263" s="205">
        <f t="shared" si="67"/>
        <v>8352</v>
      </c>
      <c r="Q263" s="207">
        <f t="shared" si="73"/>
        <v>23.2</v>
      </c>
      <c r="R263" s="267">
        <v>426.60889629357803</v>
      </c>
      <c r="S263" s="205">
        <f t="shared" si="70"/>
        <v>9897.3263940110101</v>
      </c>
      <c r="T263" s="207">
        <f t="shared" si="71"/>
        <v>23.2</v>
      </c>
      <c r="U263" s="207">
        <v>360</v>
      </c>
      <c r="V263" s="205">
        <f t="shared" si="51"/>
        <v>8352</v>
      </c>
      <c r="W263" s="123"/>
      <c r="Z263" s="347"/>
    </row>
    <row r="264" spans="1:26" s="216" customFormat="1" ht="23.1" hidden="1" customHeight="1" outlineLevel="2">
      <c r="A264" s="258">
        <v>7</v>
      </c>
      <c r="B264" s="198" t="s">
        <v>279</v>
      </c>
      <c r="C264" s="198" t="s">
        <v>280</v>
      </c>
      <c r="D264" s="198" t="s">
        <v>103</v>
      </c>
      <c r="E264" s="207">
        <v>30.24</v>
      </c>
      <c r="F264" s="205">
        <v>334.41835244036696</v>
      </c>
      <c r="G264" s="205">
        <v>10112.810977796697</v>
      </c>
      <c r="H264" s="207">
        <v>30.24</v>
      </c>
      <c r="I264" s="263">
        <v>500</v>
      </c>
      <c r="J264" s="207">
        <v>15120</v>
      </c>
      <c r="K264" s="207">
        <f t="shared" si="72"/>
        <v>30.24</v>
      </c>
      <c r="L264" s="267">
        <v>334.41835244036696</v>
      </c>
      <c r="M264" s="205">
        <f t="shared" si="50"/>
        <v>10112.810977796697</v>
      </c>
      <c r="N264" s="207">
        <f t="shared" si="68"/>
        <v>30.24</v>
      </c>
      <c r="O264" s="207">
        <f t="shared" si="69"/>
        <v>360</v>
      </c>
      <c r="P264" s="205">
        <f t="shared" si="67"/>
        <v>10886.4</v>
      </c>
      <c r="Q264" s="207">
        <f t="shared" si="73"/>
        <v>30.24</v>
      </c>
      <c r="R264" s="267">
        <v>334.41835244036696</v>
      </c>
      <c r="S264" s="205">
        <f t="shared" si="70"/>
        <v>10112.810977796697</v>
      </c>
      <c r="T264" s="207">
        <f t="shared" si="71"/>
        <v>30.24</v>
      </c>
      <c r="U264" s="207">
        <v>360</v>
      </c>
      <c r="V264" s="205">
        <f t="shared" si="51"/>
        <v>10886.4</v>
      </c>
      <c r="W264" s="123"/>
      <c r="Z264" s="347"/>
    </row>
    <row r="265" spans="1:26" s="216" customFormat="1" ht="23.1" hidden="1" customHeight="1" outlineLevel="2">
      <c r="A265" s="258">
        <v>8</v>
      </c>
      <c r="B265" s="198" t="s">
        <v>279</v>
      </c>
      <c r="C265" s="198" t="s">
        <v>281</v>
      </c>
      <c r="D265" s="198" t="s">
        <v>103</v>
      </c>
      <c r="E265" s="207">
        <v>8.5399999999999991</v>
      </c>
      <c r="F265" s="205">
        <v>434.73721893577982</v>
      </c>
      <c r="G265" s="205">
        <v>3712.6558497115593</v>
      </c>
      <c r="H265" s="207">
        <v>8.5399999999999991</v>
      </c>
      <c r="I265" s="263">
        <v>500</v>
      </c>
      <c r="J265" s="207">
        <v>4270</v>
      </c>
      <c r="K265" s="207">
        <f t="shared" si="72"/>
        <v>8.5399999999999991</v>
      </c>
      <c r="L265" s="267">
        <v>434.73721893577982</v>
      </c>
      <c r="M265" s="205">
        <f t="shared" si="50"/>
        <v>3712.6558497115593</v>
      </c>
      <c r="N265" s="207">
        <f t="shared" si="68"/>
        <v>8.5399999999999991</v>
      </c>
      <c r="O265" s="207">
        <f t="shared" si="69"/>
        <v>360</v>
      </c>
      <c r="P265" s="205">
        <f t="shared" si="67"/>
        <v>3074.3999999999996</v>
      </c>
      <c r="Q265" s="207">
        <f t="shared" si="73"/>
        <v>8.5399999999999991</v>
      </c>
      <c r="R265" s="267">
        <v>434.73721893577982</v>
      </c>
      <c r="S265" s="205">
        <f t="shared" si="70"/>
        <v>3712.6558497115593</v>
      </c>
      <c r="T265" s="207">
        <f t="shared" si="71"/>
        <v>8.5399999999999991</v>
      </c>
      <c r="U265" s="207">
        <v>360</v>
      </c>
      <c r="V265" s="205">
        <f t="shared" si="51"/>
        <v>3074.3999999999996</v>
      </c>
      <c r="W265" s="123"/>
      <c r="Z265" s="347"/>
    </row>
    <row r="266" spans="1:26" s="216" customFormat="1" ht="23.1" hidden="1" customHeight="1" outlineLevel="2">
      <c r="A266" s="258">
        <v>9</v>
      </c>
      <c r="B266" s="198" t="s">
        <v>245</v>
      </c>
      <c r="C266" s="198" t="s">
        <v>282</v>
      </c>
      <c r="D266" s="198" t="s">
        <v>247</v>
      </c>
      <c r="E266" s="207">
        <v>1366.7</v>
      </c>
      <c r="F266" s="205">
        <v>4.6569503119266056</v>
      </c>
      <c r="G266" s="205">
        <v>6364.6539913100924</v>
      </c>
      <c r="H266" s="207">
        <v>1366.7</v>
      </c>
      <c r="I266" s="366"/>
      <c r="J266" s="207">
        <v>0</v>
      </c>
      <c r="K266" s="207">
        <f t="shared" si="72"/>
        <v>1366.7</v>
      </c>
      <c r="L266" s="267">
        <v>4.6569503119266056</v>
      </c>
      <c r="M266" s="205">
        <f t="shared" si="50"/>
        <v>6364.6539913100924</v>
      </c>
      <c r="N266" s="207">
        <f t="shared" si="68"/>
        <v>1366.7</v>
      </c>
      <c r="O266" s="207">
        <f t="shared" si="69"/>
        <v>5</v>
      </c>
      <c r="P266" s="205">
        <f t="shared" si="67"/>
        <v>6833.5</v>
      </c>
      <c r="Q266" s="207">
        <f t="shared" si="73"/>
        <v>1366.7</v>
      </c>
      <c r="R266" s="267">
        <v>4.6569503119266056</v>
      </c>
      <c r="S266" s="205">
        <f t="shared" si="70"/>
        <v>6364.6539913100924</v>
      </c>
      <c r="T266" s="207">
        <f t="shared" si="71"/>
        <v>1366.7</v>
      </c>
      <c r="U266" s="207">
        <v>5</v>
      </c>
      <c r="V266" s="205">
        <f t="shared" ref="V266:V281" si="74">+U266*T266</f>
        <v>6833.5</v>
      </c>
      <c r="W266" s="123"/>
      <c r="Z266" s="347"/>
    </row>
    <row r="267" spans="1:26" s="216" customFormat="1" ht="23.1" hidden="1" customHeight="1" outlineLevel="2">
      <c r="A267" s="258">
        <v>10</v>
      </c>
      <c r="B267" s="223" t="s">
        <v>248</v>
      </c>
      <c r="C267" s="198" t="s">
        <v>283</v>
      </c>
      <c r="D267" s="198" t="s">
        <v>247</v>
      </c>
      <c r="E267" s="207">
        <v>116.64</v>
      </c>
      <c r="F267" s="205">
        <v>4.7043734311926606</v>
      </c>
      <c r="G267" s="205">
        <v>548.71811701431193</v>
      </c>
      <c r="H267" s="207">
        <v>116.64</v>
      </c>
      <c r="I267" s="366"/>
      <c r="J267" s="207">
        <v>0</v>
      </c>
      <c r="K267" s="207">
        <f t="shared" si="72"/>
        <v>0</v>
      </c>
      <c r="L267" s="267">
        <v>4.7043734311926606</v>
      </c>
      <c r="M267" s="205">
        <f t="shared" si="50"/>
        <v>0</v>
      </c>
      <c r="N267" s="207">
        <f t="shared" si="68"/>
        <v>0</v>
      </c>
      <c r="O267" s="207">
        <f t="shared" si="69"/>
        <v>0</v>
      </c>
      <c r="P267" s="205">
        <f t="shared" si="67"/>
        <v>0</v>
      </c>
      <c r="Q267" s="207"/>
      <c r="R267" s="267">
        <v>4.7043734311926606</v>
      </c>
      <c r="S267" s="205">
        <f t="shared" si="70"/>
        <v>0</v>
      </c>
      <c r="T267" s="207">
        <f t="shared" si="71"/>
        <v>0</v>
      </c>
      <c r="U267" s="207"/>
      <c r="V267" s="205">
        <f t="shared" si="74"/>
        <v>0</v>
      </c>
      <c r="W267" s="123"/>
      <c r="Z267" s="347"/>
    </row>
    <row r="268" spans="1:26" s="215" customFormat="1" ht="23.1" customHeight="1" collapsed="1">
      <c r="A268" s="337" t="s">
        <v>284</v>
      </c>
      <c r="B268" s="337" t="s">
        <v>285</v>
      </c>
      <c r="C268" s="220"/>
      <c r="D268" s="220"/>
      <c r="E268" s="229"/>
      <c r="F268" s="222"/>
      <c r="G268" s="222">
        <v>115598.75742546495</v>
      </c>
      <c r="H268" s="229"/>
      <c r="I268" s="366"/>
      <c r="J268" s="229">
        <v>146861.40000000002</v>
      </c>
      <c r="K268" s="229"/>
      <c r="L268" s="266"/>
      <c r="M268" s="222">
        <f>SUM(M269:M274)</f>
        <v>0</v>
      </c>
      <c r="N268" s="229"/>
      <c r="O268" s="229"/>
      <c r="P268" s="222">
        <f>SUM(P269:P274)</f>
        <v>0</v>
      </c>
      <c r="Q268" s="229"/>
      <c r="R268" s="266"/>
      <c r="S268" s="222">
        <f>SUM(S269:S274)</f>
        <v>0</v>
      </c>
      <c r="T268" s="229"/>
      <c r="U268" s="229"/>
      <c r="V268" s="222">
        <f>SUM(V269:V274)</f>
        <v>0</v>
      </c>
      <c r="W268" s="137"/>
      <c r="Z268" s="283"/>
    </row>
    <row r="269" spans="1:26" s="216" customFormat="1" ht="23.1" hidden="1" customHeight="1" outlineLevel="1">
      <c r="A269" s="258">
        <v>1</v>
      </c>
      <c r="B269" s="198" t="s">
        <v>272</v>
      </c>
      <c r="C269" s="198" t="s">
        <v>286</v>
      </c>
      <c r="D269" s="198" t="s">
        <v>103</v>
      </c>
      <c r="E269" s="207">
        <v>94.03</v>
      </c>
      <c r="F269" s="205">
        <v>279.45495721100917</v>
      </c>
      <c r="G269" s="205">
        <v>26277.149626551192</v>
      </c>
      <c r="H269" s="207">
        <v>94.03</v>
      </c>
      <c r="I269" s="263">
        <v>460</v>
      </c>
      <c r="J269" s="207">
        <v>43253.8</v>
      </c>
      <c r="K269" s="207">
        <f>+Q269-Z269</f>
        <v>0</v>
      </c>
      <c r="L269" s="267">
        <v>279.45495721100917</v>
      </c>
      <c r="M269" s="205">
        <f t="shared" ref="M269:M274" si="75">+L269*K269</f>
        <v>0</v>
      </c>
      <c r="N269" s="207">
        <f t="shared" ref="N269:N274" si="76">+K269</f>
        <v>0</v>
      </c>
      <c r="O269" s="207">
        <f t="shared" ref="O269:O274" si="77">+U269</f>
        <v>360</v>
      </c>
      <c r="P269" s="205">
        <f t="shared" si="67"/>
        <v>0</v>
      </c>
      <c r="Q269" s="207"/>
      <c r="R269" s="267">
        <v>279.45495721100917</v>
      </c>
      <c r="S269" s="205">
        <f t="shared" ref="S269:S274" si="78">+R269*Q269</f>
        <v>0</v>
      </c>
      <c r="T269" s="207">
        <f t="shared" ref="T269:T281" si="79">+Q269</f>
        <v>0</v>
      </c>
      <c r="U269" s="207">
        <v>360</v>
      </c>
      <c r="V269" s="205">
        <f t="shared" si="74"/>
        <v>0</v>
      </c>
      <c r="W269" s="123"/>
      <c r="Z269" s="347"/>
    </row>
    <row r="270" spans="1:26" s="216" customFormat="1" ht="23.1" hidden="1" customHeight="1" outlineLevel="1">
      <c r="A270" s="258">
        <v>2</v>
      </c>
      <c r="B270" s="198" t="s">
        <v>240</v>
      </c>
      <c r="C270" s="198" t="s">
        <v>275</v>
      </c>
      <c r="D270" s="198" t="s">
        <v>103</v>
      </c>
      <c r="E270" s="207">
        <v>129.71</v>
      </c>
      <c r="F270" s="205">
        <v>279.45495721100917</v>
      </c>
      <c r="G270" s="205">
        <v>36248.102499840003</v>
      </c>
      <c r="H270" s="207">
        <v>129.71</v>
      </c>
      <c r="I270" s="263">
        <v>460</v>
      </c>
      <c r="J270" s="207">
        <v>59666.600000000006</v>
      </c>
      <c r="K270" s="207">
        <f>+Q270-Z270</f>
        <v>0</v>
      </c>
      <c r="L270" s="267">
        <v>279.45495721100917</v>
      </c>
      <c r="M270" s="205">
        <f t="shared" si="75"/>
        <v>0</v>
      </c>
      <c r="N270" s="207">
        <f t="shared" si="76"/>
        <v>0</v>
      </c>
      <c r="O270" s="207">
        <f t="shared" si="77"/>
        <v>360</v>
      </c>
      <c r="P270" s="205">
        <f t="shared" si="67"/>
        <v>0</v>
      </c>
      <c r="Q270" s="207"/>
      <c r="R270" s="267">
        <v>279.45495721100917</v>
      </c>
      <c r="S270" s="205">
        <f t="shared" si="78"/>
        <v>0</v>
      </c>
      <c r="T270" s="207">
        <f t="shared" si="79"/>
        <v>0</v>
      </c>
      <c r="U270" s="207">
        <v>360</v>
      </c>
      <c r="V270" s="205">
        <f t="shared" si="74"/>
        <v>0</v>
      </c>
      <c r="W270" s="123"/>
      <c r="Z270" s="347"/>
    </row>
    <row r="271" spans="1:26" s="216" customFormat="1" ht="23.1" hidden="1" customHeight="1" outlineLevel="1">
      <c r="A271" s="258">
        <v>3</v>
      </c>
      <c r="B271" s="198" t="s">
        <v>240</v>
      </c>
      <c r="C271" s="198" t="s">
        <v>287</v>
      </c>
      <c r="D271" s="198" t="s">
        <v>103</v>
      </c>
      <c r="E271" s="207">
        <v>80.099999999999994</v>
      </c>
      <c r="F271" s="205">
        <v>328.15850069724775</v>
      </c>
      <c r="G271" s="205">
        <v>26285.495905849544</v>
      </c>
      <c r="H271" s="207">
        <v>80.099999999999994</v>
      </c>
      <c r="I271" s="263">
        <v>460</v>
      </c>
      <c r="J271" s="207">
        <v>36846</v>
      </c>
      <c r="K271" s="207">
        <f t="shared" ref="K271:K281" si="80">+Q271-Z271</f>
        <v>0</v>
      </c>
      <c r="L271" s="267">
        <v>328.15850069724775</v>
      </c>
      <c r="M271" s="205">
        <f t="shared" si="75"/>
        <v>0</v>
      </c>
      <c r="N271" s="207">
        <f t="shared" si="76"/>
        <v>0</v>
      </c>
      <c r="O271" s="207">
        <f t="shared" si="77"/>
        <v>360</v>
      </c>
      <c r="P271" s="205">
        <f t="shared" si="67"/>
        <v>0</v>
      </c>
      <c r="Q271" s="207"/>
      <c r="R271" s="267">
        <v>328.15850069724775</v>
      </c>
      <c r="S271" s="205">
        <f t="shared" si="78"/>
        <v>0</v>
      </c>
      <c r="T271" s="207">
        <f t="shared" si="79"/>
        <v>0</v>
      </c>
      <c r="U271" s="207">
        <v>360</v>
      </c>
      <c r="V271" s="205">
        <f t="shared" si="74"/>
        <v>0</v>
      </c>
      <c r="W271" s="123"/>
      <c r="Z271" s="347"/>
    </row>
    <row r="272" spans="1:26" s="216" customFormat="1" ht="23.1" hidden="1" customHeight="1" outlineLevel="1">
      <c r="A272" s="258">
        <v>4</v>
      </c>
      <c r="B272" s="198" t="s">
        <v>279</v>
      </c>
      <c r="C272" s="198" t="s">
        <v>288</v>
      </c>
      <c r="D272" s="198" t="s">
        <v>103</v>
      </c>
      <c r="E272" s="207">
        <v>14.19</v>
      </c>
      <c r="F272" s="205">
        <v>334.41835244036696</v>
      </c>
      <c r="G272" s="205">
        <v>4745.3964211288067</v>
      </c>
      <c r="H272" s="207">
        <v>14.19</v>
      </c>
      <c r="I272" s="263">
        <v>500</v>
      </c>
      <c r="J272" s="207">
        <v>7095</v>
      </c>
      <c r="K272" s="207">
        <f t="shared" si="80"/>
        <v>0</v>
      </c>
      <c r="L272" s="267">
        <v>334.41835244036696</v>
      </c>
      <c r="M272" s="205">
        <f t="shared" si="75"/>
        <v>0</v>
      </c>
      <c r="N272" s="207">
        <f t="shared" si="76"/>
        <v>0</v>
      </c>
      <c r="O272" s="207">
        <f t="shared" si="77"/>
        <v>360</v>
      </c>
      <c r="P272" s="205">
        <f t="shared" si="67"/>
        <v>0</v>
      </c>
      <c r="Q272" s="207"/>
      <c r="R272" s="267">
        <v>334.41835244036696</v>
      </c>
      <c r="S272" s="205">
        <f t="shared" si="78"/>
        <v>0</v>
      </c>
      <c r="T272" s="207">
        <f t="shared" si="79"/>
        <v>0</v>
      </c>
      <c r="U272" s="207">
        <v>360</v>
      </c>
      <c r="V272" s="205">
        <f t="shared" si="74"/>
        <v>0</v>
      </c>
      <c r="W272" s="123"/>
      <c r="Z272" s="347"/>
    </row>
    <row r="273" spans="1:26" s="216" customFormat="1" ht="23.1" hidden="1" customHeight="1" outlineLevel="1">
      <c r="A273" s="258">
        <v>5</v>
      </c>
      <c r="B273" s="198" t="s">
        <v>245</v>
      </c>
      <c r="C273" s="198" t="s">
        <v>282</v>
      </c>
      <c r="D273" s="198" t="s">
        <v>247</v>
      </c>
      <c r="E273" s="207">
        <v>3724.2</v>
      </c>
      <c r="F273" s="205">
        <v>4.6569503119266056</v>
      </c>
      <c r="G273" s="205">
        <v>17343.414351677064</v>
      </c>
      <c r="H273" s="207">
        <v>3724.2</v>
      </c>
      <c r="I273" s="263"/>
      <c r="J273" s="207">
        <v>0</v>
      </c>
      <c r="K273" s="207">
        <f t="shared" si="80"/>
        <v>0</v>
      </c>
      <c r="L273" s="267">
        <v>4.6569503119266056</v>
      </c>
      <c r="M273" s="205">
        <f t="shared" si="75"/>
        <v>0</v>
      </c>
      <c r="N273" s="207">
        <f t="shared" si="76"/>
        <v>0</v>
      </c>
      <c r="O273" s="207">
        <f t="shared" si="77"/>
        <v>5</v>
      </c>
      <c r="P273" s="205">
        <f t="shared" si="67"/>
        <v>0</v>
      </c>
      <c r="Q273" s="207"/>
      <c r="R273" s="267">
        <v>4.6569503119266056</v>
      </c>
      <c r="S273" s="205">
        <f t="shared" si="78"/>
        <v>0</v>
      </c>
      <c r="T273" s="207">
        <f t="shared" si="79"/>
        <v>0</v>
      </c>
      <c r="U273" s="207">
        <v>5</v>
      </c>
      <c r="V273" s="205">
        <f t="shared" si="74"/>
        <v>0</v>
      </c>
      <c r="W273" s="123"/>
      <c r="Z273" s="347"/>
    </row>
    <row r="274" spans="1:26" s="216" customFormat="1" ht="23.1" hidden="1" customHeight="1" outlineLevel="1">
      <c r="A274" s="258">
        <v>6</v>
      </c>
      <c r="B274" s="223" t="s">
        <v>248</v>
      </c>
      <c r="C274" s="223" t="s">
        <v>283</v>
      </c>
      <c r="D274" s="198" t="s">
        <v>247</v>
      </c>
      <c r="E274" s="207">
        <v>998.9</v>
      </c>
      <c r="F274" s="205">
        <v>4.7043734311926606</v>
      </c>
      <c r="G274" s="205">
        <v>4699.1986204183486</v>
      </c>
      <c r="H274" s="207">
        <v>998.9</v>
      </c>
      <c r="I274" s="263"/>
      <c r="J274" s="207">
        <v>0</v>
      </c>
      <c r="K274" s="207">
        <f t="shared" si="80"/>
        <v>0</v>
      </c>
      <c r="L274" s="267">
        <v>4.7043734311926606</v>
      </c>
      <c r="M274" s="205">
        <f t="shared" si="75"/>
        <v>0</v>
      </c>
      <c r="N274" s="207">
        <f t="shared" si="76"/>
        <v>0</v>
      </c>
      <c r="O274" s="207">
        <f t="shared" si="77"/>
        <v>0</v>
      </c>
      <c r="P274" s="205">
        <f t="shared" si="67"/>
        <v>0</v>
      </c>
      <c r="Q274" s="207"/>
      <c r="R274" s="267">
        <v>4.7043734311926606</v>
      </c>
      <c r="S274" s="205">
        <f t="shared" si="78"/>
        <v>0</v>
      </c>
      <c r="T274" s="207">
        <f t="shared" si="79"/>
        <v>0</v>
      </c>
      <c r="U274" s="207"/>
      <c r="V274" s="205">
        <f t="shared" si="74"/>
        <v>0</v>
      </c>
      <c r="W274" s="123"/>
      <c r="Z274" s="347"/>
    </row>
    <row r="275" spans="1:26" s="215" customFormat="1" ht="23.1" customHeight="1" collapsed="1">
      <c r="A275" s="337" t="s">
        <v>289</v>
      </c>
      <c r="B275" s="337" t="s">
        <v>290</v>
      </c>
      <c r="C275" s="356"/>
      <c r="D275" s="220"/>
      <c r="E275" s="229"/>
      <c r="F275" s="222"/>
      <c r="G275" s="222">
        <v>155019.00546179232</v>
      </c>
      <c r="H275" s="229"/>
      <c r="I275" s="263"/>
      <c r="J275" s="229">
        <v>210637.60000000003</v>
      </c>
      <c r="K275" s="229"/>
      <c r="L275" s="266"/>
      <c r="M275" s="222">
        <f>SUM(M276:M281)</f>
        <v>0</v>
      </c>
      <c r="N275" s="229"/>
      <c r="O275" s="229"/>
      <c r="P275" s="222">
        <f>SUM(P276:P281)</f>
        <v>0</v>
      </c>
      <c r="Q275" s="229"/>
      <c r="R275" s="266"/>
      <c r="S275" s="222">
        <f>SUM(S276:S281)</f>
        <v>0</v>
      </c>
      <c r="T275" s="207"/>
      <c r="U275" s="229"/>
      <c r="V275" s="222">
        <f>SUM(V276:V281)</f>
        <v>0</v>
      </c>
      <c r="W275" s="137"/>
      <c r="Z275" s="283"/>
    </row>
    <row r="276" spans="1:26" s="216" customFormat="1" ht="23.1" hidden="1" customHeight="1" outlineLevel="1">
      <c r="A276" s="258">
        <v>1</v>
      </c>
      <c r="B276" s="198" t="s">
        <v>272</v>
      </c>
      <c r="C276" s="198" t="s">
        <v>286</v>
      </c>
      <c r="D276" s="198" t="s">
        <v>103</v>
      </c>
      <c r="E276" s="207">
        <v>146.62</v>
      </c>
      <c r="F276" s="205">
        <v>279.45495721100917</v>
      </c>
      <c r="G276" s="205">
        <v>40973.685826278197</v>
      </c>
      <c r="H276" s="207">
        <v>146.62</v>
      </c>
      <c r="I276" s="263">
        <v>460</v>
      </c>
      <c r="J276" s="207">
        <v>67445.2</v>
      </c>
      <c r="K276" s="207">
        <f t="shared" si="80"/>
        <v>0</v>
      </c>
      <c r="L276" s="267">
        <v>279.45495721100917</v>
      </c>
      <c r="M276" s="205">
        <f t="shared" ref="M276:M281" si="81">+L276*K276</f>
        <v>0</v>
      </c>
      <c r="N276" s="207">
        <f t="shared" ref="N276:N281" si="82">+K276</f>
        <v>0</v>
      </c>
      <c r="O276" s="207">
        <f t="shared" ref="O276:O281" si="83">+U276</f>
        <v>360</v>
      </c>
      <c r="P276" s="205">
        <f t="shared" si="67"/>
        <v>0</v>
      </c>
      <c r="Q276" s="207"/>
      <c r="R276" s="267"/>
      <c r="S276" s="205">
        <f t="shared" ref="S276:S281" si="84">+R276*Q276</f>
        <v>0</v>
      </c>
      <c r="T276" s="207">
        <f t="shared" si="79"/>
        <v>0</v>
      </c>
      <c r="U276" s="207">
        <v>360</v>
      </c>
      <c r="V276" s="205">
        <f t="shared" si="74"/>
        <v>0</v>
      </c>
      <c r="W276" s="123"/>
      <c r="Z276" s="347"/>
    </row>
    <row r="277" spans="1:26" s="216" customFormat="1" ht="23.1" hidden="1" customHeight="1" outlineLevel="1">
      <c r="A277" s="258">
        <v>2</v>
      </c>
      <c r="B277" s="198" t="s">
        <v>240</v>
      </c>
      <c r="C277" s="198" t="s">
        <v>275</v>
      </c>
      <c r="D277" s="198" t="s">
        <v>103</v>
      </c>
      <c r="E277" s="207">
        <v>224.27</v>
      </c>
      <c r="F277" s="205">
        <v>279.45495721100917</v>
      </c>
      <c r="G277" s="205">
        <v>62673.363253713032</v>
      </c>
      <c r="H277" s="207">
        <v>224.27</v>
      </c>
      <c r="I277" s="263">
        <v>460</v>
      </c>
      <c r="J277" s="207">
        <v>103164.20000000001</v>
      </c>
      <c r="K277" s="207">
        <f t="shared" si="80"/>
        <v>0</v>
      </c>
      <c r="L277" s="267">
        <v>279.45495721100917</v>
      </c>
      <c r="M277" s="205">
        <f t="shared" si="81"/>
        <v>0</v>
      </c>
      <c r="N277" s="207">
        <f t="shared" si="82"/>
        <v>0</v>
      </c>
      <c r="O277" s="207">
        <f t="shared" si="83"/>
        <v>360</v>
      </c>
      <c r="P277" s="205">
        <f t="shared" si="67"/>
        <v>0</v>
      </c>
      <c r="Q277" s="207"/>
      <c r="R277" s="267"/>
      <c r="S277" s="205">
        <f t="shared" si="84"/>
        <v>0</v>
      </c>
      <c r="T277" s="207">
        <f t="shared" si="79"/>
        <v>0</v>
      </c>
      <c r="U277" s="207">
        <v>360</v>
      </c>
      <c r="V277" s="205">
        <f t="shared" si="74"/>
        <v>0</v>
      </c>
      <c r="W277" s="123"/>
      <c r="Z277" s="347"/>
    </row>
    <row r="278" spans="1:26" s="216" customFormat="1" ht="23.1" hidden="1" customHeight="1" outlineLevel="1">
      <c r="A278" s="258">
        <v>3</v>
      </c>
      <c r="B278" s="198" t="s">
        <v>240</v>
      </c>
      <c r="C278" s="198" t="s">
        <v>287</v>
      </c>
      <c r="D278" s="198" t="s">
        <v>103</v>
      </c>
      <c r="E278" s="207">
        <v>73.17</v>
      </c>
      <c r="F278" s="205">
        <v>328.15850069724775</v>
      </c>
      <c r="G278" s="205">
        <v>24011.357496017619</v>
      </c>
      <c r="H278" s="207">
        <v>73.17</v>
      </c>
      <c r="I278" s="263">
        <v>460</v>
      </c>
      <c r="J278" s="207">
        <v>33658.200000000004</v>
      </c>
      <c r="K278" s="207">
        <f t="shared" si="80"/>
        <v>0</v>
      </c>
      <c r="L278" s="267">
        <v>328.15850069724775</v>
      </c>
      <c r="M278" s="205">
        <f t="shared" si="81"/>
        <v>0</v>
      </c>
      <c r="N278" s="207">
        <f t="shared" si="82"/>
        <v>0</v>
      </c>
      <c r="O278" s="207">
        <f t="shared" si="83"/>
        <v>360</v>
      </c>
      <c r="P278" s="205">
        <f t="shared" si="67"/>
        <v>0</v>
      </c>
      <c r="Q278" s="207"/>
      <c r="R278" s="267"/>
      <c r="S278" s="205">
        <f t="shared" si="84"/>
        <v>0</v>
      </c>
      <c r="T278" s="207">
        <f t="shared" si="79"/>
        <v>0</v>
      </c>
      <c r="U278" s="207">
        <v>360</v>
      </c>
      <c r="V278" s="205">
        <f t="shared" si="74"/>
        <v>0</v>
      </c>
      <c r="W278" s="123"/>
      <c r="Z278" s="347"/>
    </row>
    <row r="279" spans="1:26" s="216" customFormat="1" ht="23.1" hidden="1" customHeight="1" outlineLevel="1">
      <c r="A279" s="258">
        <v>4</v>
      </c>
      <c r="B279" s="198" t="s">
        <v>279</v>
      </c>
      <c r="C279" s="198" t="s">
        <v>288</v>
      </c>
      <c r="D279" s="198" t="s">
        <v>103</v>
      </c>
      <c r="E279" s="207">
        <v>12.74</v>
      </c>
      <c r="F279" s="205">
        <v>334.41835244036696</v>
      </c>
      <c r="G279" s="205">
        <v>4260.4898100902756</v>
      </c>
      <c r="H279" s="207">
        <v>12.74</v>
      </c>
      <c r="I279" s="263">
        <v>500</v>
      </c>
      <c r="J279" s="207">
        <v>6370</v>
      </c>
      <c r="K279" s="207">
        <f t="shared" si="80"/>
        <v>0</v>
      </c>
      <c r="L279" s="267">
        <v>334.41835244036696</v>
      </c>
      <c r="M279" s="205">
        <f t="shared" si="81"/>
        <v>0</v>
      </c>
      <c r="N279" s="207">
        <f t="shared" si="82"/>
        <v>0</v>
      </c>
      <c r="O279" s="207">
        <f t="shared" si="83"/>
        <v>360</v>
      </c>
      <c r="P279" s="205">
        <f t="shared" si="67"/>
        <v>0</v>
      </c>
      <c r="Q279" s="207"/>
      <c r="R279" s="267"/>
      <c r="S279" s="205">
        <f t="shared" si="84"/>
        <v>0</v>
      </c>
      <c r="T279" s="207">
        <f t="shared" si="79"/>
        <v>0</v>
      </c>
      <c r="U279" s="207">
        <v>360</v>
      </c>
      <c r="V279" s="205">
        <f t="shared" si="74"/>
        <v>0</v>
      </c>
      <c r="W279" s="123"/>
      <c r="Z279" s="347"/>
    </row>
    <row r="280" spans="1:26" s="216" customFormat="1" ht="23.1" hidden="1" customHeight="1" outlineLevel="1">
      <c r="A280" s="258">
        <v>5</v>
      </c>
      <c r="B280" s="198" t="s">
        <v>245</v>
      </c>
      <c r="C280" s="198" t="s">
        <v>282</v>
      </c>
      <c r="D280" s="198" t="s">
        <v>247</v>
      </c>
      <c r="E280" s="207">
        <v>3724.2</v>
      </c>
      <c r="F280" s="205">
        <v>4.6569503119266056</v>
      </c>
      <c r="G280" s="205">
        <v>17343.414351677064</v>
      </c>
      <c r="H280" s="207">
        <v>3724.2</v>
      </c>
      <c r="I280" s="366"/>
      <c r="J280" s="207">
        <v>0</v>
      </c>
      <c r="K280" s="207">
        <f t="shared" si="80"/>
        <v>0</v>
      </c>
      <c r="L280" s="267">
        <v>4.6569503119266056</v>
      </c>
      <c r="M280" s="205">
        <f t="shared" si="81"/>
        <v>0</v>
      </c>
      <c r="N280" s="207">
        <f t="shared" si="82"/>
        <v>0</v>
      </c>
      <c r="O280" s="207">
        <f t="shared" si="83"/>
        <v>5</v>
      </c>
      <c r="P280" s="205">
        <f t="shared" si="67"/>
        <v>0</v>
      </c>
      <c r="Q280" s="207"/>
      <c r="R280" s="267"/>
      <c r="S280" s="205">
        <f t="shared" si="84"/>
        <v>0</v>
      </c>
      <c r="T280" s="207">
        <f t="shared" si="79"/>
        <v>0</v>
      </c>
      <c r="U280" s="207">
        <v>5</v>
      </c>
      <c r="V280" s="205">
        <f t="shared" si="74"/>
        <v>0</v>
      </c>
      <c r="W280" s="123"/>
      <c r="Z280" s="347"/>
    </row>
    <row r="281" spans="1:26" s="216" customFormat="1" ht="23.1" hidden="1" customHeight="1" outlineLevel="1">
      <c r="A281" s="258">
        <v>6</v>
      </c>
      <c r="B281" s="198" t="s">
        <v>248</v>
      </c>
      <c r="C281" s="198" t="s">
        <v>283</v>
      </c>
      <c r="D281" s="198" t="s">
        <v>247</v>
      </c>
      <c r="E281" s="207">
        <v>1223.69</v>
      </c>
      <c r="F281" s="205">
        <v>4.7043734311926606</v>
      </c>
      <c r="G281" s="205">
        <v>5756.6947240161471</v>
      </c>
      <c r="H281" s="207">
        <v>1223.69</v>
      </c>
      <c r="I281" s="366"/>
      <c r="J281" s="207">
        <v>0</v>
      </c>
      <c r="K281" s="207">
        <f t="shared" si="80"/>
        <v>0</v>
      </c>
      <c r="L281" s="267">
        <v>4.7043734311926606</v>
      </c>
      <c r="M281" s="205">
        <f t="shared" si="81"/>
        <v>0</v>
      </c>
      <c r="N281" s="207">
        <f t="shared" si="82"/>
        <v>0</v>
      </c>
      <c r="O281" s="207">
        <f t="shared" si="83"/>
        <v>0</v>
      </c>
      <c r="P281" s="205">
        <f t="shared" si="67"/>
        <v>0</v>
      </c>
      <c r="Q281" s="207"/>
      <c r="R281" s="267"/>
      <c r="S281" s="205">
        <f t="shared" si="84"/>
        <v>0</v>
      </c>
      <c r="T281" s="207">
        <f t="shared" si="79"/>
        <v>0</v>
      </c>
      <c r="U281" s="207"/>
      <c r="V281" s="205">
        <f t="shared" si="74"/>
        <v>0</v>
      </c>
      <c r="W281" s="123"/>
      <c r="Z281" s="347"/>
    </row>
    <row r="282" spans="1:26" s="215" customFormat="1" ht="23.1" customHeight="1">
      <c r="A282" s="284"/>
      <c r="B282" s="284" t="s">
        <v>63</v>
      </c>
      <c r="C282" s="284"/>
      <c r="D282" s="284"/>
      <c r="E282" s="229"/>
      <c r="F282" s="222"/>
      <c r="G282" s="222">
        <f>+G6+G62+G106+G172+G238+G257+G268+G275</f>
        <v>6552396.22807837</v>
      </c>
      <c r="H282" s="229"/>
      <c r="I282" s="229"/>
      <c r="J282" s="222">
        <f>+J6+J62+J106+J172+J238+J257+J268+J275</f>
        <v>7593488.4550000001</v>
      </c>
      <c r="K282" s="229"/>
      <c r="L282" s="222"/>
      <c r="M282" s="222">
        <f>+M6+M62+M106+M172+M238+M257+M268+M275</f>
        <v>343218.9069983167</v>
      </c>
      <c r="N282" s="229"/>
      <c r="O282" s="229"/>
      <c r="P282" s="222">
        <f t="shared" ref="P282:V282" si="85">+P6+P62+P106+P172+P238+P257+P268+P275</f>
        <v>335618.08373999997</v>
      </c>
      <c r="Q282" s="229"/>
      <c r="R282" s="222"/>
      <c r="S282" s="222">
        <f t="shared" si="85"/>
        <v>4279381.2720054034</v>
      </c>
      <c r="T282" s="229"/>
      <c r="U282" s="222"/>
      <c r="V282" s="222">
        <f t="shared" si="85"/>
        <v>4368817.0864499994</v>
      </c>
      <c r="W282" s="137"/>
      <c r="Z282" s="283"/>
    </row>
    <row r="283" spans="1:26" ht="23.1" customHeight="1">
      <c r="A283" s="242" t="s">
        <v>291</v>
      </c>
      <c r="B283" s="432" t="s">
        <v>292</v>
      </c>
      <c r="C283" s="432"/>
      <c r="D283" s="432"/>
      <c r="E283" s="433"/>
      <c r="F283" s="433"/>
      <c r="G283" s="433"/>
      <c r="H283" s="433"/>
      <c r="I283" s="433"/>
      <c r="J283" s="433"/>
      <c r="K283" s="433"/>
      <c r="L283" s="433"/>
      <c r="M283" s="433"/>
      <c r="N283" s="131"/>
      <c r="O283" s="131"/>
      <c r="P283" s="131"/>
      <c r="Q283" s="131"/>
      <c r="R283" s="131"/>
      <c r="S283" s="131"/>
      <c r="T283" s="131"/>
      <c r="U283" s="131"/>
      <c r="V283" s="131"/>
      <c r="W283" s="138"/>
    </row>
    <row r="284" spans="1:26" ht="23.1" customHeight="1">
      <c r="A284" s="91"/>
      <c r="B284" s="434" t="s">
        <v>293</v>
      </c>
      <c r="C284" s="434"/>
      <c r="D284" s="434"/>
      <c r="E284" s="435"/>
      <c r="F284" s="435"/>
      <c r="G284" s="435"/>
      <c r="H284" s="435"/>
      <c r="I284" s="435"/>
      <c r="J284" s="435"/>
      <c r="K284" s="436"/>
      <c r="L284" s="435"/>
      <c r="M284" s="435"/>
      <c r="N284" s="94"/>
      <c r="O284" s="94"/>
      <c r="P284" s="94"/>
      <c r="Q284" s="94"/>
      <c r="R284" s="94"/>
      <c r="S284" s="94"/>
      <c r="T284" s="94"/>
      <c r="U284" s="94"/>
      <c r="V284" s="94"/>
      <c r="W284" s="104"/>
    </row>
    <row r="285" spans="1:26" ht="23.1" customHeight="1">
      <c r="A285" s="91"/>
      <c r="B285" s="92"/>
      <c r="C285" s="92"/>
      <c r="D285" s="93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104"/>
    </row>
    <row r="286" spans="1:26" ht="23.1" customHeight="1">
      <c r="A286" s="91"/>
      <c r="B286" s="92"/>
      <c r="C286" s="92"/>
      <c r="D286" s="93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104"/>
    </row>
    <row r="287" spans="1:26" ht="23.1" customHeight="1">
      <c r="A287" s="91"/>
      <c r="B287" s="92"/>
      <c r="C287" s="357" t="s">
        <v>294</v>
      </c>
      <c r="D287" s="437">
        <f>+V7+V33+V63+V91+V107+V135+V156+V173+V201+V222</f>
        <v>4010814.2704499997</v>
      </c>
      <c r="E287" s="437"/>
      <c r="F287" s="438"/>
      <c r="G287" s="358"/>
      <c r="H287" s="439" t="s">
        <v>295</v>
      </c>
      <c r="I287" s="440"/>
      <c r="J287" s="440"/>
      <c r="K287" s="440">
        <f>+V239+V257+V268+V275</f>
        <v>358002.81599999999</v>
      </c>
      <c r="L287" s="441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104"/>
    </row>
    <row r="288" spans="1:26" ht="23.1" customHeight="1">
      <c r="A288" s="91"/>
      <c r="B288" s="92"/>
      <c r="C288" s="359" t="s">
        <v>296</v>
      </c>
      <c r="D288" s="444">
        <f>+周转料具!V7+周转料具!V53+周转料具!V86+周转料具!V119+周转料具!V44+周转料具!V77+周转料具!V114+周转料具!V147</f>
        <v>6636335.9110641377</v>
      </c>
      <c r="E288" s="444"/>
      <c r="F288" s="445"/>
      <c r="G288" s="358"/>
      <c r="H288" s="446" t="s">
        <v>297</v>
      </c>
      <c r="I288" s="442"/>
      <c r="J288" s="442"/>
      <c r="K288" s="442"/>
      <c r="L288" s="443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104"/>
    </row>
    <row r="289" spans="1:23" ht="23.1" customHeight="1">
      <c r="A289" s="91"/>
      <c r="B289" s="92"/>
      <c r="C289" s="359" t="s">
        <v>298</v>
      </c>
      <c r="D289" s="444">
        <f>+机械费!W9</f>
        <v>255600</v>
      </c>
      <c r="E289" s="444"/>
      <c r="F289" s="445"/>
      <c r="G289" s="358"/>
      <c r="H289" s="446" t="s">
        <v>299</v>
      </c>
      <c r="I289" s="442"/>
      <c r="J289" s="442"/>
      <c r="K289" s="442">
        <f>+专业分包费!X5</f>
        <v>1093058.6599999999</v>
      </c>
      <c r="L289" s="443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104"/>
    </row>
    <row r="290" spans="1:23" ht="23.1" customHeight="1">
      <c r="A290" s="91"/>
      <c r="B290" s="92"/>
      <c r="C290" s="359" t="s">
        <v>300</v>
      </c>
      <c r="D290" s="444">
        <f>+安全文明施工费!Q13</f>
        <v>756575</v>
      </c>
      <c r="E290" s="444"/>
      <c r="F290" s="445"/>
      <c r="G290" s="360"/>
      <c r="H290" s="446"/>
      <c r="I290" s="442"/>
      <c r="J290" s="442"/>
      <c r="K290" s="442"/>
      <c r="L290" s="443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104"/>
    </row>
    <row r="291" spans="1:23" ht="23.1" customHeight="1">
      <c r="A291" s="91"/>
      <c r="B291" s="92"/>
      <c r="C291" s="359" t="s">
        <v>301</v>
      </c>
      <c r="D291" s="444">
        <f>SUM(D287:F290)</f>
        <v>11659325.181514136</v>
      </c>
      <c r="E291" s="444"/>
      <c r="F291" s="445"/>
      <c r="G291" s="361"/>
      <c r="H291" s="446" t="s">
        <v>302</v>
      </c>
      <c r="I291" s="442"/>
      <c r="J291" s="442"/>
      <c r="K291" s="442">
        <f>SUM(K287:L290)</f>
        <v>1451061.4759999998</v>
      </c>
      <c r="L291" s="443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104"/>
    </row>
    <row r="292" spans="1:23" ht="23.1" customHeight="1">
      <c r="A292" s="91"/>
      <c r="B292" s="92"/>
      <c r="C292" s="362" t="s">
        <v>303</v>
      </c>
      <c r="D292" s="448">
        <f>+(15473498.8-(87+50+5+3+5+3)*10000*1.12)/1.09</f>
        <v>12623760.366972476</v>
      </c>
      <c r="E292" s="448"/>
      <c r="F292" s="449"/>
      <c r="G292" s="361"/>
      <c r="H292" s="450" t="s">
        <v>303</v>
      </c>
      <c r="I292" s="451"/>
      <c r="J292" s="451"/>
      <c r="K292" s="451">
        <f>+(4195000.98-(110.88+40)*10000*1.12)/1.09</f>
        <v>2298298.1467889911</v>
      </c>
      <c r="L292" s="452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104"/>
    </row>
    <row r="293" spans="1:23" ht="23.1" customHeight="1">
      <c r="A293" s="91"/>
      <c r="B293" s="92"/>
      <c r="C293" s="363"/>
      <c r="D293" s="93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104"/>
    </row>
    <row r="294" spans="1:23" ht="23.1" customHeight="1">
      <c r="A294" s="91"/>
      <c r="B294" s="92"/>
      <c r="C294" s="364"/>
      <c r="D294" s="93"/>
      <c r="E294" s="94"/>
      <c r="F294" s="94"/>
      <c r="G294" s="94"/>
      <c r="H294" s="94"/>
      <c r="I294" s="94"/>
      <c r="J294" s="94"/>
      <c r="K294" s="94"/>
      <c r="L294" s="94"/>
      <c r="M294"/>
      <c r="N294" s="94"/>
      <c r="O294" s="94"/>
      <c r="P294" s="94"/>
      <c r="Q294" s="94"/>
      <c r="R294" s="94"/>
      <c r="S294" s="94"/>
      <c r="T294" s="94"/>
      <c r="U294" s="94"/>
      <c r="V294" s="94"/>
      <c r="W294" s="104"/>
    </row>
    <row r="295" spans="1:23" ht="23.1" customHeight="1">
      <c r="A295" s="91"/>
      <c r="B295" s="92"/>
      <c r="C295" s="364"/>
      <c r="D295" s="93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106"/>
    </row>
    <row r="296" spans="1:23" ht="23.1" customHeight="1">
      <c r="A296" s="91"/>
      <c r="B296" s="92"/>
      <c r="C296" s="364"/>
      <c r="D296" s="93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106"/>
    </row>
    <row r="297" spans="1:23" ht="23.1" customHeight="1">
      <c r="A297" s="91"/>
      <c r="B297" s="92"/>
      <c r="C297" s="364"/>
      <c r="D297" s="93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106"/>
    </row>
    <row r="298" spans="1:23" ht="23.1" customHeight="1">
      <c r="A298" s="91"/>
      <c r="B298" s="92"/>
      <c r="C298" s="364"/>
      <c r="D298" s="93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106"/>
    </row>
    <row r="299" spans="1:23" ht="23.1" customHeight="1">
      <c r="A299" s="91"/>
      <c r="B299" s="92"/>
      <c r="C299" s="92"/>
      <c r="D299" s="93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106"/>
    </row>
    <row r="300" spans="1:23" ht="23.1" customHeight="1">
      <c r="A300" s="91"/>
      <c r="B300" s="92"/>
      <c r="C300" s="92"/>
      <c r="D300" s="93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106"/>
    </row>
    <row r="301" spans="1:23" ht="23.1" customHeight="1">
      <c r="A301" s="91"/>
      <c r="B301" s="92"/>
      <c r="C301" s="92"/>
      <c r="D301" s="93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106"/>
    </row>
    <row r="302" spans="1:23" ht="23.1" customHeight="1">
      <c r="A302" s="91"/>
      <c r="B302" s="92"/>
      <c r="C302" s="92"/>
      <c r="D302" s="93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106"/>
    </row>
    <row r="303" spans="1:23" ht="23.1" customHeight="1">
      <c r="A303" s="91"/>
      <c r="B303" s="92"/>
      <c r="C303" s="92"/>
      <c r="D303" s="93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106"/>
    </row>
    <row r="304" spans="1:23" ht="23.1" customHeight="1">
      <c r="A304" s="91"/>
      <c r="B304" s="92"/>
      <c r="C304" s="92"/>
      <c r="D304" s="93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106"/>
    </row>
    <row r="305" spans="1:23" ht="23.1" customHeight="1">
      <c r="A305" s="91"/>
      <c r="B305" s="92"/>
      <c r="C305" s="92"/>
      <c r="D305" s="93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106"/>
    </row>
    <row r="306" spans="1:23" ht="23.1" customHeight="1">
      <c r="A306" s="91"/>
      <c r="B306" s="92"/>
      <c r="C306" s="92"/>
      <c r="D306" s="93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106"/>
    </row>
    <row r="307" spans="1:23" ht="23.1" customHeight="1">
      <c r="A307" s="91"/>
      <c r="B307" s="92"/>
      <c r="C307" s="92"/>
      <c r="D307" s="93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106"/>
    </row>
    <row r="308" spans="1:23" ht="23.1" customHeight="1">
      <c r="A308" s="91"/>
      <c r="B308" s="92"/>
      <c r="C308" s="92"/>
      <c r="D308" s="93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106"/>
    </row>
    <row r="309" spans="1:23" ht="23.1" customHeight="1">
      <c r="A309" s="91"/>
      <c r="B309" s="92"/>
      <c r="C309" s="92"/>
      <c r="D309" s="93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106"/>
    </row>
    <row r="310" spans="1:23" ht="23.1" customHeight="1">
      <c r="A310" s="91"/>
      <c r="B310" s="92"/>
      <c r="C310" s="92"/>
      <c r="D310" s="93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106"/>
    </row>
    <row r="311" spans="1:23" ht="23.1" customHeight="1">
      <c r="A311" s="91"/>
      <c r="B311" s="92"/>
      <c r="C311" s="92"/>
      <c r="D311" s="93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106"/>
    </row>
    <row r="312" spans="1:23" ht="23.1" customHeight="1">
      <c r="A312" s="91"/>
      <c r="B312" s="92"/>
      <c r="C312" s="92"/>
      <c r="D312" s="93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106"/>
    </row>
    <row r="313" spans="1:23" ht="23.1" customHeight="1">
      <c r="A313" s="91"/>
      <c r="B313" s="92"/>
      <c r="C313" s="92"/>
      <c r="D313" s="93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106"/>
    </row>
    <row r="314" spans="1:23" ht="23.1" customHeight="1">
      <c r="A314" s="91"/>
      <c r="B314" s="92"/>
      <c r="C314" s="92"/>
      <c r="D314" s="93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106"/>
    </row>
    <row r="315" spans="1:23" ht="23.1" customHeight="1">
      <c r="A315" s="91"/>
      <c r="B315" s="92"/>
      <c r="C315" s="92"/>
      <c r="D315" s="93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106"/>
    </row>
    <row r="316" spans="1:23" ht="23.1" customHeight="1">
      <c r="A316" s="91"/>
      <c r="B316" s="92"/>
      <c r="C316" s="92"/>
      <c r="D316" s="93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106"/>
    </row>
    <row r="317" spans="1:23" ht="23.1" customHeight="1">
      <c r="A317" s="91"/>
      <c r="B317" s="92"/>
      <c r="C317" s="92"/>
      <c r="D317" s="93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106"/>
    </row>
    <row r="318" spans="1:23" ht="23.1" customHeight="1">
      <c r="A318" s="91"/>
      <c r="B318" s="92"/>
      <c r="C318" s="92"/>
      <c r="D318" s="93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106"/>
    </row>
    <row r="319" spans="1:23" ht="23.1" customHeight="1">
      <c r="A319" s="91"/>
      <c r="B319" s="92"/>
      <c r="C319" s="92"/>
      <c r="D319" s="93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106"/>
    </row>
    <row r="320" spans="1:23" ht="23.1" customHeight="1">
      <c r="A320" s="91"/>
      <c r="B320" s="92"/>
      <c r="C320" s="92"/>
      <c r="D320" s="93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106"/>
    </row>
    <row r="321" spans="1:23" ht="23.1" customHeight="1">
      <c r="A321" s="91"/>
      <c r="B321" s="92"/>
      <c r="C321" s="92"/>
      <c r="D321" s="93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106"/>
    </row>
    <row r="322" spans="1:23" ht="23.1" customHeight="1">
      <c r="A322" s="91"/>
      <c r="B322" s="92"/>
      <c r="C322" s="92"/>
      <c r="D322" s="93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106"/>
    </row>
    <row r="323" spans="1:23" ht="23.1" customHeight="1">
      <c r="A323" s="91"/>
      <c r="B323" s="92"/>
      <c r="C323" s="92"/>
      <c r="D323" s="93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106"/>
    </row>
    <row r="324" spans="1:23" ht="23.1" customHeight="1">
      <c r="A324" s="91"/>
      <c r="B324" s="92"/>
      <c r="C324" s="92"/>
      <c r="D324" s="93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106"/>
    </row>
    <row r="325" spans="1:23" ht="23.1" customHeight="1">
      <c r="A325" s="91"/>
      <c r="B325" s="92"/>
      <c r="C325" s="92"/>
      <c r="D325" s="93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106"/>
    </row>
    <row r="326" spans="1:23" ht="23.1" customHeight="1">
      <c r="A326" s="91"/>
      <c r="B326" s="92"/>
      <c r="C326" s="92"/>
      <c r="D326" s="93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106"/>
    </row>
    <row r="327" spans="1:23" ht="23.1" customHeight="1">
      <c r="A327" s="91"/>
      <c r="B327" s="92"/>
      <c r="C327" s="92"/>
      <c r="D327" s="93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106"/>
    </row>
    <row r="328" spans="1:23" ht="23.1" customHeight="1">
      <c r="A328" s="91"/>
      <c r="B328" s="92"/>
      <c r="C328" s="92"/>
      <c r="D328" s="93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106"/>
    </row>
    <row r="329" spans="1:23" ht="23.1" customHeight="1">
      <c r="A329" s="91"/>
      <c r="B329" s="92"/>
      <c r="C329" s="92"/>
      <c r="D329" s="93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106"/>
    </row>
    <row r="330" spans="1:23" ht="23.1" customHeight="1">
      <c r="A330" s="91"/>
      <c r="B330" s="92"/>
      <c r="C330" s="92"/>
      <c r="D330" s="93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106"/>
    </row>
    <row r="331" spans="1:23" ht="23.1" customHeight="1">
      <c r="A331" s="91"/>
      <c r="B331" s="92"/>
      <c r="C331" s="92"/>
      <c r="D331" s="93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106"/>
    </row>
    <row r="332" spans="1:23" ht="23.1" customHeight="1">
      <c r="A332" s="91"/>
      <c r="B332" s="92"/>
      <c r="C332" s="92"/>
      <c r="D332" s="93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106"/>
    </row>
    <row r="333" spans="1:23" ht="23.1" customHeight="1">
      <c r="A333" s="91"/>
      <c r="B333" s="92"/>
      <c r="C333" s="92"/>
      <c r="D333" s="93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106"/>
    </row>
    <row r="334" spans="1:23" ht="23.1" customHeight="1">
      <c r="A334" s="91"/>
      <c r="B334" s="92"/>
      <c r="C334" s="92"/>
      <c r="D334" s="93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106"/>
    </row>
    <row r="335" spans="1:23" ht="23.1" customHeight="1">
      <c r="A335" s="91"/>
      <c r="B335" s="92"/>
      <c r="C335" s="92"/>
      <c r="D335" s="93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106"/>
    </row>
    <row r="336" spans="1:23" ht="23.1" customHeight="1">
      <c r="A336" s="91"/>
      <c r="B336" s="92"/>
      <c r="C336" s="92"/>
      <c r="D336" s="93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106"/>
    </row>
    <row r="337" spans="1:23" ht="23.1" customHeight="1">
      <c r="A337" s="91"/>
      <c r="B337" s="92"/>
      <c r="C337" s="92"/>
      <c r="D337" s="93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106"/>
    </row>
    <row r="338" spans="1:23" ht="23.1" customHeight="1">
      <c r="A338" s="91"/>
      <c r="B338" s="92"/>
      <c r="C338" s="92"/>
      <c r="D338" s="93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106"/>
    </row>
    <row r="339" spans="1:23" ht="23.1" customHeight="1">
      <c r="A339" s="91"/>
      <c r="B339" s="92"/>
      <c r="C339" s="92"/>
      <c r="D339" s="93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106"/>
    </row>
    <row r="340" spans="1:23" ht="23.1" customHeight="1">
      <c r="A340" s="91"/>
      <c r="B340" s="92"/>
      <c r="C340" s="92"/>
      <c r="D340" s="93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106"/>
    </row>
    <row r="341" spans="1:23" ht="23.1" customHeight="1">
      <c r="A341" s="91"/>
      <c r="B341" s="92"/>
      <c r="C341" s="92"/>
      <c r="D341" s="93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106"/>
    </row>
    <row r="342" spans="1:23" ht="23.1" customHeight="1">
      <c r="A342" s="91"/>
      <c r="B342" s="92"/>
      <c r="C342" s="92"/>
      <c r="D342" s="93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106"/>
    </row>
    <row r="343" spans="1:23" ht="23.1" customHeight="1">
      <c r="A343" s="91"/>
      <c r="B343" s="92"/>
      <c r="C343" s="92"/>
      <c r="D343" s="93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106"/>
    </row>
    <row r="344" spans="1:23" ht="23.1" customHeight="1">
      <c r="A344" s="91"/>
      <c r="B344" s="92"/>
      <c r="C344" s="92"/>
      <c r="D344" s="93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106"/>
    </row>
    <row r="345" spans="1:23" ht="23.1" customHeight="1">
      <c r="A345" s="91"/>
      <c r="B345" s="92"/>
      <c r="C345" s="92"/>
      <c r="D345" s="93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106"/>
    </row>
    <row r="346" spans="1:23" ht="23.1" customHeight="1">
      <c r="A346" s="91"/>
      <c r="B346" s="92"/>
      <c r="C346" s="92"/>
      <c r="D346" s="93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106"/>
    </row>
    <row r="347" spans="1:23" ht="23.1" customHeight="1">
      <c r="A347" s="91"/>
      <c r="B347" s="92"/>
      <c r="C347" s="92"/>
      <c r="D347" s="93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106"/>
    </row>
    <row r="348" spans="1:23" ht="23.1" customHeight="1">
      <c r="A348" s="91"/>
      <c r="B348" s="92"/>
      <c r="C348" s="92"/>
      <c r="D348" s="93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106"/>
    </row>
    <row r="349" spans="1:23" ht="23.1" customHeight="1">
      <c r="A349" s="91"/>
      <c r="B349" s="92"/>
      <c r="C349" s="92"/>
      <c r="D349" s="93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106"/>
    </row>
    <row r="350" spans="1:23" ht="23.1" customHeight="1">
      <c r="A350" s="91"/>
      <c r="B350" s="92"/>
      <c r="C350" s="92"/>
      <c r="D350" s="93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106"/>
    </row>
    <row r="351" spans="1:23" ht="23.1" customHeight="1">
      <c r="A351" s="91"/>
      <c r="B351" s="92"/>
      <c r="C351" s="92"/>
      <c r="D351" s="93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106"/>
    </row>
    <row r="352" spans="1:23" ht="23.1" customHeight="1">
      <c r="A352" s="91"/>
      <c r="B352" s="92"/>
      <c r="C352" s="92"/>
      <c r="D352" s="93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106"/>
    </row>
    <row r="353" spans="1:23" ht="23.1" customHeight="1">
      <c r="A353" s="91"/>
      <c r="B353" s="92"/>
      <c r="C353" s="92"/>
      <c r="D353" s="93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106"/>
    </row>
    <row r="354" spans="1:23" ht="23.1" customHeight="1">
      <c r="A354" s="91"/>
      <c r="B354" s="92"/>
      <c r="C354" s="92"/>
      <c r="D354" s="93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106"/>
    </row>
    <row r="355" spans="1:23" ht="23.1" customHeight="1">
      <c r="A355" s="91"/>
      <c r="B355" s="92"/>
      <c r="C355" s="92"/>
      <c r="D355" s="93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106"/>
    </row>
    <row r="356" spans="1:23" ht="23.1" customHeight="1">
      <c r="A356" s="91"/>
      <c r="B356" s="92"/>
      <c r="C356" s="92"/>
      <c r="D356" s="93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106"/>
    </row>
    <row r="357" spans="1:23" ht="23.1" customHeight="1">
      <c r="A357" s="91"/>
      <c r="B357" s="92"/>
      <c r="C357" s="92"/>
      <c r="D357" s="93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106"/>
    </row>
    <row r="358" spans="1:23" ht="23.1" customHeight="1">
      <c r="A358" s="91"/>
      <c r="B358" s="92"/>
      <c r="C358" s="92"/>
      <c r="D358" s="93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106"/>
    </row>
    <row r="359" spans="1:23" ht="23.1" customHeight="1">
      <c r="A359" s="91"/>
      <c r="B359" s="92"/>
      <c r="C359" s="92"/>
      <c r="D359" s="93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106"/>
    </row>
    <row r="360" spans="1:23" ht="23.1" customHeight="1">
      <c r="A360" s="91"/>
      <c r="B360" s="92"/>
      <c r="C360" s="92"/>
      <c r="D360" s="93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106"/>
    </row>
    <row r="361" spans="1:23" ht="23.1" customHeight="1">
      <c r="A361" s="91"/>
      <c r="B361" s="92"/>
      <c r="C361" s="92"/>
      <c r="D361" s="93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106"/>
    </row>
    <row r="362" spans="1:23" ht="23.1" customHeight="1">
      <c r="A362" s="91"/>
      <c r="B362" s="92"/>
      <c r="C362" s="92"/>
      <c r="D362" s="93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106"/>
    </row>
    <row r="363" spans="1:23" ht="23.1" customHeight="1">
      <c r="A363" s="91"/>
      <c r="B363" s="92"/>
      <c r="C363" s="92"/>
      <c r="D363" s="93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106"/>
    </row>
    <row r="364" spans="1:23" ht="23.1" customHeight="1">
      <c r="A364" s="91"/>
      <c r="B364" s="92"/>
      <c r="C364" s="92"/>
      <c r="D364" s="93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106"/>
    </row>
    <row r="365" spans="1:23" ht="23.1" customHeight="1">
      <c r="A365" s="91"/>
      <c r="B365" s="92"/>
      <c r="C365" s="92"/>
      <c r="D365" s="93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106"/>
    </row>
    <row r="366" spans="1:23" ht="23.1" customHeight="1">
      <c r="A366" s="91"/>
      <c r="B366" s="92"/>
      <c r="C366" s="92"/>
      <c r="D366" s="93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106"/>
    </row>
    <row r="367" spans="1:23" ht="23.1" customHeight="1">
      <c r="A367" s="91"/>
      <c r="B367" s="92"/>
      <c r="C367" s="92"/>
      <c r="D367" s="93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106"/>
    </row>
    <row r="368" spans="1:23" ht="23.1" customHeight="1">
      <c r="A368" s="91"/>
      <c r="B368" s="92"/>
      <c r="C368" s="92"/>
      <c r="D368" s="93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106"/>
    </row>
    <row r="369" spans="1:23" ht="23.1" customHeight="1">
      <c r="A369" s="91"/>
      <c r="B369" s="92"/>
      <c r="C369" s="92"/>
      <c r="D369" s="93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106"/>
    </row>
    <row r="370" spans="1:23" ht="23.1" customHeight="1">
      <c r="A370" s="91"/>
      <c r="B370" s="92"/>
      <c r="C370" s="92"/>
      <c r="D370" s="93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106"/>
    </row>
    <row r="371" spans="1:23" ht="23.1" customHeight="1">
      <c r="A371" s="91"/>
      <c r="B371" s="92"/>
      <c r="C371" s="92"/>
      <c r="D371" s="93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106"/>
    </row>
    <row r="372" spans="1:23" ht="23.1" customHeight="1">
      <c r="A372" s="91"/>
      <c r="B372" s="92"/>
      <c r="C372" s="92"/>
      <c r="D372" s="93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106"/>
    </row>
    <row r="373" spans="1:23" ht="23.1" customHeight="1">
      <c r="A373" s="91"/>
      <c r="B373" s="92"/>
      <c r="C373" s="92"/>
      <c r="D373" s="93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106"/>
    </row>
    <row r="374" spans="1:23" ht="23.1" customHeight="1">
      <c r="A374" s="91"/>
      <c r="B374" s="92"/>
      <c r="C374" s="92"/>
      <c r="D374" s="93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106"/>
    </row>
    <row r="375" spans="1:23" ht="23.1" customHeight="1">
      <c r="A375" s="91"/>
      <c r="B375" s="92"/>
      <c r="C375" s="92"/>
      <c r="D375" s="93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106"/>
    </row>
    <row r="376" spans="1:23" ht="23.1" customHeight="1">
      <c r="A376" s="91"/>
      <c r="B376" s="92"/>
      <c r="C376" s="92"/>
      <c r="D376" s="93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106"/>
    </row>
    <row r="377" spans="1:23" ht="23.1" customHeight="1">
      <c r="A377" s="91"/>
      <c r="B377" s="92"/>
      <c r="C377" s="92"/>
      <c r="D377" s="93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106"/>
    </row>
    <row r="378" spans="1:23" ht="23.1" customHeight="1">
      <c r="A378" s="91"/>
      <c r="B378" s="92"/>
      <c r="C378" s="92"/>
      <c r="D378" s="93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106"/>
    </row>
    <row r="379" spans="1:23" ht="23.1" customHeight="1">
      <c r="A379" s="91"/>
      <c r="B379" s="92"/>
      <c r="C379" s="92"/>
      <c r="D379" s="93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106"/>
    </row>
    <row r="380" spans="1:23" ht="23.1" customHeight="1">
      <c r="A380" s="91"/>
      <c r="B380" s="92"/>
      <c r="C380" s="92"/>
      <c r="D380" s="93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106"/>
    </row>
    <row r="381" spans="1:23" ht="23.1" customHeight="1">
      <c r="A381" s="91"/>
      <c r="B381" s="92"/>
      <c r="C381" s="92"/>
      <c r="D381" s="93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106"/>
    </row>
    <row r="382" spans="1:23" ht="23.1" customHeight="1">
      <c r="A382" s="91"/>
      <c r="B382" s="92"/>
      <c r="C382" s="92"/>
      <c r="D382" s="93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106"/>
    </row>
    <row r="383" spans="1:23" ht="23.1" customHeight="1">
      <c r="A383" s="91"/>
      <c r="B383" s="92"/>
      <c r="C383" s="92"/>
      <c r="D383" s="93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106"/>
    </row>
    <row r="384" spans="1:23" ht="23.1" customHeight="1">
      <c r="A384" s="91"/>
      <c r="B384" s="92"/>
      <c r="C384" s="92"/>
      <c r="D384" s="93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106"/>
    </row>
    <row r="385" spans="1:23" ht="23.1" customHeight="1">
      <c r="A385" s="91"/>
      <c r="B385" s="92"/>
      <c r="C385" s="92"/>
      <c r="D385" s="93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106"/>
    </row>
    <row r="386" spans="1:23" ht="23.1" customHeight="1">
      <c r="A386" s="91"/>
      <c r="B386" s="92"/>
      <c r="C386" s="92"/>
      <c r="D386" s="93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106"/>
    </row>
    <row r="387" spans="1:23" ht="23.1" customHeight="1">
      <c r="A387" s="91"/>
      <c r="B387" s="92"/>
      <c r="C387" s="92"/>
      <c r="D387" s="93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106"/>
    </row>
    <row r="388" spans="1:23" ht="23.1" customHeight="1">
      <c r="A388" s="91"/>
      <c r="B388" s="92"/>
      <c r="C388" s="92"/>
      <c r="D388" s="93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106"/>
    </row>
    <row r="389" spans="1:23" ht="23.1" customHeight="1">
      <c r="A389" s="91"/>
      <c r="B389" s="92"/>
      <c r="C389" s="92"/>
      <c r="D389" s="93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106"/>
    </row>
    <row r="390" spans="1:23" ht="23.1" customHeight="1">
      <c r="A390" s="91"/>
      <c r="B390" s="92"/>
      <c r="C390" s="92"/>
      <c r="D390" s="93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106"/>
    </row>
    <row r="391" spans="1:23" ht="23.1" customHeight="1">
      <c r="A391" s="91"/>
      <c r="B391" s="92"/>
      <c r="C391" s="92"/>
      <c r="D391" s="93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106"/>
    </row>
    <row r="392" spans="1:23" ht="23.1" customHeight="1">
      <c r="A392" s="91"/>
      <c r="B392" s="92"/>
      <c r="C392" s="92"/>
      <c r="D392" s="93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106"/>
    </row>
    <row r="393" spans="1:23" ht="23.1" customHeight="1">
      <c r="A393" s="91"/>
      <c r="B393" s="92"/>
      <c r="C393" s="92"/>
      <c r="D393" s="93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106"/>
    </row>
    <row r="394" spans="1:23" ht="23.1" customHeight="1">
      <c r="A394" s="91"/>
      <c r="B394" s="92"/>
      <c r="C394" s="92"/>
      <c r="D394" s="93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106"/>
    </row>
    <row r="395" spans="1:23" ht="23.1" customHeight="1">
      <c r="A395" s="91"/>
      <c r="B395" s="92"/>
      <c r="C395" s="92"/>
      <c r="D395" s="93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106"/>
    </row>
    <row r="396" spans="1:23" ht="23.1" customHeight="1">
      <c r="A396" s="91"/>
      <c r="B396" s="92"/>
      <c r="C396" s="92"/>
      <c r="D396" s="93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106"/>
    </row>
    <row r="397" spans="1:23" ht="23.1" customHeight="1">
      <c r="A397" s="91"/>
      <c r="B397" s="92"/>
      <c r="C397" s="92"/>
      <c r="D397" s="93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106"/>
    </row>
    <row r="398" spans="1:23" ht="23.1" customHeight="1">
      <c r="A398" s="91"/>
      <c r="B398" s="92"/>
      <c r="C398" s="92"/>
      <c r="D398" s="93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106"/>
    </row>
    <row r="399" spans="1:23" ht="23.1" customHeight="1">
      <c r="A399" s="91"/>
      <c r="B399" s="92"/>
      <c r="C399" s="92"/>
      <c r="D399" s="93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106"/>
    </row>
    <row r="400" spans="1:23" ht="23.1" customHeight="1">
      <c r="A400" s="91"/>
      <c r="B400" s="92"/>
      <c r="C400" s="92"/>
      <c r="D400" s="93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106"/>
    </row>
    <row r="401" spans="1:23" ht="23.1" customHeight="1">
      <c r="A401" s="91"/>
      <c r="B401" s="92"/>
      <c r="C401" s="92"/>
      <c r="D401" s="93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106"/>
    </row>
    <row r="402" spans="1:23" ht="23.1" customHeight="1">
      <c r="A402" s="91"/>
      <c r="B402" s="92"/>
      <c r="C402" s="92"/>
      <c r="D402" s="93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106"/>
    </row>
    <row r="403" spans="1:23" ht="23.1" customHeight="1">
      <c r="A403" s="91"/>
      <c r="B403" s="92"/>
      <c r="C403" s="92"/>
      <c r="D403" s="93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106"/>
    </row>
    <row r="404" spans="1:23" ht="23.1" customHeight="1">
      <c r="A404" s="91"/>
      <c r="B404" s="92"/>
      <c r="C404" s="92"/>
      <c r="D404" s="93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106"/>
    </row>
    <row r="405" spans="1:23" ht="23.1" customHeight="1">
      <c r="A405" s="91"/>
      <c r="B405" s="92"/>
      <c r="C405" s="92"/>
      <c r="D405" s="93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106"/>
    </row>
    <row r="406" spans="1:23" ht="23.1" customHeight="1">
      <c r="A406" s="91"/>
      <c r="B406" s="92"/>
      <c r="C406" s="92"/>
      <c r="D406" s="93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106"/>
    </row>
    <row r="407" spans="1:23" ht="23.1" customHeight="1">
      <c r="A407" s="91"/>
      <c r="B407" s="92"/>
      <c r="C407" s="92"/>
      <c r="D407" s="93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106"/>
    </row>
    <row r="408" spans="1:23" ht="23.1" customHeight="1">
      <c r="A408" s="91"/>
      <c r="B408" s="92"/>
      <c r="C408" s="92"/>
      <c r="D408" s="93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106"/>
    </row>
    <row r="409" spans="1:23" ht="23.1" customHeight="1">
      <c r="A409" s="91"/>
      <c r="B409" s="92"/>
      <c r="C409" s="92"/>
      <c r="D409" s="93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106"/>
    </row>
    <row r="410" spans="1:23" ht="23.1" customHeight="1">
      <c r="A410" s="91"/>
      <c r="B410" s="92"/>
      <c r="C410" s="92"/>
      <c r="D410" s="93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106"/>
    </row>
    <row r="411" spans="1:23" ht="23.1" customHeight="1">
      <c r="A411" s="91"/>
      <c r="B411" s="92"/>
      <c r="C411" s="92"/>
      <c r="D411" s="93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106"/>
    </row>
    <row r="412" spans="1:23" ht="23.1" customHeight="1">
      <c r="A412" s="91"/>
      <c r="B412" s="92"/>
      <c r="C412" s="92"/>
      <c r="D412" s="93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106"/>
    </row>
    <row r="413" spans="1:23" ht="23.1" customHeight="1">
      <c r="A413" s="91"/>
      <c r="B413" s="92"/>
      <c r="C413" s="92"/>
      <c r="D413" s="93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106"/>
    </row>
    <row r="414" spans="1:23" ht="23.1" customHeight="1">
      <c r="A414" s="91"/>
      <c r="B414" s="92"/>
      <c r="C414" s="92"/>
      <c r="D414" s="93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106"/>
    </row>
    <row r="415" spans="1:23" ht="23.1" customHeight="1">
      <c r="A415" s="91"/>
      <c r="B415" s="92"/>
      <c r="C415" s="92"/>
      <c r="D415" s="93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106"/>
    </row>
    <row r="416" spans="1:23" ht="23.1" customHeight="1">
      <c r="A416" s="91"/>
      <c r="B416" s="92"/>
      <c r="C416" s="92"/>
      <c r="D416" s="93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106"/>
    </row>
    <row r="417" spans="1:23" ht="23.1" customHeight="1">
      <c r="A417" s="91"/>
      <c r="B417" s="92"/>
      <c r="C417" s="92"/>
      <c r="D417" s="93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106"/>
    </row>
    <row r="418" spans="1:23" ht="23.1" customHeight="1">
      <c r="A418" s="91"/>
      <c r="B418" s="92"/>
      <c r="C418" s="92"/>
      <c r="D418" s="93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106"/>
    </row>
    <row r="419" spans="1:23" ht="23.1" customHeight="1">
      <c r="A419" s="91"/>
      <c r="B419" s="92"/>
      <c r="C419" s="92"/>
      <c r="D419" s="93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106"/>
    </row>
    <row r="420" spans="1:23" ht="23.1" customHeight="1">
      <c r="A420" s="91"/>
      <c r="B420" s="92"/>
      <c r="C420" s="92"/>
      <c r="D420" s="93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106"/>
    </row>
    <row r="421" spans="1:23" ht="23.1" customHeight="1">
      <c r="A421" s="91"/>
      <c r="B421" s="92"/>
      <c r="C421" s="92"/>
      <c r="D421" s="93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106"/>
    </row>
    <row r="422" spans="1:23" ht="23.1" customHeight="1">
      <c r="A422" s="91"/>
      <c r="B422" s="92"/>
      <c r="C422" s="92"/>
      <c r="D422" s="93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106"/>
    </row>
    <row r="423" spans="1:23" ht="23.1" customHeight="1">
      <c r="A423" s="91"/>
      <c r="B423" s="92"/>
      <c r="C423" s="92"/>
      <c r="D423" s="93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106"/>
    </row>
    <row r="424" spans="1:23" ht="23.1" customHeight="1">
      <c r="A424" s="91"/>
      <c r="B424" s="92"/>
      <c r="C424" s="92"/>
      <c r="D424" s="93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106"/>
    </row>
    <row r="425" spans="1:23" ht="23.1" customHeight="1">
      <c r="A425" s="91"/>
      <c r="B425" s="92"/>
      <c r="C425" s="92"/>
      <c r="D425" s="93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106"/>
    </row>
    <row r="426" spans="1:23" ht="23.1" customHeight="1">
      <c r="A426" s="91"/>
      <c r="B426" s="92"/>
      <c r="C426" s="92"/>
      <c r="D426" s="93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106"/>
    </row>
    <row r="427" spans="1:23" ht="23.1" customHeight="1">
      <c r="A427" s="91"/>
      <c r="B427" s="92"/>
      <c r="C427" s="92"/>
      <c r="D427" s="93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106"/>
    </row>
    <row r="428" spans="1:23" ht="23.1" customHeight="1">
      <c r="A428" s="91"/>
      <c r="B428" s="92"/>
      <c r="C428" s="92"/>
      <c r="D428" s="93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106"/>
    </row>
    <row r="429" spans="1:23" ht="23.1" customHeight="1">
      <c r="A429" s="91"/>
      <c r="B429" s="92"/>
      <c r="C429" s="92"/>
      <c r="D429" s="93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106"/>
    </row>
    <row r="430" spans="1:23" ht="23.1" customHeight="1">
      <c r="A430" s="91"/>
      <c r="B430" s="92"/>
      <c r="C430" s="92"/>
      <c r="D430" s="93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106"/>
    </row>
    <row r="431" spans="1:23" ht="23.1" customHeight="1">
      <c r="A431" s="91"/>
      <c r="B431" s="92"/>
      <c r="C431" s="92"/>
      <c r="D431" s="93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106"/>
    </row>
    <row r="432" spans="1:23" ht="23.1" customHeight="1">
      <c r="A432" s="91"/>
      <c r="B432" s="92"/>
      <c r="C432" s="92"/>
      <c r="D432" s="93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106"/>
    </row>
    <row r="433" spans="1:23" ht="23.1" customHeight="1">
      <c r="A433" s="91"/>
      <c r="B433" s="92"/>
      <c r="C433" s="92"/>
      <c r="D433" s="93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106"/>
    </row>
    <row r="434" spans="1:23" ht="23.1" customHeight="1">
      <c r="A434" s="91"/>
      <c r="B434" s="92"/>
      <c r="C434" s="92"/>
      <c r="D434" s="93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106"/>
    </row>
    <row r="435" spans="1:23" ht="23.1" customHeight="1">
      <c r="A435" s="91"/>
      <c r="B435" s="92"/>
      <c r="C435" s="92"/>
      <c r="D435" s="93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106"/>
    </row>
    <row r="436" spans="1:23" ht="23.1" customHeight="1">
      <c r="A436" s="91"/>
      <c r="B436" s="92"/>
      <c r="C436" s="92"/>
      <c r="D436" s="93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106"/>
    </row>
    <row r="437" spans="1:23" ht="23.1" customHeight="1">
      <c r="A437" s="91"/>
      <c r="B437" s="92"/>
      <c r="C437" s="92"/>
      <c r="D437" s="93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106"/>
    </row>
    <row r="438" spans="1:23" ht="23.1" customHeight="1">
      <c r="A438" s="91"/>
      <c r="B438" s="92"/>
      <c r="C438" s="92"/>
      <c r="D438" s="93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106"/>
    </row>
    <row r="439" spans="1:23" ht="23.1" customHeight="1">
      <c r="A439" s="91"/>
      <c r="B439" s="92"/>
      <c r="C439" s="92"/>
      <c r="D439" s="93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106"/>
    </row>
    <row r="440" spans="1:23" ht="23.1" customHeight="1">
      <c r="A440" s="91"/>
      <c r="B440" s="92"/>
      <c r="C440" s="92"/>
      <c r="D440" s="93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106"/>
    </row>
    <row r="441" spans="1:23" ht="23.1" customHeight="1">
      <c r="A441" s="91"/>
      <c r="B441" s="92"/>
      <c r="C441" s="92"/>
      <c r="D441" s="93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106"/>
    </row>
    <row r="442" spans="1:23" ht="23.1" customHeight="1">
      <c r="A442" s="91"/>
      <c r="B442" s="92"/>
      <c r="C442" s="92"/>
      <c r="D442" s="93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106"/>
    </row>
    <row r="443" spans="1:23" ht="23.1" customHeight="1">
      <c r="A443" s="91"/>
      <c r="B443" s="92"/>
      <c r="C443" s="92"/>
      <c r="D443" s="93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106"/>
    </row>
    <row r="444" spans="1:23" ht="23.1" customHeight="1">
      <c r="A444" s="91"/>
      <c r="B444" s="92"/>
      <c r="C444" s="92"/>
      <c r="D444" s="93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106"/>
    </row>
    <row r="445" spans="1:23" ht="23.1" customHeight="1">
      <c r="A445" s="91"/>
      <c r="B445" s="92"/>
      <c r="C445" s="92"/>
      <c r="D445" s="93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106"/>
    </row>
    <row r="446" spans="1:23" ht="23.1" customHeight="1">
      <c r="A446" s="91"/>
      <c r="B446" s="92"/>
      <c r="C446" s="92"/>
      <c r="D446" s="93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106"/>
    </row>
    <row r="447" spans="1:23" ht="23.1" customHeight="1">
      <c r="A447" s="91"/>
      <c r="B447" s="92"/>
      <c r="C447" s="92"/>
      <c r="D447" s="93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106"/>
    </row>
    <row r="448" spans="1:23" ht="23.1" customHeight="1">
      <c r="A448" s="91"/>
      <c r="B448" s="92"/>
      <c r="C448" s="92"/>
      <c r="D448" s="93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106"/>
    </row>
    <row r="449" spans="1:23" ht="23.1" customHeight="1">
      <c r="A449" s="91"/>
      <c r="B449" s="92"/>
      <c r="C449" s="92"/>
      <c r="D449" s="93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106"/>
    </row>
    <row r="450" spans="1:23" ht="23.1" customHeight="1">
      <c r="A450" s="91"/>
      <c r="B450" s="92"/>
      <c r="C450" s="92"/>
      <c r="D450" s="93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106"/>
    </row>
    <row r="451" spans="1:23" ht="23.1" customHeight="1">
      <c r="A451" s="91"/>
      <c r="B451" s="92"/>
      <c r="C451" s="92"/>
      <c r="D451" s="93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106"/>
    </row>
    <row r="452" spans="1:23" ht="23.1" customHeight="1">
      <c r="A452" s="91"/>
      <c r="B452" s="92"/>
      <c r="C452" s="92"/>
      <c r="D452" s="93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106"/>
    </row>
    <row r="453" spans="1:23" ht="23.1" customHeight="1">
      <c r="A453" s="91"/>
      <c r="B453" s="92"/>
      <c r="C453" s="92"/>
      <c r="D453" s="93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106"/>
    </row>
    <row r="454" spans="1:23" ht="23.1" customHeight="1">
      <c r="A454" s="91"/>
      <c r="B454" s="92"/>
      <c r="C454" s="92"/>
      <c r="D454" s="93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106"/>
    </row>
    <row r="455" spans="1:23" ht="23.1" customHeight="1">
      <c r="A455" s="91"/>
      <c r="B455" s="92"/>
      <c r="C455" s="92"/>
      <c r="D455" s="93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106"/>
    </row>
    <row r="456" spans="1:23" ht="23.1" customHeight="1">
      <c r="A456" s="91"/>
      <c r="B456" s="92"/>
      <c r="C456" s="92"/>
      <c r="D456" s="93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106"/>
    </row>
    <row r="457" spans="1:23" ht="23.1" customHeight="1">
      <c r="A457" s="91"/>
      <c r="B457" s="92"/>
      <c r="C457" s="92"/>
      <c r="D457" s="93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106"/>
    </row>
    <row r="458" spans="1:23" ht="23.1" customHeight="1">
      <c r="A458" s="91"/>
      <c r="B458" s="92"/>
      <c r="C458" s="92"/>
      <c r="D458" s="93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106"/>
    </row>
    <row r="459" spans="1:23" ht="23.1" customHeight="1">
      <c r="A459" s="91"/>
      <c r="B459" s="92"/>
      <c r="C459" s="92"/>
      <c r="D459" s="93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106"/>
    </row>
    <row r="460" spans="1:23" ht="23.1" customHeight="1">
      <c r="A460" s="91"/>
      <c r="B460" s="92"/>
      <c r="C460" s="92"/>
      <c r="D460" s="93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106"/>
    </row>
    <row r="461" spans="1:23" ht="23.1" customHeight="1">
      <c r="A461" s="91"/>
      <c r="B461" s="92"/>
      <c r="C461" s="92"/>
      <c r="D461" s="93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106"/>
    </row>
    <row r="462" spans="1:23" ht="23.1" customHeight="1">
      <c r="A462" s="91"/>
      <c r="B462" s="92"/>
      <c r="C462" s="92"/>
      <c r="D462" s="93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106"/>
    </row>
    <row r="463" spans="1:23" ht="23.1" customHeight="1">
      <c r="A463" s="91"/>
      <c r="B463" s="92"/>
      <c r="C463" s="92"/>
      <c r="D463" s="93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106"/>
    </row>
    <row r="464" spans="1:23" ht="23.1" customHeight="1">
      <c r="A464" s="91"/>
      <c r="B464" s="92"/>
      <c r="C464" s="92"/>
      <c r="D464" s="93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106"/>
    </row>
    <row r="465" spans="1:23" ht="23.1" customHeight="1">
      <c r="A465" s="91"/>
      <c r="B465" s="92"/>
      <c r="C465" s="92"/>
      <c r="D465" s="93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106"/>
    </row>
    <row r="466" spans="1:23" ht="23.1" customHeight="1">
      <c r="A466" s="91"/>
      <c r="B466" s="92"/>
      <c r="C466" s="92"/>
      <c r="D466" s="93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106"/>
    </row>
    <row r="467" spans="1:23" ht="23.1" customHeight="1">
      <c r="A467" s="91"/>
      <c r="B467" s="92"/>
      <c r="C467" s="92"/>
      <c r="D467" s="93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106"/>
    </row>
    <row r="468" spans="1:23" ht="23.1" customHeight="1">
      <c r="A468" s="91"/>
      <c r="B468" s="92"/>
      <c r="C468" s="92"/>
      <c r="D468" s="93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106"/>
    </row>
    <row r="469" spans="1:23" ht="23.1" customHeight="1">
      <c r="A469" s="91"/>
      <c r="B469" s="92"/>
      <c r="C469" s="92"/>
      <c r="D469" s="93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106"/>
    </row>
    <row r="470" spans="1:23" ht="23.1" customHeight="1">
      <c r="A470" s="91"/>
      <c r="B470" s="92"/>
      <c r="C470" s="92"/>
      <c r="D470" s="93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106"/>
    </row>
    <row r="471" spans="1:23" ht="23.1" customHeight="1">
      <c r="A471" s="91"/>
      <c r="B471" s="92"/>
      <c r="C471" s="92"/>
      <c r="D471" s="93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106"/>
    </row>
    <row r="472" spans="1:23" ht="23.1" customHeight="1">
      <c r="A472" s="91"/>
      <c r="B472" s="92"/>
      <c r="C472" s="92"/>
      <c r="D472" s="93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106"/>
    </row>
    <row r="473" spans="1:23" ht="23.1" customHeight="1">
      <c r="A473" s="91"/>
      <c r="B473" s="92"/>
      <c r="C473" s="92"/>
      <c r="D473" s="93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106"/>
    </row>
    <row r="474" spans="1:23" ht="23.1" customHeight="1">
      <c r="A474" s="91"/>
      <c r="B474" s="92"/>
      <c r="C474" s="92"/>
      <c r="D474" s="93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106"/>
    </row>
    <row r="475" spans="1:23" ht="23.1" customHeight="1">
      <c r="A475" s="91"/>
      <c r="B475" s="92"/>
      <c r="C475" s="92"/>
      <c r="D475" s="93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106"/>
    </row>
    <row r="476" spans="1:23" ht="23.1" customHeight="1">
      <c r="A476" s="91"/>
      <c r="B476" s="92"/>
      <c r="C476" s="92"/>
      <c r="D476" s="93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106"/>
    </row>
    <row r="477" spans="1:23" ht="23.1" customHeight="1">
      <c r="A477" s="91"/>
      <c r="B477" s="92"/>
      <c r="C477" s="92"/>
      <c r="D477" s="93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106"/>
    </row>
    <row r="478" spans="1:23" ht="23.1" customHeight="1">
      <c r="A478" s="91"/>
      <c r="B478" s="92"/>
      <c r="C478" s="92"/>
      <c r="D478" s="93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106"/>
    </row>
    <row r="479" spans="1:23" ht="23.1" customHeight="1">
      <c r="A479" s="91"/>
      <c r="B479" s="92"/>
      <c r="C479" s="92"/>
      <c r="D479" s="93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106"/>
    </row>
    <row r="480" spans="1:23" ht="23.1" customHeight="1">
      <c r="A480" s="91"/>
      <c r="B480" s="92"/>
      <c r="C480" s="92"/>
      <c r="D480" s="93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106"/>
    </row>
    <row r="481" spans="1:23" ht="23.1" customHeight="1">
      <c r="A481" s="91"/>
      <c r="B481" s="92"/>
      <c r="C481" s="92"/>
      <c r="D481" s="93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106"/>
    </row>
    <row r="482" spans="1:23" ht="23.1" customHeight="1">
      <c r="A482" s="91"/>
      <c r="B482" s="92"/>
      <c r="C482" s="92"/>
      <c r="D482" s="93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106"/>
    </row>
    <row r="483" spans="1:23" ht="23.1" customHeight="1">
      <c r="A483" s="91"/>
      <c r="B483" s="92"/>
      <c r="C483" s="92"/>
      <c r="D483" s="93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106"/>
    </row>
    <row r="484" spans="1:23" ht="23.1" customHeight="1">
      <c r="A484" s="91"/>
      <c r="B484" s="92"/>
      <c r="C484" s="92"/>
      <c r="D484" s="93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106"/>
    </row>
    <row r="485" spans="1:23" ht="23.1" customHeight="1">
      <c r="A485" s="91"/>
      <c r="B485" s="92"/>
      <c r="C485" s="92"/>
      <c r="D485" s="93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106"/>
    </row>
    <row r="486" spans="1:23" ht="23.1" customHeight="1">
      <c r="A486" s="91"/>
      <c r="B486" s="92"/>
      <c r="C486" s="92"/>
      <c r="D486" s="93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106"/>
    </row>
    <row r="487" spans="1:23" ht="23.1" customHeight="1">
      <c r="A487" s="91"/>
      <c r="B487" s="92"/>
      <c r="C487" s="92"/>
      <c r="D487" s="93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106"/>
    </row>
    <row r="488" spans="1:23" ht="23.1" customHeight="1">
      <c r="A488" s="91"/>
      <c r="B488" s="92"/>
      <c r="C488" s="92"/>
      <c r="D488" s="93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106"/>
    </row>
    <row r="489" spans="1:23" ht="23.1" customHeight="1">
      <c r="A489" s="91"/>
      <c r="B489" s="92"/>
      <c r="C489" s="92"/>
      <c r="D489" s="93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106"/>
    </row>
    <row r="490" spans="1:23" ht="23.1" customHeight="1">
      <c r="A490" s="91"/>
      <c r="B490" s="92"/>
      <c r="C490" s="92"/>
      <c r="D490" s="93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106"/>
    </row>
    <row r="491" spans="1:23" ht="23.1" customHeight="1">
      <c r="A491" s="91"/>
      <c r="B491" s="92"/>
      <c r="C491" s="92"/>
      <c r="D491" s="93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106"/>
    </row>
    <row r="492" spans="1:23" ht="23.1" customHeight="1">
      <c r="A492" s="91"/>
      <c r="B492" s="92"/>
      <c r="C492" s="92"/>
      <c r="D492" s="93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106"/>
    </row>
    <row r="493" spans="1:23" ht="23.1" customHeight="1">
      <c r="A493" s="91"/>
      <c r="B493" s="92"/>
      <c r="C493" s="92"/>
      <c r="D493" s="93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106"/>
    </row>
    <row r="494" spans="1:23" ht="23.1" customHeight="1">
      <c r="A494" s="91"/>
      <c r="B494" s="92"/>
      <c r="C494" s="92"/>
      <c r="D494" s="93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106"/>
    </row>
    <row r="495" spans="1:23" ht="23.1" customHeight="1">
      <c r="A495" s="91"/>
      <c r="B495" s="92"/>
      <c r="C495" s="92"/>
      <c r="D495" s="93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106"/>
    </row>
    <row r="496" spans="1:23" ht="23.1" customHeight="1">
      <c r="A496" s="91"/>
      <c r="B496" s="92"/>
      <c r="C496" s="92"/>
      <c r="D496" s="93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106"/>
    </row>
    <row r="497" spans="1:23" ht="23.1" customHeight="1">
      <c r="A497" s="91"/>
      <c r="B497" s="92"/>
      <c r="C497" s="92"/>
      <c r="D497" s="93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106"/>
    </row>
    <row r="498" spans="1:23" ht="23.1" customHeight="1">
      <c r="A498" s="91"/>
      <c r="B498" s="92"/>
      <c r="C498" s="92"/>
      <c r="D498" s="93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106"/>
    </row>
    <row r="499" spans="1:23" ht="23.1" customHeight="1">
      <c r="A499" s="91"/>
      <c r="B499" s="92"/>
      <c r="C499" s="92"/>
      <c r="D499" s="93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106"/>
    </row>
    <row r="500" spans="1:23" ht="23.1" customHeight="1">
      <c r="A500" s="91"/>
      <c r="B500" s="92"/>
      <c r="C500" s="92"/>
      <c r="D500" s="93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106"/>
    </row>
    <row r="501" spans="1:23" ht="23.1" customHeight="1">
      <c r="A501" s="91"/>
      <c r="B501" s="92"/>
      <c r="C501" s="92"/>
      <c r="D501" s="93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106"/>
    </row>
    <row r="502" spans="1:23" ht="23.1" customHeight="1">
      <c r="A502" s="91"/>
      <c r="B502" s="92"/>
      <c r="C502" s="92"/>
      <c r="D502" s="93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106"/>
    </row>
    <row r="503" spans="1:23" ht="23.1" customHeight="1">
      <c r="A503" s="91"/>
      <c r="B503" s="92"/>
      <c r="C503" s="92"/>
      <c r="D503" s="93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106"/>
    </row>
    <row r="504" spans="1:23" ht="23.1" customHeight="1">
      <c r="A504" s="91"/>
      <c r="B504" s="92"/>
      <c r="C504" s="92"/>
      <c r="D504" s="93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106"/>
    </row>
    <row r="505" spans="1:23" ht="23.1" customHeight="1">
      <c r="A505" s="91"/>
      <c r="B505" s="92"/>
      <c r="C505" s="92"/>
      <c r="D505" s="93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106"/>
    </row>
    <row r="506" spans="1:23" ht="23.1" customHeight="1">
      <c r="A506" s="91"/>
      <c r="B506" s="92"/>
      <c r="C506" s="92"/>
      <c r="D506" s="93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106"/>
    </row>
    <row r="507" spans="1:23" ht="23.1" customHeight="1">
      <c r="A507" s="91"/>
      <c r="B507" s="92"/>
      <c r="C507" s="92"/>
      <c r="D507" s="93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106"/>
    </row>
    <row r="508" spans="1:23" ht="23.1" customHeight="1">
      <c r="A508" s="91"/>
      <c r="B508" s="92"/>
      <c r="C508" s="92"/>
      <c r="D508" s="93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106"/>
    </row>
    <row r="509" spans="1:23" ht="23.1" customHeight="1">
      <c r="A509" s="91"/>
      <c r="B509" s="92"/>
      <c r="C509" s="92"/>
      <c r="D509" s="93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106"/>
    </row>
    <row r="510" spans="1:23" ht="23.1" customHeight="1">
      <c r="A510" s="91"/>
      <c r="B510" s="92"/>
      <c r="C510" s="92"/>
      <c r="D510" s="93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106"/>
    </row>
    <row r="511" spans="1:23" ht="23.1" customHeight="1">
      <c r="A511" s="91"/>
      <c r="B511" s="92"/>
      <c r="C511" s="92"/>
      <c r="D511" s="93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106"/>
    </row>
    <row r="512" spans="1:23" ht="23.1" customHeight="1">
      <c r="A512" s="91"/>
      <c r="B512" s="92"/>
      <c r="C512" s="92"/>
      <c r="D512" s="93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106"/>
    </row>
    <row r="513" spans="1:23" ht="23.1" customHeight="1">
      <c r="A513" s="91"/>
      <c r="B513" s="92"/>
      <c r="C513" s="92"/>
      <c r="D513" s="93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106"/>
    </row>
    <row r="514" spans="1:23" ht="23.1" customHeight="1">
      <c r="A514" s="91"/>
      <c r="B514" s="92"/>
      <c r="C514" s="92"/>
      <c r="D514" s="93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106"/>
    </row>
    <row r="515" spans="1:23" ht="23.1" customHeight="1">
      <c r="A515" s="91"/>
      <c r="B515" s="92"/>
      <c r="C515" s="92"/>
      <c r="D515" s="93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106"/>
    </row>
    <row r="516" spans="1:23" ht="23.1" customHeight="1">
      <c r="A516" s="91"/>
      <c r="B516" s="92"/>
      <c r="C516" s="92"/>
      <c r="D516" s="93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106"/>
    </row>
    <row r="517" spans="1:23" ht="23.1" customHeight="1">
      <c r="A517" s="91"/>
      <c r="B517" s="92"/>
      <c r="C517" s="92"/>
      <c r="D517" s="93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106"/>
    </row>
    <row r="518" spans="1:23" ht="23.1" customHeight="1">
      <c r="A518" s="91"/>
      <c r="B518" s="92"/>
      <c r="C518" s="92"/>
      <c r="D518" s="93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106"/>
    </row>
    <row r="519" spans="1:23" ht="23.1" customHeight="1">
      <c r="A519" s="91"/>
      <c r="B519" s="92"/>
      <c r="C519" s="92"/>
      <c r="D519" s="93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106"/>
    </row>
    <row r="520" spans="1:23" ht="23.1" customHeight="1">
      <c r="A520" s="91"/>
      <c r="B520" s="92"/>
      <c r="C520" s="92"/>
      <c r="D520" s="93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106"/>
    </row>
    <row r="521" spans="1:23" ht="23.1" customHeight="1">
      <c r="A521" s="91"/>
      <c r="B521" s="92"/>
      <c r="C521" s="92"/>
      <c r="D521" s="93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106"/>
    </row>
    <row r="522" spans="1:23" ht="23.1" customHeight="1">
      <c r="A522" s="91"/>
      <c r="B522" s="92"/>
      <c r="C522" s="92"/>
      <c r="D522" s="93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106"/>
    </row>
    <row r="523" spans="1:23" ht="23.1" customHeight="1">
      <c r="A523" s="91"/>
      <c r="B523" s="92"/>
      <c r="C523" s="92"/>
      <c r="D523" s="93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106"/>
    </row>
    <row r="524" spans="1:23" ht="23.1" customHeight="1">
      <c r="A524" s="91"/>
      <c r="B524" s="92"/>
      <c r="C524" s="92"/>
      <c r="D524" s="93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106"/>
    </row>
    <row r="525" spans="1:23" ht="23.1" customHeight="1">
      <c r="A525" s="91"/>
      <c r="B525" s="92"/>
      <c r="C525" s="92"/>
      <c r="D525" s="93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106"/>
    </row>
    <row r="526" spans="1:23" ht="23.1" customHeight="1">
      <c r="A526" s="91"/>
      <c r="B526" s="92"/>
      <c r="C526" s="92"/>
      <c r="D526" s="93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106"/>
    </row>
    <row r="527" spans="1:23" ht="23.1" customHeight="1">
      <c r="A527" s="91"/>
      <c r="B527" s="92"/>
      <c r="C527" s="92"/>
      <c r="D527" s="93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106"/>
    </row>
    <row r="528" spans="1:23" ht="23.1" customHeight="1">
      <c r="A528" s="91"/>
      <c r="B528" s="92"/>
      <c r="C528" s="92"/>
      <c r="D528" s="93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106"/>
    </row>
    <row r="529" spans="1:23" ht="23.1" customHeight="1">
      <c r="A529" s="91"/>
      <c r="B529" s="92"/>
      <c r="C529" s="92"/>
      <c r="D529" s="93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106"/>
    </row>
    <row r="530" spans="1:23" ht="23.1" customHeight="1">
      <c r="A530" s="91"/>
      <c r="B530" s="92"/>
      <c r="C530" s="92"/>
      <c r="D530" s="93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106"/>
    </row>
    <row r="531" spans="1:23" ht="23.1" customHeight="1">
      <c r="A531" s="91"/>
      <c r="B531" s="92"/>
      <c r="C531" s="92"/>
      <c r="D531" s="93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106"/>
    </row>
    <row r="532" spans="1:23" ht="23.1" customHeight="1">
      <c r="A532" s="91"/>
      <c r="B532" s="92"/>
      <c r="C532" s="92"/>
      <c r="D532" s="93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106"/>
    </row>
    <row r="533" spans="1:23" ht="23.1" customHeight="1">
      <c r="A533" s="91"/>
      <c r="B533" s="92"/>
      <c r="C533" s="92"/>
      <c r="D533" s="93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106"/>
    </row>
    <row r="534" spans="1:23" ht="23.1" customHeight="1">
      <c r="A534" s="91"/>
      <c r="B534" s="92"/>
      <c r="C534" s="92"/>
      <c r="D534" s="93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106"/>
    </row>
    <row r="535" spans="1:23" ht="23.1" customHeight="1">
      <c r="A535" s="91"/>
      <c r="B535" s="92"/>
      <c r="C535" s="92"/>
      <c r="D535" s="93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106"/>
    </row>
    <row r="536" spans="1:23" ht="23.1" customHeight="1">
      <c r="A536" s="91"/>
      <c r="B536" s="92"/>
      <c r="C536" s="92"/>
      <c r="D536" s="93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106"/>
    </row>
    <row r="537" spans="1:23" ht="23.1" customHeight="1">
      <c r="A537" s="91"/>
      <c r="B537" s="92"/>
      <c r="C537" s="92"/>
      <c r="D537" s="93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106"/>
    </row>
    <row r="538" spans="1:23" ht="23.1" customHeight="1">
      <c r="A538" s="91"/>
      <c r="B538" s="92"/>
      <c r="C538" s="92"/>
      <c r="D538" s="93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106"/>
    </row>
    <row r="539" spans="1:23" ht="23.1" customHeight="1">
      <c r="A539" s="91"/>
      <c r="B539" s="92"/>
      <c r="C539" s="92"/>
      <c r="D539" s="93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106"/>
    </row>
    <row r="540" spans="1:23" ht="23.1" customHeight="1">
      <c r="A540" s="91"/>
      <c r="B540" s="92"/>
      <c r="C540" s="92"/>
      <c r="D540" s="93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106"/>
    </row>
    <row r="541" spans="1:23" ht="23.1" customHeight="1">
      <c r="A541" s="91"/>
      <c r="B541" s="92"/>
      <c r="C541" s="92"/>
      <c r="D541" s="93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106"/>
    </row>
    <row r="542" spans="1:23" ht="23.1" customHeight="1">
      <c r="A542" s="91"/>
      <c r="B542" s="92"/>
      <c r="C542" s="92"/>
      <c r="D542" s="93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106"/>
    </row>
    <row r="543" spans="1:23" ht="23.1" customHeight="1">
      <c r="A543" s="91"/>
      <c r="B543" s="92"/>
      <c r="C543" s="92"/>
      <c r="D543" s="93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106"/>
    </row>
    <row r="544" spans="1:23" ht="23.1" customHeight="1">
      <c r="A544" s="91"/>
      <c r="B544" s="92"/>
      <c r="C544" s="92"/>
      <c r="D544" s="93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106"/>
    </row>
    <row r="545" spans="1:23" ht="23.1" customHeight="1">
      <c r="A545" s="91"/>
      <c r="B545" s="92"/>
      <c r="C545" s="92"/>
      <c r="D545" s="93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106"/>
    </row>
    <row r="546" spans="1:23" ht="23.1" customHeight="1">
      <c r="A546" s="91"/>
      <c r="B546" s="92"/>
      <c r="C546" s="92"/>
      <c r="D546" s="93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106"/>
    </row>
    <row r="547" spans="1:23" ht="23.1" customHeight="1">
      <c r="A547" s="91"/>
      <c r="B547" s="92"/>
      <c r="C547" s="92"/>
      <c r="D547" s="93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106"/>
    </row>
    <row r="548" spans="1:23" ht="23.1" customHeight="1">
      <c r="A548" s="91"/>
      <c r="B548" s="92"/>
      <c r="C548" s="92"/>
      <c r="D548" s="93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106"/>
    </row>
    <row r="549" spans="1:23" ht="23.1" customHeight="1">
      <c r="A549" s="91"/>
      <c r="B549" s="92"/>
      <c r="C549" s="92"/>
      <c r="D549" s="93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106"/>
    </row>
    <row r="550" spans="1:23" ht="23.1" customHeight="1">
      <c r="A550" s="91"/>
      <c r="B550" s="92"/>
      <c r="C550" s="92"/>
      <c r="D550" s="93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106"/>
    </row>
    <row r="551" spans="1:23" ht="23.1" customHeight="1">
      <c r="A551" s="91"/>
      <c r="B551" s="92"/>
      <c r="C551" s="92"/>
      <c r="D551" s="93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106"/>
    </row>
    <row r="552" spans="1:23" ht="23.1" customHeight="1">
      <c r="A552" s="91"/>
      <c r="B552" s="92"/>
      <c r="C552" s="92"/>
      <c r="D552" s="93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106"/>
    </row>
    <row r="553" spans="1:23" ht="23.1" customHeight="1">
      <c r="A553" s="91"/>
      <c r="B553" s="92"/>
      <c r="C553" s="92"/>
      <c r="D553" s="93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106"/>
    </row>
    <row r="554" spans="1:23" ht="23.1" customHeight="1">
      <c r="A554" s="91"/>
      <c r="B554" s="92"/>
      <c r="C554" s="92"/>
      <c r="D554" s="93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106"/>
    </row>
    <row r="555" spans="1:23" ht="23.1" customHeight="1">
      <c r="A555" s="91"/>
      <c r="B555" s="92"/>
      <c r="C555" s="92"/>
      <c r="D555" s="93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106"/>
    </row>
    <row r="556" spans="1:23" ht="23.1" customHeight="1">
      <c r="A556" s="91"/>
      <c r="B556" s="92"/>
      <c r="C556" s="92"/>
      <c r="D556" s="93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106"/>
    </row>
  </sheetData>
  <mergeCells count="36">
    <mergeCell ref="D292:F292"/>
    <mergeCell ref="H292:J292"/>
    <mergeCell ref="K292:L292"/>
    <mergeCell ref="A3:A5"/>
    <mergeCell ref="B3:B5"/>
    <mergeCell ref="C3:C5"/>
    <mergeCell ref="D3:D5"/>
    <mergeCell ref="D290:F290"/>
    <mergeCell ref="H290:J290"/>
    <mergeCell ref="K290:L290"/>
    <mergeCell ref="D291:F291"/>
    <mergeCell ref="H291:J291"/>
    <mergeCell ref="K291:L291"/>
    <mergeCell ref="D288:F288"/>
    <mergeCell ref="H288:J288"/>
    <mergeCell ref="K288:L288"/>
    <mergeCell ref="D289:F289"/>
    <mergeCell ref="H289:J289"/>
    <mergeCell ref="K289:L289"/>
    <mergeCell ref="T4:V4"/>
    <mergeCell ref="B283:M283"/>
    <mergeCell ref="B284:M284"/>
    <mergeCell ref="D287:F287"/>
    <mergeCell ref="H287:J287"/>
    <mergeCell ref="K287:L287"/>
    <mergeCell ref="E4:G4"/>
    <mergeCell ref="H4:J4"/>
    <mergeCell ref="K4:M4"/>
    <mergeCell ref="N4:P4"/>
    <mergeCell ref="Q4:S4"/>
    <mergeCell ref="A1:W1"/>
    <mergeCell ref="A2:W2"/>
    <mergeCell ref="E3:J3"/>
    <mergeCell ref="K3:P3"/>
    <mergeCell ref="Q3:V3"/>
    <mergeCell ref="W3:W5"/>
  </mergeCells>
  <phoneticPr fontId="76" type="noConversion"/>
  <pageMargins left="0.75" right="0.75" top="1" bottom="1" header="0.5" footer="0.5"/>
  <pageSetup paperSize="9" scale="49" orientation="landscape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B4DA4-2354-48A8-BCC8-D195C411ADF8}">
  <sheetPr>
    <tabColor theme="6"/>
    <outlinePr summaryBelow="0"/>
  </sheetPr>
  <dimension ref="A1:AB372"/>
  <sheetViews>
    <sheetView view="pageBreakPreview" zoomScaleNormal="70" workbookViewId="0">
      <pane ySplit="5" topLeftCell="A6" activePane="bottomLeft" state="frozen"/>
      <selection pane="bottomLeft" activeCell="Z283" sqref="Z283"/>
    </sheetView>
  </sheetViews>
  <sheetFormatPr defaultColWidth="8.75" defaultRowHeight="23.1" customHeight="1" outlineLevelRow="2"/>
  <cols>
    <col min="1" max="1" width="5.625" style="309" customWidth="1"/>
    <col min="2" max="2" width="16.75" style="310" customWidth="1"/>
    <col min="3" max="3" width="18.875" style="311" customWidth="1"/>
    <col min="4" max="4" width="5.625" style="311" customWidth="1"/>
    <col min="5" max="5" width="8.25" style="312" hidden="1" customWidth="1"/>
    <col min="6" max="6" width="7.625" style="312" hidden="1" customWidth="1"/>
    <col min="7" max="7" width="12.75" style="312" hidden="1" customWidth="1"/>
    <col min="8" max="9" width="7.5" style="312" hidden="1" customWidth="1"/>
    <col min="10" max="10" width="12.75" style="312" hidden="1" customWidth="1"/>
    <col min="11" max="12" width="10.625" style="312" hidden="1" customWidth="1"/>
    <col min="13" max="13" width="12.75" style="312" hidden="1" customWidth="1"/>
    <col min="14" max="16" width="10.625" style="312" hidden="1" customWidth="1"/>
    <col min="17" max="18" width="10.625" style="312" customWidth="1"/>
    <col min="19" max="19" width="11.25" style="312" customWidth="1"/>
    <col min="20" max="21" width="10.625" style="312" customWidth="1"/>
    <col min="22" max="22" width="12.625" style="312" customWidth="1"/>
    <col min="23" max="23" width="13" style="313" customWidth="1"/>
    <col min="24" max="25" width="5.625" style="313" customWidth="1"/>
    <col min="26" max="27" width="10.375" style="309" customWidth="1"/>
    <col min="28" max="28" width="12.625" style="309" customWidth="1"/>
    <col min="29" max="32" width="9" style="309" bestFit="1" customWidth="1"/>
    <col min="33" max="16384" width="8.75" style="309"/>
  </cols>
  <sheetData>
    <row r="1" spans="1:28" ht="17.100000000000001" customHeight="1">
      <c r="A1" s="459" t="s">
        <v>304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  <c r="U1" s="459"/>
      <c r="V1" s="459"/>
      <c r="W1" s="459"/>
      <c r="X1" s="62"/>
      <c r="Y1" s="62"/>
      <c r="Z1" s="323"/>
    </row>
    <row r="2" spans="1:28" s="305" customFormat="1" ht="17.100000000000001" customHeight="1">
      <c r="A2" s="460" t="str">
        <f>[1]人工费!A2</f>
        <v>工程名称：</v>
      </c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  <c r="R2" s="460"/>
      <c r="S2" s="460"/>
      <c r="T2" s="460"/>
      <c r="U2" s="460"/>
      <c r="V2" s="460"/>
      <c r="W2" s="460"/>
      <c r="X2" s="316"/>
      <c r="Y2" s="316"/>
      <c r="Z2" s="324"/>
    </row>
    <row r="3" spans="1:28" s="305" customFormat="1" ht="17.100000000000001" customHeight="1">
      <c r="A3" s="461" t="s">
        <v>32</v>
      </c>
      <c r="B3" s="463" t="s">
        <v>305</v>
      </c>
      <c r="C3" s="463" t="s">
        <v>306</v>
      </c>
      <c r="D3" s="463" t="s">
        <v>34</v>
      </c>
      <c r="E3" s="458" t="s">
        <v>92</v>
      </c>
      <c r="F3" s="458"/>
      <c r="G3" s="458"/>
      <c r="H3" s="458"/>
      <c r="I3" s="458"/>
      <c r="J3" s="458"/>
      <c r="K3" s="458" t="s">
        <v>36</v>
      </c>
      <c r="L3" s="458"/>
      <c r="M3" s="458"/>
      <c r="N3" s="458"/>
      <c r="O3" s="458"/>
      <c r="P3" s="458"/>
      <c r="Q3" s="458" t="s">
        <v>37</v>
      </c>
      <c r="R3" s="458"/>
      <c r="S3" s="458"/>
      <c r="T3" s="458"/>
      <c r="U3" s="458"/>
      <c r="V3" s="458"/>
      <c r="W3" s="465" t="s">
        <v>38</v>
      </c>
      <c r="X3" s="317"/>
      <c r="Y3" s="317"/>
      <c r="Z3" s="430" t="s">
        <v>93</v>
      </c>
      <c r="AA3" s="430"/>
      <c r="AB3" s="430"/>
    </row>
    <row r="4" spans="1:28" s="305" customFormat="1" ht="17.100000000000001" customHeight="1">
      <c r="A4" s="462"/>
      <c r="B4" s="464"/>
      <c r="C4" s="464"/>
      <c r="D4" s="464"/>
      <c r="E4" s="458" t="s">
        <v>42</v>
      </c>
      <c r="F4" s="458"/>
      <c r="G4" s="458"/>
      <c r="H4" s="458" t="s">
        <v>94</v>
      </c>
      <c r="I4" s="458"/>
      <c r="J4" s="458"/>
      <c r="K4" s="458" t="s">
        <v>42</v>
      </c>
      <c r="L4" s="458"/>
      <c r="M4" s="458"/>
      <c r="N4" s="458" t="s">
        <v>43</v>
      </c>
      <c r="O4" s="458"/>
      <c r="P4" s="458"/>
      <c r="Q4" s="458" t="s">
        <v>42</v>
      </c>
      <c r="R4" s="458"/>
      <c r="S4" s="458"/>
      <c r="T4" s="458" t="s">
        <v>43</v>
      </c>
      <c r="U4" s="458"/>
      <c r="V4" s="458"/>
      <c r="W4" s="465"/>
      <c r="X4" s="317"/>
      <c r="Y4" s="317"/>
      <c r="Z4" s="430" t="s">
        <v>43</v>
      </c>
      <c r="AA4" s="430"/>
      <c r="AB4" s="430"/>
    </row>
    <row r="5" spans="1:28" s="305" customFormat="1" ht="17.100000000000001" customHeight="1">
      <c r="A5" s="462"/>
      <c r="B5" s="464"/>
      <c r="C5" s="464"/>
      <c r="D5" s="464"/>
      <c r="E5" s="64" t="s">
        <v>95</v>
      </c>
      <c r="F5" s="64" t="s">
        <v>96</v>
      </c>
      <c r="G5" s="64" t="s">
        <v>97</v>
      </c>
      <c r="H5" s="64" t="s">
        <v>95</v>
      </c>
      <c r="I5" s="64" t="s">
        <v>96</v>
      </c>
      <c r="J5" s="64" t="s">
        <v>97</v>
      </c>
      <c r="K5" s="64" t="s">
        <v>95</v>
      </c>
      <c r="L5" s="64" t="s">
        <v>96</v>
      </c>
      <c r="M5" s="64" t="s">
        <v>97</v>
      </c>
      <c r="N5" s="64" t="s">
        <v>95</v>
      </c>
      <c r="O5" s="64" t="s">
        <v>96</v>
      </c>
      <c r="P5" s="64" t="s">
        <v>97</v>
      </c>
      <c r="Q5" s="64" t="s">
        <v>95</v>
      </c>
      <c r="R5" s="64" t="s">
        <v>96</v>
      </c>
      <c r="S5" s="64" t="s">
        <v>97</v>
      </c>
      <c r="T5" s="64" t="s">
        <v>95</v>
      </c>
      <c r="U5" s="64" t="s">
        <v>96</v>
      </c>
      <c r="V5" s="64" t="s">
        <v>97</v>
      </c>
      <c r="W5" s="465"/>
      <c r="X5" s="317"/>
      <c r="Y5" s="317"/>
      <c r="Z5" s="325" t="s">
        <v>95</v>
      </c>
      <c r="AA5" s="325" t="s">
        <v>96</v>
      </c>
      <c r="AB5" s="325" t="s">
        <v>97</v>
      </c>
    </row>
    <row r="6" spans="1:28" s="306" customFormat="1" ht="23.1" customHeight="1" collapsed="1">
      <c r="A6" s="220" t="s">
        <v>98</v>
      </c>
      <c r="B6" s="220" t="s">
        <v>99</v>
      </c>
      <c r="C6" s="220"/>
      <c r="D6" s="220"/>
      <c r="E6" s="97">
        <v>0</v>
      </c>
      <c r="F6" s="97"/>
      <c r="G6" s="222">
        <f>+G7+G33</f>
        <v>12707131.426651876</v>
      </c>
      <c r="H6" s="97">
        <v>0</v>
      </c>
      <c r="I6" s="266"/>
      <c r="J6" s="222">
        <f>+J7+J33</f>
        <v>9739695.9008751046</v>
      </c>
      <c r="K6" s="97"/>
      <c r="L6" s="266"/>
      <c r="M6" s="222">
        <f>+M7+M33</f>
        <v>-203714.54496880734</v>
      </c>
      <c r="N6" s="222"/>
      <c r="O6" s="222"/>
      <c r="P6" s="222">
        <f>+P7+P33</f>
        <v>2668225.4921360137</v>
      </c>
      <c r="Q6" s="222"/>
      <c r="R6" s="266"/>
      <c r="S6" s="222">
        <f>+S7+S33</f>
        <v>12342703.02543699</v>
      </c>
      <c r="T6" s="222"/>
      <c r="U6" s="222"/>
      <c r="V6" s="222">
        <f>+V7+V33</f>
        <v>15952816.864431052</v>
      </c>
      <c r="W6" s="137"/>
      <c r="X6" s="212"/>
      <c r="Y6" s="212"/>
      <c r="Z6" s="222"/>
      <c r="AA6" s="222"/>
      <c r="AB6" s="222">
        <v>13266955.793011969</v>
      </c>
    </row>
    <row r="7" spans="1:28" s="306" customFormat="1" ht="23.1" hidden="1" customHeight="1" outlineLevel="1" collapsed="1">
      <c r="A7" s="220">
        <v>1</v>
      </c>
      <c r="B7" s="220" t="s">
        <v>100</v>
      </c>
      <c r="C7" s="220"/>
      <c r="D7" s="220"/>
      <c r="E7" s="97">
        <v>0</v>
      </c>
      <c r="F7" s="97">
        <v>0</v>
      </c>
      <c r="G7" s="222">
        <f>SUM(G8:G32)</f>
        <v>6709892.7761466866</v>
      </c>
      <c r="H7" s="97">
        <v>0</v>
      </c>
      <c r="I7" s="266"/>
      <c r="J7" s="222">
        <f>SUM(J8:J32)</f>
        <v>4576549.5105048548</v>
      </c>
      <c r="K7" s="222">
        <f>SUM(K8:K31)</f>
        <v>0</v>
      </c>
      <c r="L7" s="266"/>
      <c r="M7" s="222">
        <f>SUM(M8:M32)</f>
        <v>0</v>
      </c>
      <c r="N7" s="222">
        <f>SUM(N12:N30)</f>
        <v>11962</v>
      </c>
      <c r="O7" s="222"/>
      <c r="P7" s="222">
        <f>SUM(P8:P32)</f>
        <v>1186598.8896903608</v>
      </c>
      <c r="Q7" s="222">
        <f>SUM(Q8:Q31)</f>
        <v>11509.41</v>
      </c>
      <c r="R7" s="266"/>
      <c r="S7" s="222">
        <f>SUM(S8:S32)</f>
        <v>6595980.7831965247</v>
      </c>
      <c r="T7" s="222">
        <f>SUM(T8:T31)</f>
        <v>16225.5</v>
      </c>
      <c r="U7" s="222"/>
      <c r="V7" s="222">
        <f>SUM(V8:V32)</f>
        <v>6609727.0682300311</v>
      </c>
      <c r="W7" s="137"/>
      <c r="X7" s="212"/>
      <c r="Y7" s="212"/>
      <c r="Z7" s="222">
        <v>15269.5</v>
      </c>
      <c r="AA7" s="222"/>
      <c r="AB7" s="222">
        <v>6227130.8362094127</v>
      </c>
    </row>
    <row r="8" spans="1:28" s="306" customFormat="1" ht="23.1" hidden="1" customHeight="1" outlineLevel="2">
      <c r="A8" s="223">
        <v>1.1000000000000001</v>
      </c>
      <c r="B8" s="223" t="s">
        <v>101</v>
      </c>
      <c r="C8" s="223" t="s">
        <v>102</v>
      </c>
      <c r="D8" s="223" t="s">
        <v>103</v>
      </c>
      <c r="E8" s="97">
        <v>530.03</v>
      </c>
      <c r="F8" s="97">
        <v>492.40373196330268</v>
      </c>
      <c r="G8" s="205">
        <f t="shared" ref="G8:G32" si="0">+F8*E8</f>
        <v>260988.75005250931</v>
      </c>
      <c r="H8" s="97">
        <v>530.03</v>
      </c>
      <c r="I8" s="267">
        <v>332.50970873786406</v>
      </c>
      <c r="J8" s="205">
        <f t="shared" ref="J8:J32" si="1">+I8*H8</f>
        <v>176240.12092233007</v>
      </c>
      <c r="K8" s="97">
        <f>+人工费!K8</f>
        <v>0</v>
      </c>
      <c r="L8" s="267">
        <f>+R8</f>
        <v>492.40373196330268</v>
      </c>
      <c r="M8" s="205">
        <f t="shared" ref="M8:M32" si="2">+L8*K8</f>
        <v>0</v>
      </c>
      <c r="N8" s="207">
        <f>+T8-Z8</f>
        <v>-230.5</v>
      </c>
      <c r="O8" s="207">
        <f>+U8</f>
        <v>330.7663300970874</v>
      </c>
      <c r="P8" s="205">
        <f>+N8*O8</f>
        <v>-76241.639087378644</v>
      </c>
      <c r="Q8" s="207">
        <f>+人工费!Q8</f>
        <v>530.03</v>
      </c>
      <c r="R8" s="267">
        <v>492.40373196330268</v>
      </c>
      <c r="S8" s="205">
        <f t="shared" ref="S8:S32" si="3">+R8*Q8</f>
        <v>260988.75005250931</v>
      </c>
      <c r="T8" s="206">
        <v>257.5</v>
      </c>
      <c r="U8" s="206">
        <v>330.7663300970874</v>
      </c>
      <c r="V8" s="205">
        <f>+U8*T8</f>
        <v>85172.33</v>
      </c>
      <c r="W8" s="318" t="s">
        <v>307</v>
      </c>
      <c r="X8" s="214"/>
      <c r="Y8" s="214"/>
      <c r="Z8" s="206">
        <v>488</v>
      </c>
      <c r="AA8" s="206">
        <v>333.46077868852456</v>
      </c>
      <c r="AB8" s="322">
        <v>162728.85999999999</v>
      </c>
    </row>
    <row r="9" spans="1:28" s="306" customFormat="1" ht="23.1" hidden="1" customHeight="1" outlineLevel="2">
      <c r="A9" s="223">
        <v>1.2</v>
      </c>
      <c r="B9" s="223" t="s">
        <v>104</v>
      </c>
      <c r="C9" s="223" t="s">
        <v>308</v>
      </c>
      <c r="D9" s="223" t="s">
        <v>103</v>
      </c>
      <c r="E9" s="97">
        <v>3895.64</v>
      </c>
      <c r="F9" s="97">
        <v>575.56491390825693</v>
      </c>
      <c r="G9" s="205">
        <f t="shared" si="0"/>
        <v>2242193.701217562</v>
      </c>
      <c r="H9" s="97">
        <v>3895.64</v>
      </c>
      <c r="I9" s="267">
        <v>388.63689320388352</v>
      </c>
      <c r="J9" s="205">
        <f t="shared" si="1"/>
        <v>1513989.4266407767</v>
      </c>
      <c r="K9" s="97">
        <f>+人工费!K9</f>
        <v>0</v>
      </c>
      <c r="L9" s="267">
        <f t="shared" ref="L9:L31" si="4">+R9</f>
        <v>575.56491390825693</v>
      </c>
      <c r="M9" s="205">
        <f t="shared" si="2"/>
        <v>0</v>
      </c>
      <c r="N9" s="207">
        <f>+T9-Z9</f>
        <v>-7067</v>
      </c>
      <c r="O9" s="207">
        <f>+U9</f>
        <v>330.17464358452139</v>
      </c>
      <c r="P9" s="205">
        <f>+N9*O9</f>
        <v>-2333344.2062118128</v>
      </c>
      <c r="Q9" s="207">
        <f>+人工费!Q9</f>
        <v>3895.64</v>
      </c>
      <c r="R9" s="267">
        <v>575.56491390825693</v>
      </c>
      <c r="S9" s="205">
        <f t="shared" si="3"/>
        <v>2242193.701217562</v>
      </c>
      <c r="T9" s="206">
        <v>491</v>
      </c>
      <c r="U9" s="206">
        <v>330.17464358452139</v>
      </c>
      <c r="V9" s="205">
        <f t="shared" ref="V9:V32" si="5">+U9*T9</f>
        <v>162115.75</v>
      </c>
      <c r="W9" s="318" t="s">
        <v>309</v>
      </c>
      <c r="X9" s="214"/>
      <c r="Y9" s="214"/>
      <c r="Z9" s="206">
        <v>7558</v>
      </c>
      <c r="AA9" s="206">
        <v>397.97682455676102</v>
      </c>
      <c r="AB9" s="322">
        <v>3007908.84</v>
      </c>
    </row>
    <row r="10" spans="1:28" s="306" customFormat="1" ht="23.1" hidden="1" customHeight="1" outlineLevel="2">
      <c r="A10" s="223">
        <v>1.2999999999999998</v>
      </c>
      <c r="B10" s="223" t="s">
        <v>106</v>
      </c>
      <c r="C10" s="223" t="s">
        <v>310</v>
      </c>
      <c r="D10" s="223" t="s">
        <v>103</v>
      </c>
      <c r="E10" s="97">
        <v>1201.57</v>
      </c>
      <c r="F10" s="97">
        <v>647.44887809174304</v>
      </c>
      <c r="G10" s="205">
        <f t="shared" si="0"/>
        <v>777955.14844869566</v>
      </c>
      <c r="H10" s="97">
        <v>1201.57</v>
      </c>
      <c r="I10" s="267">
        <v>447.05485436893201</v>
      </c>
      <c r="J10" s="205">
        <f t="shared" si="1"/>
        <v>537167.70136407763</v>
      </c>
      <c r="K10" s="97">
        <f>+人工费!K10</f>
        <v>0</v>
      </c>
      <c r="L10" s="267">
        <f t="shared" si="4"/>
        <v>647.44887809174304</v>
      </c>
      <c r="M10" s="205">
        <f t="shared" si="2"/>
        <v>0</v>
      </c>
      <c r="N10" s="207">
        <f>+T10-Z10</f>
        <v>-2978.5</v>
      </c>
      <c r="O10" s="207">
        <f>+U10</f>
        <v>358.37068493150684</v>
      </c>
      <c r="P10" s="205">
        <f>+N10*O10</f>
        <v>-1067407.0850684932</v>
      </c>
      <c r="Q10" s="207">
        <f>+人工费!Q10</f>
        <v>1201.57</v>
      </c>
      <c r="R10" s="267">
        <v>647.44887809174304</v>
      </c>
      <c r="S10" s="205">
        <f t="shared" si="3"/>
        <v>777955.14844869566</v>
      </c>
      <c r="T10" s="206">
        <v>36.5</v>
      </c>
      <c r="U10" s="206">
        <v>358.37068493150684</v>
      </c>
      <c r="V10" s="205">
        <f t="shared" si="5"/>
        <v>13080.53</v>
      </c>
      <c r="W10" s="318" t="s">
        <v>311</v>
      </c>
      <c r="X10" s="214"/>
      <c r="Y10" s="214"/>
      <c r="Z10" s="206">
        <v>3015</v>
      </c>
      <c r="AA10" s="206">
        <v>449.36518739635102</v>
      </c>
      <c r="AB10" s="322">
        <v>1354836.0399999984</v>
      </c>
    </row>
    <row r="11" spans="1:28" s="306" customFormat="1" ht="23.1" hidden="1" customHeight="1" outlineLevel="2">
      <c r="A11" s="223">
        <v>1.3999999999999997</v>
      </c>
      <c r="B11" s="223" t="s">
        <v>108</v>
      </c>
      <c r="C11" s="223" t="s">
        <v>312</v>
      </c>
      <c r="D11" s="223" t="s">
        <v>103</v>
      </c>
      <c r="E11" s="97">
        <v>182.21</v>
      </c>
      <c r="F11" s="97">
        <v>564.53429636697251</v>
      </c>
      <c r="G11" s="205">
        <f t="shared" si="0"/>
        <v>102863.79414102607</v>
      </c>
      <c r="H11" s="97">
        <v>182.21</v>
      </c>
      <c r="I11" s="267">
        <v>388.7063106796117</v>
      </c>
      <c r="J11" s="205">
        <f t="shared" si="1"/>
        <v>70826.176868932045</v>
      </c>
      <c r="K11" s="97">
        <f>+人工费!K11</f>
        <v>0</v>
      </c>
      <c r="L11" s="267">
        <f t="shared" si="4"/>
        <v>564.53429636697251</v>
      </c>
      <c r="M11" s="205">
        <f t="shared" si="2"/>
        <v>0</v>
      </c>
      <c r="N11" s="207">
        <f>+T11-Z11</f>
        <v>-762</v>
      </c>
      <c r="O11" s="207">
        <f>+U11</f>
        <v>359.565</v>
      </c>
      <c r="P11" s="205">
        <f>+N11*O11</f>
        <v>-273988.52999999997</v>
      </c>
      <c r="Q11" s="207">
        <f>+人工费!Q11</f>
        <v>182.21</v>
      </c>
      <c r="R11" s="267">
        <v>564.53429636697251</v>
      </c>
      <c r="S11" s="205">
        <f t="shared" si="3"/>
        <v>102863.79414102607</v>
      </c>
      <c r="T11" s="206">
        <v>6</v>
      </c>
      <c r="U11" s="206">
        <v>359.565</v>
      </c>
      <c r="V11" s="205">
        <f t="shared" si="5"/>
        <v>2157.39</v>
      </c>
      <c r="W11" s="318" t="s">
        <v>313</v>
      </c>
      <c r="X11" s="214"/>
      <c r="Y11" s="214"/>
      <c r="Z11" s="206">
        <v>768</v>
      </c>
      <c r="AA11" s="206">
        <v>401.71936197916699</v>
      </c>
      <c r="AB11" s="322">
        <v>308520.47000000026</v>
      </c>
    </row>
    <row r="12" spans="1:28" s="306" customFormat="1" ht="23.1" hidden="1" customHeight="1" outlineLevel="2">
      <c r="A12" s="223">
        <v>1.4999999999999996</v>
      </c>
      <c r="B12" s="223" t="s">
        <v>110</v>
      </c>
      <c r="C12" s="223" t="s">
        <v>105</v>
      </c>
      <c r="D12" s="223" t="s">
        <v>103</v>
      </c>
      <c r="E12" s="97">
        <v>481.52</v>
      </c>
      <c r="F12" s="97">
        <v>575.56491390825693</v>
      </c>
      <c r="G12" s="205">
        <f t="shared" si="0"/>
        <v>277146.01734510384</v>
      </c>
      <c r="H12" s="97">
        <v>481.52</v>
      </c>
      <c r="I12" s="267">
        <v>388.63689320388352</v>
      </c>
      <c r="J12" s="205">
        <f t="shared" si="1"/>
        <v>187136.43681553399</v>
      </c>
      <c r="K12" s="97">
        <f>+人工费!K12</f>
        <v>0</v>
      </c>
      <c r="L12" s="267">
        <f t="shared" si="4"/>
        <v>575.56491390825693</v>
      </c>
      <c r="M12" s="205">
        <f t="shared" si="2"/>
        <v>0</v>
      </c>
      <c r="N12" s="207">
        <f>+T12-Z12</f>
        <v>-222</v>
      </c>
      <c r="O12" s="207">
        <f>+U12</f>
        <v>367.05225665648186</v>
      </c>
      <c r="P12" s="205">
        <f>+N12*O12</f>
        <v>-81485.60097773897</v>
      </c>
      <c r="Q12" s="207">
        <f>+人工费!Q12</f>
        <v>481.52</v>
      </c>
      <c r="R12" s="267">
        <v>575.56491390825693</v>
      </c>
      <c r="S12" s="205">
        <f t="shared" si="3"/>
        <v>277146.01734510384</v>
      </c>
      <c r="T12" s="206">
        <v>1142.5</v>
      </c>
      <c r="U12" s="206">
        <v>367.05225665648186</v>
      </c>
      <c r="V12" s="205">
        <f t="shared" si="5"/>
        <v>419357.20323003054</v>
      </c>
      <c r="W12" s="318" t="s">
        <v>314</v>
      </c>
      <c r="X12" s="214"/>
      <c r="Y12" s="214"/>
      <c r="Z12" s="205">
        <v>1364.5</v>
      </c>
      <c r="AA12" s="207">
        <v>373.96229843123001</v>
      </c>
      <c r="AB12" s="205">
        <v>510271.55620941333</v>
      </c>
    </row>
    <row r="13" spans="1:28" s="306" customFormat="1" ht="23.1" hidden="1" customHeight="1" outlineLevel="2">
      <c r="A13" s="223">
        <v>1.5999999999999994</v>
      </c>
      <c r="B13" s="223" t="s">
        <v>111</v>
      </c>
      <c r="C13" s="223" t="s">
        <v>112</v>
      </c>
      <c r="D13" s="223" t="s">
        <v>103</v>
      </c>
      <c r="E13" s="97">
        <v>394.28</v>
      </c>
      <c r="F13" s="97">
        <v>573.952527853211</v>
      </c>
      <c r="G13" s="205">
        <f t="shared" si="0"/>
        <v>226298.00268196402</v>
      </c>
      <c r="H13" s="97">
        <v>394.28</v>
      </c>
      <c r="I13" s="267">
        <v>387.3747572815534</v>
      </c>
      <c r="J13" s="205">
        <f t="shared" si="1"/>
        <v>152734.11930097087</v>
      </c>
      <c r="K13" s="97">
        <f>+人工费!K13</f>
        <v>0</v>
      </c>
      <c r="L13" s="267">
        <f t="shared" si="4"/>
        <v>573.952527853211</v>
      </c>
      <c r="M13" s="205">
        <f t="shared" si="2"/>
        <v>0</v>
      </c>
      <c r="N13" s="207">
        <f t="shared" ref="N13:N30" si="6">+T13-Z13</f>
        <v>-1193</v>
      </c>
      <c r="O13" s="207">
        <f t="shared" ref="O13:O30" si="7">+U13</f>
        <v>381.90499999999997</v>
      </c>
      <c r="P13" s="97">
        <f t="shared" ref="P13:P32" si="8">+V13-AB13</f>
        <v>-527724.67500000005</v>
      </c>
      <c r="Q13" s="207">
        <f>+人工费!Q13</f>
        <v>394.28</v>
      </c>
      <c r="R13" s="267">
        <v>573.952527853211</v>
      </c>
      <c r="S13" s="205">
        <f t="shared" si="3"/>
        <v>226298.00268196402</v>
      </c>
      <c r="T13" s="206">
        <v>3</v>
      </c>
      <c r="U13" s="206">
        <v>381.90499999999997</v>
      </c>
      <c r="V13" s="205">
        <f t="shared" si="5"/>
        <v>1145.7149999999999</v>
      </c>
      <c r="W13" s="318" t="s">
        <v>315</v>
      </c>
      <c r="X13" s="214"/>
      <c r="Y13" s="214"/>
      <c r="Z13" s="205">
        <v>1196</v>
      </c>
      <c r="AA13" s="207">
        <v>442.19932274247498</v>
      </c>
      <c r="AB13" s="205">
        <v>528870.39</v>
      </c>
    </row>
    <row r="14" spans="1:28" s="306" customFormat="1" ht="23.1" hidden="1" customHeight="1" outlineLevel="2">
      <c r="A14" s="223">
        <v>1.6999999999999993</v>
      </c>
      <c r="B14" s="223" t="s">
        <v>113</v>
      </c>
      <c r="C14" s="223" t="s">
        <v>114</v>
      </c>
      <c r="D14" s="223" t="s">
        <v>103</v>
      </c>
      <c r="E14" s="97">
        <v>560.17999999999995</v>
      </c>
      <c r="F14" s="97">
        <v>572.33065717431191</v>
      </c>
      <c r="G14" s="205">
        <f t="shared" si="0"/>
        <v>320608.18753590604</v>
      </c>
      <c r="H14" s="97">
        <v>560.17999999999995</v>
      </c>
      <c r="I14" s="267">
        <v>386.11262135922334</v>
      </c>
      <c r="J14" s="205">
        <f t="shared" si="1"/>
        <v>216292.56823300972</v>
      </c>
      <c r="K14" s="97">
        <f>+人工费!K14</f>
        <v>0</v>
      </c>
      <c r="L14" s="267">
        <f t="shared" si="4"/>
        <v>572.33065717431191</v>
      </c>
      <c r="M14" s="205">
        <f t="shared" si="2"/>
        <v>0</v>
      </c>
      <c r="N14" s="207">
        <f t="shared" si="6"/>
        <v>-595</v>
      </c>
      <c r="O14" s="207">
        <f t="shared" si="7"/>
        <v>0</v>
      </c>
      <c r="P14" s="97">
        <f t="shared" si="8"/>
        <v>-256762.70000000004</v>
      </c>
      <c r="Q14" s="207">
        <f>+人工费!Q14</f>
        <v>560.17999999999995</v>
      </c>
      <c r="R14" s="267">
        <v>572.33065717431191</v>
      </c>
      <c r="S14" s="205">
        <f t="shared" si="3"/>
        <v>320608.18753590604</v>
      </c>
      <c r="T14" s="206">
        <v>0</v>
      </c>
      <c r="U14" s="206">
        <v>0</v>
      </c>
      <c r="V14" s="205">
        <f t="shared" si="5"/>
        <v>0</v>
      </c>
      <c r="W14" s="318" t="s">
        <v>316</v>
      </c>
      <c r="X14" s="214"/>
      <c r="Y14" s="214"/>
      <c r="Z14" s="205">
        <v>595</v>
      </c>
      <c r="AA14" s="207">
        <v>431.53394957983198</v>
      </c>
      <c r="AB14" s="205">
        <v>256762.70000000004</v>
      </c>
    </row>
    <row r="15" spans="1:28" s="306" customFormat="1" ht="23.1" hidden="1" customHeight="1" outlineLevel="2">
      <c r="A15" s="223">
        <v>1.7999999999999992</v>
      </c>
      <c r="B15" s="223" t="s">
        <v>115</v>
      </c>
      <c r="C15" s="223" t="s">
        <v>116</v>
      </c>
      <c r="D15" s="223" t="s">
        <v>103</v>
      </c>
      <c r="E15" s="97">
        <v>335.64</v>
      </c>
      <c r="F15" s="97">
        <v>545.5840179082569</v>
      </c>
      <c r="G15" s="205">
        <f t="shared" si="0"/>
        <v>183119.81977072734</v>
      </c>
      <c r="H15" s="97">
        <v>335.64</v>
      </c>
      <c r="I15" s="267">
        <v>381.06407766990293</v>
      </c>
      <c r="J15" s="205">
        <f t="shared" si="1"/>
        <v>127900.34702912622</v>
      </c>
      <c r="K15" s="97">
        <f>+人工费!K15</f>
        <v>0</v>
      </c>
      <c r="L15" s="267">
        <f t="shared" si="4"/>
        <v>545.5840179082569</v>
      </c>
      <c r="M15" s="205">
        <f t="shared" si="2"/>
        <v>0</v>
      </c>
      <c r="N15" s="207">
        <f t="shared" si="6"/>
        <v>413</v>
      </c>
      <c r="O15" s="207">
        <f t="shared" si="7"/>
        <v>393.29256658595602</v>
      </c>
      <c r="P15" s="97">
        <f t="shared" si="8"/>
        <v>162429.82999999984</v>
      </c>
      <c r="Q15" s="207">
        <f>+人工费!Q15</f>
        <v>335.64</v>
      </c>
      <c r="R15" s="267">
        <v>545.5840179082569</v>
      </c>
      <c r="S15" s="205">
        <f t="shared" si="3"/>
        <v>183119.81977072734</v>
      </c>
      <c r="T15" s="206">
        <v>413</v>
      </c>
      <c r="U15" s="206">
        <v>393.29256658595602</v>
      </c>
      <c r="V15" s="205">
        <f t="shared" si="5"/>
        <v>162429.82999999984</v>
      </c>
      <c r="W15" s="318" t="s">
        <v>317</v>
      </c>
      <c r="X15" s="214"/>
      <c r="Y15" s="214"/>
      <c r="Z15" s="207"/>
      <c r="AA15" s="207"/>
      <c r="AB15" s="205">
        <v>0</v>
      </c>
    </row>
    <row r="16" spans="1:28" s="306" customFormat="1" ht="23.1" hidden="1" customHeight="1" outlineLevel="2">
      <c r="A16" s="223">
        <v>1.899999999999999</v>
      </c>
      <c r="B16" s="223" t="s">
        <v>117</v>
      </c>
      <c r="C16" s="223" t="s">
        <v>116</v>
      </c>
      <c r="D16" s="223" t="s">
        <v>103</v>
      </c>
      <c r="E16" s="97">
        <v>39.15</v>
      </c>
      <c r="F16" s="97">
        <v>545.5840179082569</v>
      </c>
      <c r="G16" s="205">
        <f t="shared" si="0"/>
        <v>21359.614301108257</v>
      </c>
      <c r="H16" s="97">
        <v>39.15</v>
      </c>
      <c r="I16" s="267">
        <v>381.06407766990293</v>
      </c>
      <c r="J16" s="205">
        <f t="shared" si="1"/>
        <v>14918.658640776699</v>
      </c>
      <c r="K16" s="97">
        <f>+人工费!K16</f>
        <v>0</v>
      </c>
      <c r="L16" s="267">
        <f t="shared" si="4"/>
        <v>545.5840179082569</v>
      </c>
      <c r="M16" s="205">
        <f t="shared" si="2"/>
        <v>0</v>
      </c>
      <c r="N16" s="207">
        <f t="shared" si="6"/>
        <v>1956.5</v>
      </c>
      <c r="O16" s="207">
        <f t="shared" si="7"/>
        <v>375.54733452593899</v>
      </c>
      <c r="P16" s="97">
        <f t="shared" si="8"/>
        <v>734758.35999999964</v>
      </c>
      <c r="Q16" s="207">
        <f>+人工费!Q16</f>
        <v>39.15</v>
      </c>
      <c r="R16" s="267">
        <v>545.5840179082569</v>
      </c>
      <c r="S16" s="205">
        <f t="shared" si="3"/>
        <v>21359.614301108257</v>
      </c>
      <c r="T16" s="206">
        <v>1956.5</v>
      </c>
      <c r="U16" s="206">
        <v>375.54733452593899</v>
      </c>
      <c r="V16" s="205">
        <f t="shared" si="5"/>
        <v>734758.35999999964</v>
      </c>
      <c r="W16" s="318" t="s">
        <v>318</v>
      </c>
      <c r="X16" s="214"/>
      <c r="Y16" s="214"/>
      <c r="Z16" s="207"/>
      <c r="AA16" s="207"/>
      <c r="AB16" s="205">
        <v>0</v>
      </c>
    </row>
    <row r="17" spans="1:28" s="306" customFormat="1" ht="23.1" hidden="1" customHeight="1" outlineLevel="2">
      <c r="A17" s="267">
        <v>1.1000000000000001</v>
      </c>
      <c r="B17" s="223" t="s">
        <v>118</v>
      </c>
      <c r="C17" s="223" t="s">
        <v>119</v>
      </c>
      <c r="D17" s="223" t="s">
        <v>103</v>
      </c>
      <c r="E17" s="97">
        <v>1349.99</v>
      </c>
      <c r="F17" s="97">
        <v>572.33065717431191</v>
      </c>
      <c r="G17" s="205">
        <f t="shared" si="0"/>
        <v>772640.66387874936</v>
      </c>
      <c r="H17" s="97">
        <v>1349.99</v>
      </c>
      <c r="I17" s="267">
        <v>386.11262135922334</v>
      </c>
      <c r="J17" s="205">
        <f t="shared" si="1"/>
        <v>521248.1777087379</v>
      </c>
      <c r="K17" s="97">
        <f>+人工费!K17</f>
        <v>0</v>
      </c>
      <c r="L17" s="267">
        <f t="shared" si="4"/>
        <v>572.33065717431191</v>
      </c>
      <c r="M17" s="205">
        <f t="shared" si="2"/>
        <v>0</v>
      </c>
      <c r="N17" s="207">
        <f t="shared" si="6"/>
        <v>0</v>
      </c>
      <c r="O17" s="207">
        <f t="shared" si="7"/>
        <v>0</v>
      </c>
      <c r="P17" s="97">
        <f t="shared" si="8"/>
        <v>0</v>
      </c>
      <c r="Q17" s="207">
        <f>+人工费!Q17</f>
        <v>1349.99</v>
      </c>
      <c r="R17" s="267">
        <v>572.33065717431191</v>
      </c>
      <c r="S17" s="205">
        <f t="shared" si="3"/>
        <v>772640.66387874936</v>
      </c>
      <c r="T17" s="206">
        <v>0</v>
      </c>
      <c r="U17" s="206">
        <v>0</v>
      </c>
      <c r="V17" s="205">
        <f t="shared" si="5"/>
        <v>0</v>
      </c>
      <c r="W17" s="318" t="s">
        <v>319</v>
      </c>
      <c r="X17" s="214"/>
      <c r="Y17" s="214"/>
      <c r="Z17" s="207"/>
      <c r="AA17" s="207"/>
      <c r="AB17" s="205">
        <v>0</v>
      </c>
    </row>
    <row r="18" spans="1:28" s="306" customFormat="1" ht="23.1" hidden="1" customHeight="1" outlineLevel="2">
      <c r="A18" s="223">
        <v>1.1100000000000001</v>
      </c>
      <c r="B18" s="223" t="s">
        <v>120</v>
      </c>
      <c r="C18" s="223" t="s">
        <v>116</v>
      </c>
      <c r="D18" s="223" t="s">
        <v>103</v>
      </c>
      <c r="E18" s="97">
        <v>1871.42</v>
      </c>
      <c r="F18" s="97">
        <v>545.5840179082569</v>
      </c>
      <c r="G18" s="205">
        <f t="shared" si="0"/>
        <v>1021016.8427938701</v>
      </c>
      <c r="H18" s="97">
        <v>1871.42</v>
      </c>
      <c r="I18" s="267">
        <v>381.06407766990293</v>
      </c>
      <c r="J18" s="205">
        <f t="shared" si="1"/>
        <v>713130.93623300979</v>
      </c>
      <c r="K18" s="97">
        <f>+人工费!K18</f>
        <v>0</v>
      </c>
      <c r="L18" s="267">
        <f t="shared" si="4"/>
        <v>545.5840179082569</v>
      </c>
      <c r="M18" s="205">
        <f t="shared" si="2"/>
        <v>0</v>
      </c>
      <c r="N18" s="207">
        <f t="shared" si="6"/>
        <v>771</v>
      </c>
      <c r="O18" s="207">
        <f t="shared" si="7"/>
        <v>408.21483787289202</v>
      </c>
      <c r="P18" s="97">
        <f t="shared" si="8"/>
        <v>314733.63999999972</v>
      </c>
      <c r="Q18" s="207">
        <f>+人工费!Q18</f>
        <v>1871.42</v>
      </c>
      <c r="R18" s="267">
        <v>545.5840179082569</v>
      </c>
      <c r="S18" s="205">
        <f t="shared" si="3"/>
        <v>1021016.8427938701</v>
      </c>
      <c r="T18" s="206">
        <v>771</v>
      </c>
      <c r="U18" s="206">
        <v>408.21483787289202</v>
      </c>
      <c r="V18" s="205">
        <f t="shared" si="5"/>
        <v>314733.63999999972</v>
      </c>
      <c r="W18" s="318" t="s">
        <v>320</v>
      </c>
      <c r="X18" s="214"/>
      <c r="Y18" s="214"/>
      <c r="Z18" s="207"/>
      <c r="AA18" s="207"/>
      <c r="AB18" s="205">
        <v>0</v>
      </c>
    </row>
    <row r="19" spans="1:28" s="306" customFormat="1" ht="23.1" hidden="1" customHeight="1" outlineLevel="2">
      <c r="A19" s="267">
        <v>1.1200000000000001</v>
      </c>
      <c r="B19" s="223" t="s">
        <v>121</v>
      </c>
      <c r="C19" s="223" t="s">
        <v>116</v>
      </c>
      <c r="D19" s="223" t="s">
        <v>103</v>
      </c>
      <c r="E19" s="97">
        <v>155.94</v>
      </c>
      <c r="F19" s="97">
        <v>545.5840179082569</v>
      </c>
      <c r="G19" s="205">
        <f t="shared" si="0"/>
        <v>85078.371752613573</v>
      </c>
      <c r="H19" s="97">
        <v>155.94</v>
      </c>
      <c r="I19" s="267">
        <v>381.06407766990293</v>
      </c>
      <c r="J19" s="205">
        <f t="shared" si="1"/>
        <v>59423.132271844661</v>
      </c>
      <c r="K19" s="97">
        <f>+人工费!K19</f>
        <v>0</v>
      </c>
      <c r="L19" s="267">
        <f t="shared" si="4"/>
        <v>545.5840179082569</v>
      </c>
      <c r="M19" s="205">
        <f t="shared" si="2"/>
        <v>0</v>
      </c>
      <c r="N19" s="207">
        <f t="shared" si="6"/>
        <v>315</v>
      </c>
      <c r="O19" s="207">
        <f t="shared" si="7"/>
        <v>380.72815873015901</v>
      </c>
      <c r="P19" s="97">
        <f t="shared" si="8"/>
        <v>119929.37000000008</v>
      </c>
      <c r="Q19" s="207">
        <f>+人工费!Q19</f>
        <v>155.94</v>
      </c>
      <c r="R19" s="267">
        <v>545.5840179082569</v>
      </c>
      <c r="S19" s="205">
        <f t="shared" si="3"/>
        <v>85078.371752613573</v>
      </c>
      <c r="T19" s="206">
        <v>315</v>
      </c>
      <c r="U19" s="206">
        <v>380.72815873015901</v>
      </c>
      <c r="V19" s="205">
        <f t="shared" si="5"/>
        <v>119929.37000000008</v>
      </c>
      <c r="W19" s="318" t="s">
        <v>321</v>
      </c>
      <c r="X19" s="214"/>
      <c r="Y19" s="214"/>
      <c r="Z19" s="207"/>
      <c r="AA19" s="207"/>
      <c r="AB19" s="205">
        <v>0</v>
      </c>
    </row>
    <row r="20" spans="1:28" s="306" customFormat="1" ht="23.1" hidden="1" customHeight="1" outlineLevel="2">
      <c r="A20" s="223">
        <v>1.1300000000000001</v>
      </c>
      <c r="B20" s="223" t="s">
        <v>122</v>
      </c>
      <c r="C20" s="223" t="s">
        <v>123</v>
      </c>
      <c r="D20" s="223" t="s">
        <v>103</v>
      </c>
      <c r="E20" s="97">
        <v>141.94</v>
      </c>
      <c r="F20" s="97">
        <v>593.72796858715594</v>
      </c>
      <c r="G20" s="205">
        <f t="shared" si="0"/>
        <v>84273.747861260912</v>
      </c>
      <c r="H20" s="97">
        <v>141.94</v>
      </c>
      <c r="I20" s="267">
        <v>396.27912621359229</v>
      </c>
      <c r="J20" s="205">
        <f t="shared" si="1"/>
        <v>56247.859174757286</v>
      </c>
      <c r="K20" s="97">
        <f>+人工费!K20</f>
        <v>0</v>
      </c>
      <c r="L20" s="267">
        <f t="shared" si="4"/>
        <v>593.72796858715594</v>
      </c>
      <c r="M20" s="205">
        <f t="shared" si="2"/>
        <v>0</v>
      </c>
      <c r="N20" s="207">
        <f t="shared" si="6"/>
        <v>4515.5</v>
      </c>
      <c r="O20" s="207">
        <f t="shared" si="7"/>
        <v>407.15036430074201</v>
      </c>
      <c r="P20" s="97">
        <f t="shared" si="8"/>
        <v>1838487.4700000007</v>
      </c>
      <c r="Q20" s="207">
        <f>+人工费!Q20</f>
        <v>141.94</v>
      </c>
      <c r="R20" s="267">
        <v>593.72796858715594</v>
      </c>
      <c r="S20" s="205">
        <f t="shared" si="3"/>
        <v>84273.747861260912</v>
      </c>
      <c r="T20" s="206">
        <v>4515.5</v>
      </c>
      <c r="U20" s="206">
        <v>407.15036430074201</v>
      </c>
      <c r="V20" s="205">
        <f t="shared" si="5"/>
        <v>1838487.4700000007</v>
      </c>
      <c r="W20" s="319" t="s">
        <v>322</v>
      </c>
      <c r="X20" s="214"/>
      <c r="Y20" s="214"/>
      <c r="Z20" s="207"/>
      <c r="AA20" s="207"/>
      <c r="AB20" s="205">
        <v>0</v>
      </c>
    </row>
    <row r="21" spans="1:28" s="306" customFormat="1" ht="23.1" hidden="1" customHeight="1" outlineLevel="2">
      <c r="A21" s="267">
        <v>1.1400000000000001</v>
      </c>
      <c r="B21" s="223" t="s">
        <v>124</v>
      </c>
      <c r="C21" s="223" t="s">
        <v>125</v>
      </c>
      <c r="D21" s="223" t="s">
        <v>103</v>
      </c>
      <c r="E21" s="97">
        <v>26.5</v>
      </c>
      <c r="F21" s="97">
        <v>592.11558253211001</v>
      </c>
      <c r="G21" s="205">
        <f t="shared" si="0"/>
        <v>15691.062937100914</v>
      </c>
      <c r="H21" s="97">
        <v>26.5</v>
      </c>
      <c r="I21" s="267">
        <v>395.01699029126218</v>
      </c>
      <c r="J21" s="205">
        <f t="shared" si="1"/>
        <v>10467.950242718447</v>
      </c>
      <c r="K21" s="97">
        <f>+人工费!K21</f>
        <v>0</v>
      </c>
      <c r="L21" s="267">
        <f t="shared" si="4"/>
        <v>592.11558253211001</v>
      </c>
      <c r="M21" s="205">
        <f t="shared" si="2"/>
        <v>0</v>
      </c>
      <c r="N21" s="207">
        <f t="shared" si="6"/>
        <v>358</v>
      </c>
      <c r="O21" s="207">
        <f t="shared" si="7"/>
        <v>385.72673184357501</v>
      </c>
      <c r="P21" s="97">
        <f t="shared" si="8"/>
        <v>138090.16999999987</v>
      </c>
      <c r="Q21" s="207">
        <f>+人工费!Q21</f>
        <v>26.5</v>
      </c>
      <c r="R21" s="267">
        <v>592.11558253211001</v>
      </c>
      <c r="S21" s="205">
        <f t="shared" si="3"/>
        <v>15691.062937100914</v>
      </c>
      <c r="T21" s="206">
        <v>358</v>
      </c>
      <c r="U21" s="206">
        <v>385.72673184357501</v>
      </c>
      <c r="V21" s="205">
        <f t="shared" si="5"/>
        <v>138090.16999999987</v>
      </c>
      <c r="W21" s="319" t="s">
        <v>323</v>
      </c>
      <c r="X21" s="214"/>
      <c r="Y21" s="214"/>
      <c r="Z21" s="207"/>
      <c r="AA21" s="207"/>
      <c r="AB21" s="205">
        <v>0</v>
      </c>
    </row>
    <row r="22" spans="1:28" s="307" customFormat="1" ht="23.1" hidden="1" customHeight="1" outlineLevel="2">
      <c r="A22" s="223">
        <v>1.1500000000000001</v>
      </c>
      <c r="B22" s="223" t="s">
        <v>126</v>
      </c>
      <c r="C22" s="223" t="s">
        <v>127</v>
      </c>
      <c r="D22" s="223" t="s">
        <v>103</v>
      </c>
      <c r="E22" s="97">
        <v>90.52</v>
      </c>
      <c r="F22" s="97">
        <v>590.50319647706419</v>
      </c>
      <c r="G22" s="205">
        <f t="shared" si="0"/>
        <v>53452.349345103845</v>
      </c>
      <c r="H22" s="97">
        <v>90.52</v>
      </c>
      <c r="I22" s="267">
        <v>393.75485436893211</v>
      </c>
      <c r="J22" s="205">
        <f t="shared" si="1"/>
        <v>35642.689417475733</v>
      </c>
      <c r="K22" s="97">
        <f>+人工费!K22</f>
        <v>0</v>
      </c>
      <c r="L22" s="267">
        <f t="shared" si="4"/>
        <v>590.50319647706419</v>
      </c>
      <c r="M22" s="205">
        <f t="shared" si="2"/>
        <v>0</v>
      </c>
      <c r="N22" s="207">
        <f t="shared" si="6"/>
        <v>149</v>
      </c>
      <c r="O22" s="207">
        <f t="shared" si="7"/>
        <v>412.4271812080537</v>
      </c>
      <c r="P22" s="97">
        <f t="shared" si="8"/>
        <v>61451.65</v>
      </c>
      <c r="Q22" s="207">
        <f>+人工费!Q22</f>
        <v>90.52</v>
      </c>
      <c r="R22" s="267">
        <v>590.50319647706419</v>
      </c>
      <c r="S22" s="205">
        <f t="shared" si="3"/>
        <v>53452.349345103845</v>
      </c>
      <c r="T22" s="206">
        <v>149</v>
      </c>
      <c r="U22" s="206">
        <v>412.4271812080537</v>
      </c>
      <c r="V22" s="205">
        <f t="shared" si="5"/>
        <v>61451.65</v>
      </c>
      <c r="W22" s="319" t="s">
        <v>324</v>
      </c>
      <c r="X22" s="214"/>
      <c r="Y22" s="214"/>
      <c r="Z22" s="207"/>
      <c r="AA22" s="207"/>
      <c r="AB22" s="205">
        <v>0</v>
      </c>
    </row>
    <row r="23" spans="1:28" s="306" customFormat="1" ht="23.1" hidden="1" customHeight="1" outlineLevel="2">
      <c r="A23" s="267">
        <v>1.1600000000000001</v>
      </c>
      <c r="B23" s="223" t="s">
        <v>128</v>
      </c>
      <c r="C23" s="223" t="s">
        <v>129</v>
      </c>
      <c r="D23" s="223" t="s">
        <v>103</v>
      </c>
      <c r="E23" s="97">
        <v>86.71</v>
      </c>
      <c r="F23" s="97">
        <v>673.40829357798157</v>
      </c>
      <c r="G23" s="205">
        <f t="shared" si="0"/>
        <v>58391.23313614678</v>
      </c>
      <c r="H23" s="97">
        <v>86.71</v>
      </c>
      <c r="I23" s="267">
        <v>452.10339805825242</v>
      </c>
      <c r="J23" s="205">
        <f t="shared" si="1"/>
        <v>39201.885645631068</v>
      </c>
      <c r="K23" s="97">
        <f>+人工费!K23</f>
        <v>0</v>
      </c>
      <c r="L23" s="267">
        <f t="shared" si="4"/>
        <v>673.40829357798157</v>
      </c>
      <c r="M23" s="205">
        <f t="shared" si="2"/>
        <v>0</v>
      </c>
      <c r="N23" s="207">
        <f t="shared" si="6"/>
        <v>0</v>
      </c>
      <c r="O23" s="207">
        <f t="shared" si="7"/>
        <v>0</v>
      </c>
      <c r="P23" s="97">
        <f t="shared" si="8"/>
        <v>0</v>
      </c>
      <c r="Q23" s="207">
        <f>+人工费!Q23</f>
        <v>86.71</v>
      </c>
      <c r="R23" s="267">
        <v>673.40829357798157</v>
      </c>
      <c r="S23" s="205">
        <f t="shared" si="3"/>
        <v>58391.23313614678</v>
      </c>
      <c r="T23" s="206">
        <v>0</v>
      </c>
      <c r="U23" s="206">
        <v>0</v>
      </c>
      <c r="V23" s="205">
        <f t="shared" si="5"/>
        <v>0</v>
      </c>
      <c r="W23" s="319" t="s">
        <v>325</v>
      </c>
      <c r="X23" s="214"/>
      <c r="Y23" s="214"/>
      <c r="Z23" s="207"/>
      <c r="AA23" s="207"/>
      <c r="AB23" s="205">
        <v>0</v>
      </c>
    </row>
    <row r="24" spans="1:28" s="306" customFormat="1" ht="23.1" hidden="1" customHeight="1" outlineLevel="2">
      <c r="A24" s="223">
        <v>1.1700000000000002</v>
      </c>
      <c r="B24" s="223" t="s">
        <v>130</v>
      </c>
      <c r="C24" s="223" t="s">
        <v>109</v>
      </c>
      <c r="D24" s="223" t="s">
        <v>103</v>
      </c>
      <c r="E24" s="97">
        <v>109.07</v>
      </c>
      <c r="F24" s="97">
        <v>563.74707258715591</v>
      </c>
      <c r="G24" s="205">
        <f t="shared" si="0"/>
        <v>61487.893207081092</v>
      </c>
      <c r="H24" s="97">
        <v>109.07</v>
      </c>
      <c r="I24" s="267">
        <v>388.7063106796117</v>
      </c>
      <c r="J24" s="205">
        <f t="shared" si="1"/>
        <v>42396.197305825248</v>
      </c>
      <c r="K24" s="97">
        <f>+人工费!K24</f>
        <v>0</v>
      </c>
      <c r="L24" s="267">
        <f t="shared" si="4"/>
        <v>563.74707258715591</v>
      </c>
      <c r="M24" s="205">
        <f t="shared" si="2"/>
        <v>0</v>
      </c>
      <c r="N24" s="207">
        <f t="shared" si="6"/>
        <v>81</v>
      </c>
      <c r="O24" s="207">
        <f t="shared" si="7"/>
        <v>418.25246913580241</v>
      </c>
      <c r="P24" s="97">
        <f t="shared" si="8"/>
        <v>33878.449999999997</v>
      </c>
      <c r="Q24" s="207">
        <f>+人工费!Q24</f>
        <v>109.07</v>
      </c>
      <c r="R24" s="267">
        <v>563.74707258715591</v>
      </c>
      <c r="S24" s="205">
        <f t="shared" si="3"/>
        <v>61487.893207081092</v>
      </c>
      <c r="T24" s="206">
        <v>81</v>
      </c>
      <c r="U24" s="206">
        <v>418.25246913580241</v>
      </c>
      <c r="V24" s="205">
        <f t="shared" si="5"/>
        <v>33878.449999999997</v>
      </c>
      <c r="W24" s="319" t="s">
        <v>326</v>
      </c>
      <c r="X24" s="214"/>
      <c r="Y24" s="214"/>
      <c r="Z24" s="207"/>
      <c r="AA24" s="207"/>
      <c r="AB24" s="205">
        <v>0</v>
      </c>
    </row>
    <row r="25" spans="1:28" s="306" customFormat="1" ht="23.1" hidden="1" customHeight="1" outlineLevel="2">
      <c r="A25" s="267">
        <v>1.1800000000000002</v>
      </c>
      <c r="B25" s="223" t="s">
        <v>131</v>
      </c>
      <c r="C25" s="223" t="s">
        <v>116</v>
      </c>
      <c r="D25" s="223" t="s">
        <v>103</v>
      </c>
      <c r="E25" s="97">
        <v>25.9</v>
      </c>
      <c r="F25" s="97">
        <v>545.5840179082569</v>
      </c>
      <c r="G25" s="205">
        <f t="shared" si="0"/>
        <v>14130.626063823853</v>
      </c>
      <c r="H25" s="97">
        <v>25.9</v>
      </c>
      <c r="I25" s="267">
        <v>381.06407766990293</v>
      </c>
      <c r="J25" s="205">
        <f t="shared" si="1"/>
        <v>9869.5596116504857</v>
      </c>
      <c r="K25" s="97">
        <f>+人工费!K25</f>
        <v>0</v>
      </c>
      <c r="L25" s="267">
        <f t="shared" si="4"/>
        <v>545.5840179082569</v>
      </c>
      <c r="M25" s="205">
        <f t="shared" si="2"/>
        <v>0</v>
      </c>
      <c r="N25" s="207">
        <f t="shared" si="6"/>
        <v>180</v>
      </c>
      <c r="O25" s="207">
        <f t="shared" si="7"/>
        <v>417.2233333333333</v>
      </c>
      <c r="P25" s="97">
        <f t="shared" si="8"/>
        <v>75100.2</v>
      </c>
      <c r="Q25" s="207">
        <f>+人工费!Q25</f>
        <v>26.01</v>
      </c>
      <c r="R25" s="267">
        <v>545.5840179082569</v>
      </c>
      <c r="S25" s="205">
        <f t="shared" si="3"/>
        <v>14190.640305793762</v>
      </c>
      <c r="T25" s="206">
        <v>180</v>
      </c>
      <c r="U25" s="206">
        <v>417.2233333333333</v>
      </c>
      <c r="V25" s="205">
        <f t="shared" si="5"/>
        <v>75100.2</v>
      </c>
      <c r="W25" s="319" t="s">
        <v>327</v>
      </c>
      <c r="X25" s="214"/>
      <c r="Y25" s="214"/>
      <c r="Z25" s="207"/>
      <c r="AA25" s="207"/>
      <c r="AB25" s="205">
        <v>0</v>
      </c>
    </row>
    <row r="26" spans="1:28" s="306" customFormat="1" ht="23.1" hidden="1" customHeight="1" outlineLevel="2">
      <c r="A26" s="223">
        <v>1.1900000000000002</v>
      </c>
      <c r="B26" s="223" t="s">
        <v>132</v>
      </c>
      <c r="C26" s="223" t="s">
        <v>133</v>
      </c>
      <c r="D26" s="223" t="s">
        <v>103</v>
      </c>
      <c r="E26" s="97">
        <v>60.5</v>
      </c>
      <c r="F26" s="97">
        <v>475.57800924770646</v>
      </c>
      <c r="G26" s="205">
        <f t="shared" si="0"/>
        <v>28772.469559486242</v>
      </c>
      <c r="H26" s="97">
        <v>60.5</v>
      </c>
      <c r="I26" s="267">
        <v>332.50970873786406</v>
      </c>
      <c r="J26" s="205">
        <f t="shared" si="1"/>
        <v>20116.837378640776</v>
      </c>
      <c r="K26" s="97">
        <f>+人工费!K26</f>
        <v>0</v>
      </c>
      <c r="L26" s="267">
        <f t="shared" si="4"/>
        <v>475.57800924770646</v>
      </c>
      <c r="M26" s="205">
        <f t="shared" si="2"/>
        <v>0</v>
      </c>
      <c r="N26" s="207">
        <f t="shared" si="6"/>
        <v>-128.5</v>
      </c>
      <c r="O26" s="207">
        <f t="shared" si="7"/>
        <v>431.53401709401697</v>
      </c>
      <c r="P26" s="205">
        <f>+N26*O26</f>
        <v>-55452.121196581182</v>
      </c>
      <c r="Q26" s="207">
        <f>+人工费!Q26</f>
        <v>0</v>
      </c>
      <c r="R26" s="267">
        <v>475.57800924770646</v>
      </c>
      <c r="S26" s="205">
        <f t="shared" si="3"/>
        <v>0</v>
      </c>
      <c r="T26" s="206">
        <v>117</v>
      </c>
      <c r="U26" s="206">
        <v>431.53401709401697</v>
      </c>
      <c r="V26" s="205">
        <f t="shared" si="5"/>
        <v>50489.479999999989</v>
      </c>
      <c r="W26" s="320" t="s">
        <v>328</v>
      </c>
      <c r="X26" s="214"/>
      <c r="Y26" s="214"/>
      <c r="Z26" s="326">
        <v>245.5</v>
      </c>
      <c r="AA26" s="206">
        <v>338.44871690427698</v>
      </c>
      <c r="AB26" s="322">
        <v>83089.16</v>
      </c>
    </row>
    <row r="27" spans="1:28" s="306" customFormat="1" ht="23.1" hidden="1" customHeight="1" outlineLevel="2">
      <c r="A27" s="267">
        <v>1.2000000000000002</v>
      </c>
      <c r="B27" s="223" t="s">
        <v>134</v>
      </c>
      <c r="C27" s="223" t="s">
        <v>133</v>
      </c>
      <c r="D27" s="223" t="s">
        <v>103</v>
      </c>
      <c r="E27" s="97">
        <v>16.98</v>
      </c>
      <c r="F27" s="97">
        <v>474.67696998165138</v>
      </c>
      <c r="G27" s="205">
        <f t="shared" si="0"/>
        <v>8060.0149502884406</v>
      </c>
      <c r="H27" s="97">
        <v>16.98</v>
      </c>
      <c r="I27" s="267">
        <v>332.50970873786406</v>
      </c>
      <c r="J27" s="205">
        <f t="shared" si="1"/>
        <v>5646.014854368932</v>
      </c>
      <c r="K27" s="97">
        <f>+人工费!K27</f>
        <v>0</v>
      </c>
      <c r="L27" s="267">
        <f t="shared" si="4"/>
        <v>474.67696998165138</v>
      </c>
      <c r="M27" s="205">
        <f t="shared" si="2"/>
        <v>0</v>
      </c>
      <c r="N27" s="207">
        <f t="shared" si="6"/>
        <v>1178</v>
      </c>
      <c r="O27" s="207">
        <f t="shared" si="7"/>
        <v>431.53395427603698</v>
      </c>
      <c r="P27" s="97">
        <f t="shared" si="8"/>
        <v>508579.30999999971</v>
      </c>
      <c r="Q27" s="207">
        <f>+人工费!Q27</f>
        <v>0</v>
      </c>
      <c r="R27" s="267">
        <v>474.67696998165138</v>
      </c>
      <c r="S27" s="205">
        <f t="shared" si="3"/>
        <v>0</v>
      </c>
      <c r="T27" s="206">
        <v>1181</v>
      </c>
      <c r="U27" s="206">
        <v>431.53395427603698</v>
      </c>
      <c r="V27" s="205">
        <f t="shared" si="5"/>
        <v>509641.59999999969</v>
      </c>
      <c r="W27" s="320" t="s">
        <v>329</v>
      </c>
      <c r="X27" s="214"/>
      <c r="Y27" s="214"/>
      <c r="Z27" s="207">
        <v>3</v>
      </c>
      <c r="AA27" s="207">
        <v>354.09666666666664</v>
      </c>
      <c r="AB27" s="205">
        <v>1062.29</v>
      </c>
    </row>
    <row r="28" spans="1:28" s="306" customFormat="1" ht="23.1" hidden="1" customHeight="1" outlineLevel="2">
      <c r="A28" s="223">
        <v>1.2100000000000002</v>
      </c>
      <c r="B28" s="223" t="s">
        <v>135</v>
      </c>
      <c r="C28" s="223" t="s">
        <v>136</v>
      </c>
      <c r="D28" s="223" t="s">
        <v>103</v>
      </c>
      <c r="E28" s="97">
        <v>10</v>
      </c>
      <c r="F28" s="97">
        <v>493.94972565137613</v>
      </c>
      <c r="G28" s="205">
        <f t="shared" si="0"/>
        <v>4939.4972565137614</v>
      </c>
      <c r="H28" s="97">
        <v>10</v>
      </c>
      <c r="I28" s="267">
        <v>346.75291262135926</v>
      </c>
      <c r="J28" s="205">
        <f t="shared" si="1"/>
        <v>3467.5291262135925</v>
      </c>
      <c r="K28" s="97">
        <f>+人工费!K28</f>
        <v>0</v>
      </c>
      <c r="L28" s="267">
        <f t="shared" si="4"/>
        <v>493.94972565137613</v>
      </c>
      <c r="M28" s="205">
        <f t="shared" si="2"/>
        <v>0</v>
      </c>
      <c r="N28" s="207">
        <f t="shared" si="6"/>
        <v>1168.5</v>
      </c>
      <c r="O28" s="207">
        <f t="shared" si="7"/>
        <v>442.217336099585</v>
      </c>
      <c r="P28" s="205">
        <f>+N28*O28</f>
        <v>516730.95723236509</v>
      </c>
      <c r="Q28" s="207">
        <f>+人工费!Q28</f>
        <v>0</v>
      </c>
      <c r="R28" s="267">
        <v>493.94972565137613</v>
      </c>
      <c r="S28" s="205">
        <f t="shared" si="3"/>
        <v>0</v>
      </c>
      <c r="T28" s="206">
        <v>1205</v>
      </c>
      <c r="U28" s="206">
        <v>442.217336099585</v>
      </c>
      <c r="V28" s="205">
        <f t="shared" si="5"/>
        <v>532871.8899999999</v>
      </c>
      <c r="W28" s="320" t="s">
        <v>330</v>
      </c>
      <c r="X28" s="214"/>
      <c r="Y28" s="214"/>
      <c r="Z28" s="207">
        <v>36.5</v>
      </c>
      <c r="AA28" s="207">
        <v>358.37068493150684</v>
      </c>
      <c r="AB28" s="205">
        <v>13080.53</v>
      </c>
    </row>
    <row r="29" spans="1:28" s="306" customFormat="1" ht="23.1" hidden="1" customHeight="1" outlineLevel="2">
      <c r="A29" s="267">
        <v>1.2200000000000002</v>
      </c>
      <c r="B29" s="223" t="s">
        <v>137</v>
      </c>
      <c r="C29" s="223" t="s">
        <v>133</v>
      </c>
      <c r="D29" s="223" t="s">
        <v>103</v>
      </c>
      <c r="E29" s="97">
        <v>108.25</v>
      </c>
      <c r="F29" s="97">
        <v>474.32603889908256</v>
      </c>
      <c r="G29" s="205">
        <f t="shared" si="0"/>
        <v>51345.793710825688</v>
      </c>
      <c r="H29" s="97">
        <v>108.25</v>
      </c>
      <c r="I29" s="267">
        <v>332.50970873786406</v>
      </c>
      <c r="J29" s="205">
        <f t="shared" si="1"/>
        <v>35994.175970873781</v>
      </c>
      <c r="K29" s="97">
        <f>+人工费!K29</f>
        <v>0</v>
      </c>
      <c r="L29" s="267">
        <f t="shared" si="4"/>
        <v>474.32603889908256</v>
      </c>
      <c r="M29" s="205">
        <f t="shared" si="2"/>
        <v>0</v>
      </c>
      <c r="N29" s="207">
        <f t="shared" si="6"/>
        <v>3015</v>
      </c>
      <c r="O29" s="207">
        <f t="shared" si="7"/>
        <v>449.36518739635198</v>
      </c>
      <c r="P29" s="97">
        <f t="shared" si="8"/>
        <v>1354836.0400000012</v>
      </c>
      <c r="Q29" s="207">
        <f>+人工费!Q29</f>
        <v>0</v>
      </c>
      <c r="R29" s="267">
        <v>474.32603889908256</v>
      </c>
      <c r="S29" s="205">
        <f t="shared" si="3"/>
        <v>0</v>
      </c>
      <c r="T29" s="206">
        <v>3015</v>
      </c>
      <c r="U29" s="206">
        <v>449.36518739635198</v>
      </c>
      <c r="V29" s="205">
        <f t="shared" si="5"/>
        <v>1354836.0400000012</v>
      </c>
      <c r="W29" s="319" t="s">
        <v>331</v>
      </c>
      <c r="X29" s="214"/>
      <c r="Y29" s="214"/>
      <c r="Z29" s="207"/>
      <c r="AA29" s="207"/>
      <c r="AB29" s="205">
        <v>0</v>
      </c>
    </row>
    <row r="30" spans="1:28" s="306" customFormat="1" ht="23.1" hidden="1" customHeight="1" outlineLevel="2">
      <c r="A30" s="223">
        <v>1.2300000000000002</v>
      </c>
      <c r="B30" s="223" t="s">
        <v>138</v>
      </c>
      <c r="C30" s="223" t="s">
        <v>139</v>
      </c>
      <c r="D30" s="223" t="s">
        <v>103</v>
      </c>
      <c r="E30" s="97">
        <v>31.09</v>
      </c>
      <c r="F30" s="97">
        <v>554.03481776146782</v>
      </c>
      <c r="G30" s="205">
        <f t="shared" si="0"/>
        <v>17224.942484204035</v>
      </c>
      <c r="H30" s="97">
        <v>31.09</v>
      </c>
      <c r="I30" s="267">
        <v>381.06407766990293</v>
      </c>
      <c r="J30" s="205">
        <f t="shared" si="1"/>
        <v>11847.282174757282</v>
      </c>
      <c r="K30" s="97">
        <f>+人工费!K30</f>
        <v>0</v>
      </c>
      <c r="L30" s="267">
        <f t="shared" si="4"/>
        <v>554.03481776146782</v>
      </c>
      <c r="M30" s="205">
        <f t="shared" si="2"/>
        <v>0</v>
      </c>
      <c r="N30" s="207">
        <f t="shared" si="6"/>
        <v>0</v>
      </c>
      <c r="O30" s="207">
        <f t="shared" si="7"/>
        <v>338.44871690427698</v>
      </c>
      <c r="P30" s="97">
        <f t="shared" si="8"/>
        <v>0</v>
      </c>
      <c r="Q30" s="207">
        <f>+人工费!Q30</f>
        <v>31.09</v>
      </c>
      <c r="R30" s="267">
        <v>554.03481776146782</v>
      </c>
      <c r="S30" s="205">
        <f t="shared" si="3"/>
        <v>17224.942484204035</v>
      </c>
      <c r="T30" s="206">
        <v>0</v>
      </c>
      <c r="U30" s="206">
        <v>338.44871690427698</v>
      </c>
      <c r="V30" s="205">
        <f t="shared" si="5"/>
        <v>0</v>
      </c>
      <c r="W30" s="319" t="s">
        <v>332</v>
      </c>
      <c r="X30" s="214"/>
      <c r="Y30" s="214"/>
      <c r="Z30" s="207"/>
      <c r="AA30" s="207"/>
      <c r="AB30" s="205">
        <v>0</v>
      </c>
    </row>
    <row r="31" spans="1:28" s="306" customFormat="1" ht="23.1" hidden="1" customHeight="1" outlineLevel="2">
      <c r="A31" s="267">
        <v>1.2400000000000002</v>
      </c>
      <c r="B31" s="223" t="s">
        <v>140</v>
      </c>
      <c r="C31" s="223" t="s">
        <v>141</v>
      </c>
      <c r="D31" s="223" t="s">
        <v>103</v>
      </c>
      <c r="E31" s="97">
        <v>44.04</v>
      </c>
      <c r="F31" s="97">
        <v>473.52933049541281</v>
      </c>
      <c r="G31" s="205">
        <f t="shared" si="0"/>
        <v>20854.231715017981</v>
      </c>
      <c r="H31" s="97">
        <v>44.04</v>
      </c>
      <c r="I31" s="267">
        <v>332.50970873786406</v>
      </c>
      <c r="J31" s="205">
        <f t="shared" si="1"/>
        <v>14643.727572815533</v>
      </c>
      <c r="K31" s="97">
        <f>+人工费!K31</f>
        <v>0</v>
      </c>
      <c r="L31" s="267">
        <f t="shared" si="4"/>
        <v>473.52933049541281</v>
      </c>
      <c r="M31" s="205">
        <f t="shared" si="2"/>
        <v>0</v>
      </c>
      <c r="N31" s="97"/>
      <c r="O31" s="207"/>
      <c r="P31" s="97">
        <f t="shared" si="8"/>
        <v>0</v>
      </c>
      <c r="Q31" s="207">
        <f>+人工费!Q31</f>
        <v>0</v>
      </c>
      <c r="R31" s="267">
        <v>473.52933049541281</v>
      </c>
      <c r="S31" s="205">
        <f t="shared" si="3"/>
        <v>0</v>
      </c>
      <c r="T31" s="207">
        <v>32</v>
      </c>
      <c r="U31" s="240"/>
      <c r="V31" s="205">
        <f t="shared" si="5"/>
        <v>0</v>
      </c>
      <c r="W31" s="319" t="s">
        <v>333</v>
      </c>
      <c r="X31" s="214"/>
      <c r="Y31" s="214"/>
      <c r="Z31" s="207"/>
      <c r="AA31" s="207"/>
      <c r="AB31" s="205">
        <v>0</v>
      </c>
    </row>
    <row r="32" spans="1:28" s="306" customFormat="1" ht="23.1" hidden="1" customHeight="1" outlineLevel="2">
      <c r="A32" s="223">
        <v>1.2500000000000002</v>
      </c>
      <c r="B32" s="223" t="s">
        <v>142</v>
      </c>
      <c r="C32" s="223"/>
      <c r="D32" s="223" t="s">
        <v>143</v>
      </c>
      <c r="E32" s="97">
        <v>1</v>
      </c>
      <c r="F32" s="97">
        <v>0</v>
      </c>
      <c r="G32" s="205">
        <f t="shared" si="0"/>
        <v>0</v>
      </c>
      <c r="H32" s="97">
        <v>1</v>
      </c>
      <c r="I32" s="267"/>
      <c r="J32" s="205">
        <f t="shared" si="1"/>
        <v>0</v>
      </c>
      <c r="K32" s="97">
        <f>+人工费!K32</f>
        <v>0</v>
      </c>
      <c r="L32" s="267"/>
      <c r="M32" s="205">
        <f t="shared" si="2"/>
        <v>0</v>
      </c>
      <c r="N32" s="97"/>
      <c r="O32" s="207"/>
      <c r="P32" s="97">
        <f t="shared" si="8"/>
        <v>0</v>
      </c>
      <c r="Q32" s="207">
        <f>+人工费!Q32</f>
        <v>0</v>
      </c>
      <c r="R32" s="267">
        <v>0</v>
      </c>
      <c r="S32" s="205">
        <f t="shared" si="3"/>
        <v>0</v>
      </c>
      <c r="T32" s="207"/>
      <c r="U32" s="207"/>
      <c r="V32" s="205">
        <f t="shared" si="5"/>
        <v>0</v>
      </c>
      <c r="W32" s="123"/>
      <c r="X32" s="214"/>
      <c r="Y32" s="214"/>
      <c r="Z32" s="207"/>
      <c r="AA32" s="207"/>
      <c r="AB32" s="205">
        <v>0</v>
      </c>
    </row>
    <row r="33" spans="1:28" s="307" customFormat="1" ht="23.1" hidden="1" customHeight="1" outlineLevel="1" collapsed="1">
      <c r="A33" s="220">
        <v>2</v>
      </c>
      <c r="B33" s="220" t="s">
        <v>144</v>
      </c>
      <c r="C33" s="220"/>
      <c r="D33" s="220"/>
      <c r="E33" s="103">
        <v>0</v>
      </c>
      <c r="F33" s="103">
        <v>0</v>
      </c>
      <c r="G33" s="222">
        <f>SUM(G34:G61)</f>
        <v>5997238.6505051898</v>
      </c>
      <c r="H33" s="103">
        <v>0</v>
      </c>
      <c r="I33" s="266"/>
      <c r="J33" s="222">
        <f>SUM(J34:J61)</f>
        <v>5163146.3903702497</v>
      </c>
      <c r="K33" s="103">
        <f>SUM(K34:K58)</f>
        <v>-50</v>
      </c>
      <c r="L33" s="266"/>
      <c r="M33" s="222">
        <f>SUM(M34:M61)</f>
        <v>-203714.54496880734</v>
      </c>
      <c r="N33" s="103">
        <f>SUM(N34:N58)</f>
        <v>366.71840899999995</v>
      </c>
      <c r="O33" s="229"/>
      <c r="P33" s="222">
        <f>SUM(P34:P61)</f>
        <v>1481626.6024456527</v>
      </c>
      <c r="Q33" s="103">
        <f>SUM(Q34:Q58)</f>
        <v>1412.5750000000003</v>
      </c>
      <c r="R33" s="266"/>
      <c r="S33" s="222">
        <f>SUM(S34:S61)</f>
        <v>5746722.2422404643</v>
      </c>
      <c r="T33" s="103">
        <f>SUM(T34:T58)</f>
        <v>2324.6994089999998</v>
      </c>
      <c r="U33" s="229"/>
      <c r="V33" s="222">
        <f>SUM(V34:V61)</f>
        <v>9343089.7962010205</v>
      </c>
      <c r="W33" s="137"/>
      <c r="X33" s="212"/>
      <c r="Y33" s="212"/>
      <c r="Z33" s="103">
        <v>1957.981</v>
      </c>
      <c r="AA33" s="229"/>
      <c r="AB33" s="222">
        <v>7039824.9568025563</v>
      </c>
    </row>
    <row r="34" spans="1:28" s="306" customFormat="1" ht="23.1" hidden="1" customHeight="1" outlineLevel="2">
      <c r="A34" s="223">
        <v>2.1</v>
      </c>
      <c r="B34" s="223" t="s">
        <v>145</v>
      </c>
      <c r="C34" s="223" t="s">
        <v>146</v>
      </c>
      <c r="D34" s="223" t="s">
        <v>147</v>
      </c>
      <c r="E34" s="97">
        <v>4.5</v>
      </c>
      <c r="F34" s="97">
        <v>4046.4819822385316</v>
      </c>
      <c r="G34" s="205">
        <f t="shared" ref="G34:G61" si="9">+F34*E34</f>
        <v>18209.168920073393</v>
      </c>
      <c r="H34" s="97">
        <v>4.5</v>
      </c>
      <c r="I34" s="267">
        <v>3690.4778761061948</v>
      </c>
      <c r="J34" s="205">
        <f t="shared" ref="J34:J61" si="10">+I34*H34</f>
        <v>16607.150442477876</v>
      </c>
      <c r="K34" s="97">
        <f>+人工费!K34</f>
        <v>0</v>
      </c>
      <c r="L34" s="267">
        <f>+R34</f>
        <v>4046.4819822385316</v>
      </c>
      <c r="M34" s="205">
        <f>+L34*K34</f>
        <v>0</v>
      </c>
      <c r="N34" s="97"/>
      <c r="O34" s="207"/>
      <c r="P34" s="205">
        <f>+N34*O34</f>
        <v>0</v>
      </c>
      <c r="Q34" s="207">
        <f>+人工费!Q34</f>
        <v>0</v>
      </c>
      <c r="R34" s="267">
        <v>4046.4819822385316</v>
      </c>
      <c r="S34" s="205">
        <f t="shared" ref="S34:S61" si="11">+R34*Q34</f>
        <v>0</v>
      </c>
      <c r="T34" s="207"/>
      <c r="U34" s="207"/>
      <c r="V34" s="205">
        <v>0</v>
      </c>
      <c r="W34" s="123"/>
      <c r="X34" s="214"/>
      <c r="Y34" s="214"/>
      <c r="Z34" s="207"/>
      <c r="AA34" s="207"/>
      <c r="AB34" s="205">
        <v>0</v>
      </c>
    </row>
    <row r="35" spans="1:28" s="306" customFormat="1" ht="23.1" hidden="1" customHeight="1" outlineLevel="2">
      <c r="A35" s="223">
        <v>2.2000000000000002</v>
      </c>
      <c r="B35" s="223" t="s">
        <v>145</v>
      </c>
      <c r="C35" s="223" t="s">
        <v>148</v>
      </c>
      <c r="D35" s="223" t="s">
        <v>147</v>
      </c>
      <c r="E35" s="97">
        <v>0.2</v>
      </c>
      <c r="F35" s="97">
        <v>4017.0132559266058</v>
      </c>
      <c r="G35" s="205">
        <f t="shared" si="9"/>
        <v>803.40265118532125</v>
      </c>
      <c r="H35" s="97">
        <v>0.2</v>
      </c>
      <c r="I35" s="267">
        <v>4116.7226061204346</v>
      </c>
      <c r="J35" s="205">
        <f t="shared" si="10"/>
        <v>823.34452122408698</v>
      </c>
      <c r="K35" s="97">
        <f>+人工费!K35</f>
        <v>0</v>
      </c>
      <c r="L35" s="267">
        <f t="shared" ref="L35:L61" si="12">+R35</f>
        <v>4017.0132559266058</v>
      </c>
      <c r="M35" s="205">
        <f t="shared" ref="M35:M61" si="13">+L35*K35</f>
        <v>0</v>
      </c>
      <c r="N35" s="97"/>
      <c r="O35" s="207"/>
      <c r="P35" s="205">
        <f t="shared" ref="P35:P47" si="14">+N35*O35</f>
        <v>0</v>
      </c>
      <c r="Q35" s="207">
        <f>+人工费!Q35</f>
        <v>0</v>
      </c>
      <c r="R35" s="267">
        <v>4017.0132559266058</v>
      </c>
      <c r="S35" s="205">
        <f t="shared" si="11"/>
        <v>0</v>
      </c>
      <c r="T35" s="207"/>
      <c r="U35" s="207"/>
      <c r="V35" s="205">
        <v>0</v>
      </c>
      <c r="W35" s="123"/>
      <c r="X35" s="214"/>
      <c r="Y35" s="214"/>
      <c r="Z35" s="207"/>
      <c r="AA35" s="207"/>
      <c r="AB35" s="205">
        <v>0</v>
      </c>
    </row>
    <row r="36" spans="1:28" s="306" customFormat="1" ht="23.1" hidden="1" customHeight="1" outlineLevel="2">
      <c r="A36" s="223">
        <v>2.3000000000000003</v>
      </c>
      <c r="B36" s="223" t="s">
        <v>145</v>
      </c>
      <c r="C36" s="223" t="s">
        <v>149</v>
      </c>
      <c r="D36" s="223" t="s">
        <v>147</v>
      </c>
      <c r="E36" s="97">
        <v>0.2</v>
      </c>
      <c r="F36" s="97">
        <v>4046.1784742752293</v>
      </c>
      <c r="G36" s="205">
        <f t="shared" si="9"/>
        <v>809.23569485504595</v>
      </c>
      <c r="H36" s="97">
        <v>0.2</v>
      </c>
      <c r="I36" s="267">
        <v>3646.2300884955753</v>
      </c>
      <c r="J36" s="205">
        <f t="shared" si="10"/>
        <v>729.2460176991151</v>
      </c>
      <c r="K36" s="97">
        <f>+人工费!K36</f>
        <v>0</v>
      </c>
      <c r="L36" s="267">
        <f t="shared" si="12"/>
        <v>4046.1784742752293</v>
      </c>
      <c r="M36" s="205">
        <f t="shared" si="13"/>
        <v>0</v>
      </c>
      <c r="N36" s="97">
        <f>+T36-Z36</f>
        <v>0</v>
      </c>
      <c r="O36" s="207">
        <f>+U36</f>
        <v>0</v>
      </c>
      <c r="P36" s="205">
        <f t="shared" si="14"/>
        <v>0</v>
      </c>
      <c r="Q36" s="207">
        <f>+人工费!Q36</f>
        <v>0</v>
      </c>
      <c r="R36" s="267">
        <v>4046.1784742752293</v>
      </c>
      <c r="S36" s="205">
        <f t="shared" si="11"/>
        <v>0</v>
      </c>
      <c r="T36" s="207"/>
      <c r="U36" s="207"/>
      <c r="V36" s="205">
        <v>0</v>
      </c>
      <c r="W36" s="123"/>
      <c r="X36" s="214"/>
      <c r="Y36" s="214"/>
      <c r="Z36" s="207"/>
      <c r="AA36" s="207"/>
      <c r="AB36" s="205">
        <v>0</v>
      </c>
    </row>
    <row r="37" spans="1:28" s="306" customFormat="1" ht="23.1" hidden="1" customHeight="1" outlineLevel="2">
      <c r="A37" s="223">
        <v>2.4000000000000004</v>
      </c>
      <c r="B37" s="223" t="s">
        <v>145</v>
      </c>
      <c r="C37" s="223" t="s">
        <v>334</v>
      </c>
      <c r="D37" s="223" t="s">
        <v>147</v>
      </c>
      <c r="E37" s="97">
        <v>2.1999999999999999E-2</v>
      </c>
      <c r="F37" s="97">
        <v>4202.617860110091</v>
      </c>
      <c r="G37" s="205">
        <f t="shared" si="9"/>
        <v>92.457592922421995</v>
      </c>
      <c r="H37" s="97">
        <v>2.1999999999999999E-2</v>
      </c>
      <c r="I37" s="267">
        <v>3839.4424778761063</v>
      </c>
      <c r="J37" s="205">
        <f t="shared" si="10"/>
        <v>84.467734513274337</v>
      </c>
      <c r="K37" s="97">
        <f>+人工费!K37</f>
        <v>0</v>
      </c>
      <c r="L37" s="267">
        <f t="shared" si="12"/>
        <v>4202.617860110091</v>
      </c>
      <c r="M37" s="205">
        <f t="shared" si="13"/>
        <v>0</v>
      </c>
      <c r="N37" s="97">
        <f t="shared" ref="N37:N48" si="15">+T37-Z37</f>
        <v>5.5839810000000014</v>
      </c>
      <c r="O37" s="207">
        <f t="shared" ref="O37:O48" si="16">+U37</f>
        <v>4334.1067574298504</v>
      </c>
      <c r="P37" s="205">
        <f t="shared" si="14"/>
        <v>24201.569785459898</v>
      </c>
      <c r="Q37" s="207">
        <f>+人工费!Q37</f>
        <v>0</v>
      </c>
      <c r="R37" s="267">
        <v>4202.617860110091</v>
      </c>
      <c r="S37" s="205">
        <f t="shared" si="11"/>
        <v>0</v>
      </c>
      <c r="T37" s="206">
        <v>16.693981000000001</v>
      </c>
      <c r="U37" s="206">
        <v>4334.1067574298504</v>
      </c>
      <c r="V37" s="205">
        <f>+T37*U37</f>
        <v>72353.495860505529</v>
      </c>
      <c r="W37" s="123"/>
      <c r="X37" s="214"/>
      <c r="Y37" s="214"/>
      <c r="Z37" s="206">
        <v>11.11</v>
      </c>
      <c r="AA37" s="206">
        <v>3957.5665823538202</v>
      </c>
      <c r="AB37" s="322">
        <v>43968.564729950944</v>
      </c>
    </row>
    <row r="38" spans="1:28" s="306" customFormat="1" ht="23.1" hidden="1" customHeight="1" outlineLevel="2">
      <c r="A38" s="223">
        <v>2.5000000000000004</v>
      </c>
      <c r="B38" s="223" t="s">
        <v>145</v>
      </c>
      <c r="C38" s="223" t="s">
        <v>151</v>
      </c>
      <c r="D38" s="223" t="s">
        <v>147</v>
      </c>
      <c r="E38" s="97">
        <v>36.244999999999997</v>
      </c>
      <c r="F38" s="97">
        <v>4002.0465194862386</v>
      </c>
      <c r="G38" s="205">
        <f t="shared" si="9"/>
        <v>145054.1760987787</v>
      </c>
      <c r="H38" s="97">
        <v>36.244999999999997</v>
      </c>
      <c r="I38" s="267">
        <v>3582.8053097345132</v>
      </c>
      <c r="J38" s="205">
        <f t="shared" si="10"/>
        <v>129858.77845132742</v>
      </c>
      <c r="K38" s="97">
        <f>+人工费!K38</f>
        <v>0</v>
      </c>
      <c r="L38" s="267">
        <f t="shared" si="12"/>
        <v>4002.0465194862386</v>
      </c>
      <c r="M38" s="205">
        <f t="shared" si="13"/>
        <v>0</v>
      </c>
      <c r="N38" s="97">
        <f t="shared" si="15"/>
        <v>136.28158099999999</v>
      </c>
      <c r="O38" s="207">
        <f t="shared" si="16"/>
        <v>4104.7600168890203</v>
      </c>
      <c r="P38" s="205">
        <f t="shared" si="14"/>
        <v>559403.18472722231</v>
      </c>
      <c r="Q38" s="207">
        <f>+人工费!Q38</f>
        <v>36.244999999999997</v>
      </c>
      <c r="R38" s="267">
        <v>4002.0465194862386</v>
      </c>
      <c r="S38" s="205">
        <f t="shared" si="11"/>
        <v>145054.1760987787</v>
      </c>
      <c r="T38" s="206">
        <v>327.65558099999998</v>
      </c>
      <c r="U38" s="206">
        <v>4104.7600168890203</v>
      </c>
      <c r="V38" s="205">
        <f t="shared" ref="V38:V48" si="17">+T38*U38</f>
        <v>1344947.5281993416</v>
      </c>
      <c r="W38" s="123"/>
      <c r="X38" s="214"/>
      <c r="Y38" s="214"/>
      <c r="Z38" s="206">
        <v>191.374</v>
      </c>
      <c r="AA38" s="206">
        <v>3718.3741211931101</v>
      </c>
      <c r="AB38" s="322">
        <v>711600.12906921026</v>
      </c>
    </row>
    <row r="39" spans="1:28" s="306" customFormat="1" ht="23.1" hidden="1" customHeight="1" outlineLevel="2">
      <c r="A39" s="223">
        <v>2.6000000000000005</v>
      </c>
      <c r="B39" s="223" t="s">
        <v>145</v>
      </c>
      <c r="C39" s="223" t="s">
        <v>152</v>
      </c>
      <c r="D39" s="223" t="s">
        <v>147</v>
      </c>
      <c r="E39" s="97">
        <v>177.25800000000001</v>
      </c>
      <c r="F39" s="97">
        <v>4059.551793908257</v>
      </c>
      <c r="G39" s="205">
        <f t="shared" si="9"/>
        <v>719588.03188458981</v>
      </c>
      <c r="H39" s="97">
        <v>177.25800000000001</v>
      </c>
      <c r="I39" s="267">
        <v>3580.1504424778764</v>
      </c>
      <c r="J39" s="205">
        <f t="shared" si="10"/>
        <v>634610.30713274342</v>
      </c>
      <c r="K39" s="97">
        <f>+人工费!K39</f>
        <v>0</v>
      </c>
      <c r="L39" s="267">
        <f t="shared" si="12"/>
        <v>4059.551793908257</v>
      </c>
      <c r="M39" s="205">
        <f t="shared" si="13"/>
        <v>0</v>
      </c>
      <c r="N39" s="97">
        <f t="shared" si="15"/>
        <v>52.207773999999972</v>
      </c>
      <c r="O39" s="207">
        <f t="shared" si="16"/>
        <v>4101.5511258767101</v>
      </c>
      <c r="P39" s="205">
        <f t="shared" si="14"/>
        <v>214132.85422921673</v>
      </c>
      <c r="Q39" s="207">
        <f>+人工费!Q39</f>
        <v>177.25800000000001</v>
      </c>
      <c r="R39" s="267">
        <v>4059.551793908257</v>
      </c>
      <c r="S39" s="205">
        <f t="shared" si="11"/>
        <v>719588.03188458981</v>
      </c>
      <c r="T39" s="206">
        <v>335.44277399999999</v>
      </c>
      <c r="U39" s="206">
        <v>4101.5511258767101</v>
      </c>
      <c r="V39" s="205">
        <f t="shared" si="17"/>
        <v>1375835.6873669068</v>
      </c>
      <c r="W39" s="123"/>
      <c r="X39" s="214"/>
      <c r="Y39" s="214"/>
      <c r="Z39" s="206">
        <v>283.23500000000001</v>
      </c>
      <c r="AA39" s="206">
        <v>3690.0843664568602</v>
      </c>
      <c r="AB39" s="322">
        <v>1045161.0455334089</v>
      </c>
    </row>
    <row r="40" spans="1:28" s="306" customFormat="1" ht="23.1" hidden="1" customHeight="1" outlineLevel="2">
      <c r="A40" s="223">
        <v>2.7000000000000006</v>
      </c>
      <c r="B40" s="223" t="s">
        <v>145</v>
      </c>
      <c r="C40" s="223" t="s">
        <v>153</v>
      </c>
      <c r="D40" s="223" t="s">
        <v>147</v>
      </c>
      <c r="E40" s="97">
        <v>313.589</v>
      </c>
      <c r="F40" s="97">
        <v>4074.2908993761471</v>
      </c>
      <c r="G40" s="205">
        <f t="shared" si="9"/>
        <v>1277652.8088444667</v>
      </c>
      <c r="H40" s="97">
        <v>313.589</v>
      </c>
      <c r="I40" s="267">
        <v>3518.3274336283189</v>
      </c>
      <c r="J40" s="205">
        <f t="shared" si="10"/>
        <v>1103308.781584071</v>
      </c>
      <c r="K40" s="97">
        <f>+人工费!K40</f>
        <v>-50</v>
      </c>
      <c r="L40" s="267">
        <f t="shared" si="12"/>
        <v>4074.2908993761471</v>
      </c>
      <c r="M40" s="205">
        <f t="shared" si="13"/>
        <v>-203714.54496880734</v>
      </c>
      <c r="N40" s="97">
        <f t="shared" si="15"/>
        <v>61.63570900000002</v>
      </c>
      <c r="O40" s="207">
        <f t="shared" si="16"/>
        <v>3953.7448022052999</v>
      </c>
      <c r="P40" s="205">
        <f t="shared" si="14"/>
        <v>243691.86408898851</v>
      </c>
      <c r="Q40" s="207">
        <f>+人工费!Q40</f>
        <v>263.589</v>
      </c>
      <c r="R40" s="267">
        <v>4074.2908993761471</v>
      </c>
      <c r="S40" s="205">
        <f t="shared" si="11"/>
        <v>1073938.2638756593</v>
      </c>
      <c r="T40" s="206">
        <v>435.25070900000003</v>
      </c>
      <c r="U40" s="206">
        <v>3953.7448022052999</v>
      </c>
      <c r="V40" s="205">
        <f t="shared" si="17"/>
        <v>1720870.2283649216</v>
      </c>
      <c r="W40" s="123"/>
      <c r="X40" s="214"/>
      <c r="Y40" s="214"/>
      <c r="Z40" s="206">
        <v>373.61500000000001</v>
      </c>
      <c r="AA40" s="206">
        <v>3544.79962748465</v>
      </c>
      <c r="AB40" s="322">
        <v>1324390.3128226777</v>
      </c>
    </row>
    <row r="41" spans="1:28" s="306" customFormat="1" ht="23.1" hidden="1" customHeight="1" outlineLevel="2">
      <c r="A41" s="223">
        <v>2.8000000000000007</v>
      </c>
      <c r="B41" s="223" t="s">
        <v>145</v>
      </c>
      <c r="C41" s="223" t="s">
        <v>154</v>
      </c>
      <c r="D41" s="223" t="s">
        <v>147</v>
      </c>
      <c r="E41" s="97">
        <v>72.128</v>
      </c>
      <c r="F41" s="97">
        <v>4040.0988303853214</v>
      </c>
      <c r="G41" s="205">
        <f t="shared" si="9"/>
        <v>291404.24843803246</v>
      </c>
      <c r="H41" s="97">
        <v>72.128</v>
      </c>
      <c r="I41" s="267">
        <v>3518.3274336283189</v>
      </c>
      <c r="J41" s="205">
        <f t="shared" si="10"/>
        <v>253769.92113274339</v>
      </c>
      <c r="K41" s="97">
        <f>+人工费!K41</f>
        <v>0</v>
      </c>
      <c r="L41" s="267">
        <f t="shared" si="12"/>
        <v>4040.0988303853214</v>
      </c>
      <c r="M41" s="205">
        <f t="shared" si="13"/>
        <v>0</v>
      </c>
      <c r="N41" s="97">
        <f t="shared" si="15"/>
        <v>13.950046</v>
      </c>
      <c r="O41" s="207">
        <f t="shared" si="16"/>
        <v>3909.7388414665502</v>
      </c>
      <c r="P41" s="205">
        <f t="shared" si="14"/>
        <v>54541.036686445084</v>
      </c>
      <c r="Q41" s="207">
        <f>+人工费!Q41</f>
        <v>72.128</v>
      </c>
      <c r="R41" s="267">
        <v>4040.0988303853214</v>
      </c>
      <c r="S41" s="205">
        <f t="shared" si="11"/>
        <v>291404.24843803246</v>
      </c>
      <c r="T41" s="206">
        <v>137.679046</v>
      </c>
      <c r="U41" s="206">
        <v>3909.7388414665502</v>
      </c>
      <c r="V41" s="205">
        <f t="shared" si="17"/>
        <v>538289.1138022599</v>
      </c>
      <c r="W41" s="123"/>
      <c r="X41" s="214"/>
      <c r="Y41" s="214"/>
      <c r="Z41" s="206">
        <v>123.729</v>
      </c>
      <c r="AA41" s="206">
        <v>3499.8996339137402</v>
      </c>
      <c r="AB41" s="322">
        <v>433039.08180451317</v>
      </c>
    </row>
    <row r="42" spans="1:28" s="306" customFormat="1" ht="23.1" hidden="1" customHeight="1" outlineLevel="2">
      <c r="A42" s="223">
        <v>2.9000000000000008</v>
      </c>
      <c r="B42" s="223" t="s">
        <v>145</v>
      </c>
      <c r="C42" s="223" t="s">
        <v>155</v>
      </c>
      <c r="D42" s="223" t="s">
        <v>147</v>
      </c>
      <c r="E42" s="97">
        <v>320.69099999999997</v>
      </c>
      <c r="F42" s="97">
        <v>3988.3981457614673</v>
      </c>
      <c r="G42" s="205">
        <f t="shared" si="9"/>
        <v>1279043.3897623906</v>
      </c>
      <c r="H42" s="97">
        <v>320.69099999999997</v>
      </c>
      <c r="I42" s="267">
        <v>3420.9823008849562</v>
      </c>
      <c r="J42" s="205">
        <f t="shared" si="10"/>
        <v>1097078.2350530974</v>
      </c>
      <c r="K42" s="97">
        <f>+人工费!K42</f>
        <v>0</v>
      </c>
      <c r="L42" s="267">
        <f t="shared" si="12"/>
        <v>3988.3981457614673</v>
      </c>
      <c r="M42" s="205">
        <f t="shared" si="13"/>
        <v>0</v>
      </c>
      <c r="N42" s="97">
        <f t="shared" si="15"/>
        <v>12.146182999999951</v>
      </c>
      <c r="O42" s="207">
        <f t="shared" si="16"/>
        <v>3919.7386633652</v>
      </c>
      <c r="P42" s="205">
        <f t="shared" si="14"/>
        <v>47609.863117408924</v>
      </c>
      <c r="Q42" s="207">
        <f>+人工费!Q42</f>
        <v>320.69099999999997</v>
      </c>
      <c r="R42" s="267">
        <v>3988.3981457614673</v>
      </c>
      <c r="S42" s="205">
        <f t="shared" si="11"/>
        <v>1279043.3897623906</v>
      </c>
      <c r="T42" s="206">
        <v>427.46718299999998</v>
      </c>
      <c r="U42" s="206">
        <v>3919.7386633652</v>
      </c>
      <c r="V42" s="205">
        <f t="shared" si="17"/>
        <v>1675559.6445249072</v>
      </c>
      <c r="W42" s="123"/>
      <c r="X42" s="214"/>
      <c r="Y42" s="214"/>
      <c r="Z42" s="206">
        <v>415.32100000000003</v>
      </c>
      <c r="AA42" s="206">
        <v>3494.1630084673898</v>
      </c>
      <c r="AB42" s="322">
        <v>1451199.2748396848</v>
      </c>
    </row>
    <row r="43" spans="1:28" s="306" customFormat="1" ht="23.1" hidden="1" customHeight="1" outlineLevel="2">
      <c r="A43" s="267">
        <v>2.1</v>
      </c>
      <c r="B43" s="223" t="s">
        <v>145</v>
      </c>
      <c r="C43" s="223" t="s">
        <v>156</v>
      </c>
      <c r="D43" s="223" t="s">
        <v>147</v>
      </c>
      <c r="E43" s="97">
        <v>65.534999999999997</v>
      </c>
      <c r="F43" s="97">
        <v>3945.0154762568814</v>
      </c>
      <c r="G43" s="205">
        <f t="shared" si="9"/>
        <v>258536.58923649471</v>
      </c>
      <c r="H43" s="97">
        <v>65.534999999999997</v>
      </c>
      <c r="I43" s="267">
        <v>3359.035398230089</v>
      </c>
      <c r="J43" s="205">
        <f t="shared" si="10"/>
        <v>220134.38482300888</v>
      </c>
      <c r="K43" s="97">
        <f>+人工费!K43</f>
        <v>0</v>
      </c>
      <c r="L43" s="267">
        <f t="shared" si="12"/>
        <v>3945.0154762568814</v>
      </c>
      <c r="M43" s="205">
        <f t="shared" si="13"/>
        <v>0</v>
      </c>
      <c r="N43" s="97">
        <f t="shared" si="15"/>
        <v>9.2786139999999762</v>
      </c>
      <c r="O43" s="207">
        <f t="shared" si="16"/>
        <v>3912.4088541666702</v>
      </c>
      <c r="P43" s="205">
        <f t="shared" si="14"/>
        <v>36301.731567994728</v>
      </c>
      <c r="Q43" s="207">
        <f>+人工费!Q43</f>
        <v>65.534999999999997</v>
      </c>
      <c r="R43" s="267">
        <v>3945.0154762568814</v>
      </c>
      <c r="S43" s="205">
        <f t="shared" si="11"/>
        <v>258536.58923649471</v>
      </c>
      <c r="T43" s="206">
        <v>159.80461399999999</v>
      </c>
      <c r="U43" s="206">
        <v>3912.4088541666702</v>
      </c>
      <c r="V43" s="205">
        <f t="shared" si="17"/>
        <v>625220.986750287</v>
      </c>
      <c r="W43" s="123"/>
      <c r="X43" s="214"/>
      <c r="Y43" s="214"/>
      <c r="Z43" s="206">
        <v>150.52600000000001</v>
      </c>
      <c r="AA43" s="206">
        <v>3470.6560819892502</v>
      </c>
      <c r="AB43" s="322">
        <v>522423.97739751393</v>
      </c>
    </row>
    <row r="44" spans="1:28" s="306" customFormat="1" ht="23.1" hidden="1" customHeight="1" outlineLevel="2">
      <c r="A44" s="223">
        <v>2.11</v>
      </c>
      <c r="B44" s="223" t="s">
        <v>145</v>
      </c>
      <c r="C44" s="223" t="s">
        <v>157</v>
      </c>
      <c r="D44" s="223" t="s">
        <v>147</v>
      </c>
      <c r="E44" s="97">
        <v>84.293000000000006</v>
      </c>
      <c r="F44" s="97">
        <v>3960.8737673394494</v>
      </c>
      <c r="G44" s="205">
        <f t="shared" si="9"/>
        <v>333873.93247034424</v>
      </c>
      <c r="H44" s="97">
        <v>84.293000000000006</v>
      </c>
      <c r="I44" s="267">
        <v>3376.7345132743367</v>
      </c>
      <c r="J44" s="205">
        <f t="shared" si="10"/>
        <v>284635.08232743369</v>
      </c>
      <c r="K44" s="97">
        <f>+人工费!K44</f>
        <v>0</v>
      </c>
      <c r="L44" s="267">
        <f t="shared" si="12"/>
        <v>3960.8737673394494</v>
      </c>
      <c r="M44" s="205">
        <f t="shared" si="13"/>
        <v>0</v>
      </c>
      <c r="N44" s="97">
        <f t="shared" si="15"/>
        <v>6.5762689999999964</v>
      </c>
      <c r="O44" s="207">
        <f t="shared" si="16"/>
        <v>3915.0814210224598</v>
      </c>
      <c r="P44" s="205">
        <f t="shared" si="14"/>
        <v>25746.628581545938</v>
      </c>
      <c r="Q44" s="207">
        <f>+人工费!Q44</f>
        <v>84.293000000000006</v>
      </c>
      <c r="R44" s="267">
        <v>3960.8737673394494</v>
      </c>
      <c r="S44" s="205">
        <f t="shared" si="11"/>
        <v>333873.93247034424</v>
      </c>
      <c r="T44" s="206">
        <v>120.916269</v>
      </c>
      <c r="U44" s="206">
        <v>3915.0814210224598</v>
      </c>
      <c r="V44" s="205">
        <f t="shared" si="17"/>
        <v>473397.03826125403</v>
      </c>
      <c r="W44" s="123"/>
      <c r="X44" s="214"/>
      <c r="Y44" s="214"/>
      <c r="Z44" s="206">
        <v>114.34</v>
      </c>
      <c r="AA44" s="206">
        <v>3465.8911553616199</v>
      </c>
      <c r="AB44" s="322">
        <v>396289.99470404763</v>
      </c>
    </row>
    <row r="45" spans="1:28" s="306" customFormat="1" ht="23.1" hidden="1" customHeight="1" outlineLevel="2">
      <c r="A45" s="267">
        <v>2.1199999999999997</v>
      </c>
      <c r="B45" s="223" t="s">
        <v>145</v>
      </c>
      <c r="C45" s="223" t="s">
        <v>158</v>
      </c>
      <c r="D45" s="223" t="s">
        <v>147</v>
      </c>
      <c r="E45" s="97">
        <v>59.776000000000003</v>
      </c>
      <c r="F45" s="97">
        <v>3952.5178137247708</v>
      </c>
      <c r="G45" s="205">
        <f t="shared" si="9"/>
        <v>236265.7048332119</v>
      </c>
      <c r="H45" s="97">
        <v>59.776000000000003</v>
      </c>
      <c r="I45" s="267">
        <v>3376.7345132743367</v>
      </c>
      <c r="J45" s="205">
        <f t="shared" si="10"/>
        <v>201847.68226548677</v>
      </c>
      <c r="K45" s="97">
        <f>+人工费!K45</f>
        <v>0</v>
      </c>
      <c r="L45" s="267">
        <f t="shared" si="12"/>
        <v>3952.5178137247708</v>
      </c>
      <c r="M45" s="205">
        <f t="shared" si="13"/>
        <v>0</v>
      </c>
      <c r="N45" s="97">
        <f t="shared" si="15"/>
        <v>13.82262399999999</v>
      </c>
      <c r="O45" s="207">
        <f t="shared" si="16"/>
        <v>3928.3888011580498</v>
      </c>
      <c r="P45" s="205">
        <f t="shared" si="14"/>
        <v>54300.64132421845</v>
      </c>
      <c r="Q45" s="207">
        <f>+人工费!Q45</f>
        <v>59.776000000000003</v>
      </c>
      <c r="R45" s="267">
        <v>3952.5178137247708</v>
      </c>
      <c r="S45" s="205">
        <f t="shared" si="11"/>
        <v>236265.7048332119</v>
      </c>
      <c r="T45" s="206">
        <v>110.14462399999999</v>
      </c>
      <c r="U45" s="206">
        <v>3928.3888011580498</v>
      </c>
      <c r="V45" s="205">
        <f t="shared" si="17"/>
        <v>432690.9074293641</v>
      </c>
      <c r="W45" s="123"/>
      <c r="X45" s="214"/>
      <c r="Y45" s="214"/>
      <c r="Z45" s="206">
        <v>96.322000000000003</v>
      </c>
      <c r="AA45" s="206">
        <v>3489.6070350146802</v>
      </c>
      <c r="AB45" s="322">
        <v>336125.92882668402</v>
      </c>
    </row>
    <row r="46" spans="1:28" s="306" customFormat="1" ht="23.1" hidden="1" customHeight="1" outlineLevel="2">
      <c r="A46" s="223">
        <v>2.1299999999999994</v>
      </c>
      <c r="B46" s="223" t="s">
        <v>145</v>
      </c>
      <c r="C46" s="223" t="s">
        <v>159</v>
      </c>
      <c r="D46" s="223" t="s">
        <v>147</v>
      </c>
      <c r="E46" s="97">
        <v>77.28</v>
      </c>
      <c r="F46" s="97">
        <v>3966.7162956330271</v>
      </c>
      <c r="G46" s="205">
        <f t="shared" si="9"/>
        <v>306547.83532652032</v>
      </c>
      <c r="H46" s="97">
        <v>77.28</v>
      </c>
      <c r="I46" s="267">
        <v>3403.2831858407085</v>
      </c>
      <c r="J46" s="205">
        <f t="shared" si="10"/>
        <v>263005.72460176994</v>
      </c>
      <c r="K46" s="97">
        <f>+人工费!K46</f>
        <v>0</v>
      </c>
      <c r="L46" s="267">
        <f t="shared" si="12"/>
        <v>3966.7162956330271</v>
      </c>
      <c r="M46" s="205">
        <f t="shared" si="13"/>
        <v>0</v>
      </c>
      <c r="N46" s="97">
        <f t="shared" si="15"/>
        <v>52.087468000000001</v>
      </c>
      <c r="O46" s="207">
        <f t="shared" si="16"/>
        <v>3954.6759771565899</v>
      </c>
      <c r="P46" s="205">
        <f t="shared" si="14"/>
        <v>205989.0584105126</v>
      </c>
      <c r="Q46" s="207">
        <f>+人工费!Q46</f>
        <v>77.28</v>
      </c>
      <c r="R46" s="267">
        <v>3966.7162956330271</v>
      </c>
      <c r="S46" s="205">
        <f t="shared" si="11"/>
        <v>306547.83532652032</v>
      </c>
      <c r="T46" s="206">
        <v>209.800468</v>
      </c>
      <c r="U46" s="206">
        <v>3954.6759771565899</v>
      </c>
      <c r="V46" s="205">
        <f t="shared" si="17"/>
        <v>829692.8707958099</v>
      </c>
      <c r="W46" s="123"/>
      <c r="X46" s="214"/>
      <c r="Y46" s="214"/>
      <c r="Z46" s="206">
        <v>157.71299999999999</v>
      </c>
      <c r="AA46" s="206">
        <v>3524.1827006081098</v>
      </c>
      <c r="AB46" s="322">
        <v>555809.42626100685</v>
      </c>
    </row>
    <row r="47" spans="1:28" s="306" customFormat="1" ht="23.1" hidden="1" customHeight="1" outlineLevel="2">
      <c r="A47" s="267">
        <v>2.1399999999999992</v>
      </c>
      <c r="B47" s="223" t="s">
        <v>145</v>
      </c>
      <c r="C47" s="223" t="s">
        <v>160</v>
      </c>
      <c r="D47" s="223" t="s">
        <v>147</v>
      </c>
      <c r="E47" s="97">
        <v>10.911</v>
      </c>
      <c r="F47" s="97">
        <v>4128.448101577982</v>
      </c>
      <c r="G47" s="205">
        <f t="shared" si="9"/>
        <v>45045.497236317358</v>
      </c>
      <c r="H47" s="97">
        <v>10.911</v>
      </c>
      <c r="I47" s="267">
        <v>3518.3274336283189</v>
      </c>
      <c r="J47" s="205">
        <f t="shared" si="10"/>
        <v>38388.470628318588</v>
      </c>
      <c r="K47" s="97">
        <f>+人工费!K47</f>
        <v>0</v>
      </c>
      <c r="L47" s="267">
        <f t="shared" si="12"/>
        <v>4128.448101577982</v>
      </c>
      <c r="M47" s="205">
        <f t="shared" si="13"/>
        <v>0</v>
      </c>
      <c r="N47" s="97">
        <f t="shared" si="15"/>
        <v>3.1481599999999972</v>
      </c>
      <c r="O47" s="207">
        <f t="shared" si="16"/>
        <v>4088.0550361381902</v>
      </c>
      <c r="P47" s="205">
        <f t="shared" si="14"/>
        <v>12869.851342568792</v>
      </c>
      <c r="Q47" s="207">
        <f>+人工费!Q47</f>
        <v>10.911</v>
      </c>
      <c r="R47" s="267">
        <v>4128.448101577982</v>
      </c>
      <c r="S47" s="205">
        <f t="shared" si="11"/>
        <v>45045.497236317358</v>
      </c>
      <c r="T47" s="206">
        <f>35.89416+7.95</f>
        <v>43.844160000000002</v>
      </c>
      <c r="U47" s="206">
        <v>4088.0550361381902</v>
      </c>
      <c r="V47" s="205">
        <f t="shared" si="17"/>
        <v>179237.33909324859</v>
      </c>
      <c r="W47" s="123"/>
      <c r="X47" s="214"/>
      <c r="Y47" s="214"/>
      <c r="Z47" s="206">
        <v>40.696000000000005</v>
      </c>
      <c r="AA47" s="206">
        <v>3628.3807658177102</v>
      </c>
      <c r="AB47" s="322">
        <v>147660.58364571756</v>
      </c>
    </row>
    <row r="48" spans="1:28" s="306" customFormat="1" ht="23.1" hidden="1" customHeight="1" outlineLevel="2">
      <c r="A48" s="223">
        <v>2.149999999999999</v>
      </c>
      <c r="B48" s="223" t="s">
        <v>145</v>
      </c>
      <c r="C48" s="223" t="s">
        <v>161</v>
      </c>
      <c r="D48" s="223" t="s">
        <v>147</v>
      </c>
      <c r="E48" s="97">
        <v>0.2</v>
      </c>
      <c r="F48" s="97">
        <v>4278.3430969541278</v>
      </c>
      <c r="G48" s="205">
        <f t="shared" si="9"/>
        <v>855.6686193908256</v>
      </c>
      <c r="H48" s="97">
        <v>0.2</v>
      </c>
      <c r="I48" s="267">
        <v>3677.6194690265493</v>
      </c>
      <c r="J48" s="205">
        <f t="shared" si="10"/>
        <v>735.52389380530985</v>
      </c>
      <c r="K48" s="97">
        <f>+人工费!K48</f>
        <v>0</v>
      </c>
      <c r="L48" s="267">
        <f t="shared" si="12"/>
        <v>4278.3430969541278</v>
      </c>
      <c r="M48" s="205">
        <f t="shared" si="13"/>
        <v>0</v>
      </c>
      <c r="N48" s="97">
        <f t="shared" si="15"/>
        <v>0</v>
      </c>
      <c r="O48" s="207">
        <f t="shared" si="16"/>
        <v>3953.7448022052999</v>
      </c>
      <c r="P48" s="205">
        <f>+O48*N48</f>
        <v>0</v>
      </c>
      <c r="Q48" s="207">
        <f>+人工费!Q48</f>
        <v>0</v>
      </c>
      <c r="R48" s="267">
        <v>4278.3430969541278</v>
      </c>
      <c r="S48" s="205">
        <f t="shared" si="11"/>
        <v>0</v>
      </c>
      <c r="T48" s="206"/>
      <c r="U48" s="240">
        <f>+U40</f>
        <v>3953.7448022052999</v>
      </c>
      <c r="V48" s="321">
        <f t="shared" si="17"/>
        <v>0</v>
      </c>
      <c r="W48" s="318" t="s">
        <v>335</v>
      </c>
      <c r="X48" s="214"/>
      <c r="Y48" s="214"/>
      <c r="Z48" s="207"/>
      <c r="AA48" s="207"/>
      <c r="AB48" s="205">
        <v>0</v>
      </c>
    </row>
    <row r="49" spans="1:28" s="306" customFormat="1" ht="23.1" hidden="1" customHeight="1" outlineLevel="2">
      <c r="A49" s="267">
        <v>2.1599999999999988</v>
      </c>
      <c r="B49" s="223" t="s">
        <v>162</v>
      </c>
      <c r="C49" s="223" t="s">
        <v>148</v>
      </c>
      <c r="D49" s="223" t="s">
        <v>147</v>
      </c>
      <c r="E49" s="97">
        <v>2.4689999999999999</v>
      </c>
      <c r="F49" s="97">
        <v>4075.9222546788988</v>
      </c>
      <c r="G49" s="205">
        <f t="shared" si="9"/>
        <v>10063.4520468022</v>
      </c>
      <c r="H49" s="97">
        <v>2.4689999999999999</v>
      </c>
      <c r="I49" s="267">
        <v>4116.7226061204346</v>
      </c>
      <c r="J49" s="205">
        <f t="shared" si="10"/>
        <v>10164.188114511353</v>
      </c>
      <c r="K49" s="97">
        <f>+人工费!K49</f>
        <v>0</v>
      </c>
      <c r="L49" s="267">
        <f t="shared" si="12"/>
        <v>4075.9222546788988</v>
      </c>
      <c r="M49" s="205">
        <f t="shared" si="13"/>
        <v>0</v>
      </c>
      <c r="N49" s="97"/>
      <c r="O49" s="207"/>
      <c r="P49" s="205">
        <f t="shared" ref="P49:P61" si="18">+O49*N49</f>
        <v>0</v>
      </c>
      <c r="Q49" s="207">
        <f>+人工费!Q49</f>
        <v>0</v>
      </c>
      <c r="R49" s="267">
        <v>4075.9222546788988</v>
      </c>
      <c r="S49" s="205">
        <f t="shared" si="11"/>
        <v>0</v>
      </c>
      <c r="T49" s="207"/>
      <c r="U49" s="207"/>
      <c r="V49" s="205">
        <v>0</v>
      </c>
      <c r="W49" s="123"/>
      <c r="X49" s="214"/>
      <c r="Y49" s="214"/>
      <c r="Z49" s="207"/>
      <c r="AA49" s="207"/>
      <c r="AB49" s="205">
        <v>0</v>
      </c>
    </row>
    <row r="50" spans="1:28" s="306" customFormat="1" ht="23.1" hidden="1" customHeight="1" outlineLevel="2">
      <c r="A50" s="223">
        <v>2.1699999999999986</v>
      </c>
      <c r="B50" s="223" t="s">
        <v>162</v>
      </c>
      <c r="C50" s="223" t="s">
        <v>163</v>
      </c>
      <c r="D50" s="223" t="s">
        <v>147</v>
      </c>
      <c r="E50" s="97">
        <v>1.6759999999999999</v>
      </c>
      <c r="F50" s="97">
        <v>4075.8938008073392</v>
      </c>
      <c r="G50" s="205">
        <f t="shared" si="9"/>
        <v>6831.1980101530999</v>
      </c>
      <c r="H50" s="97">
        <v>1.6759999999999999</v>
      </c>
      <c r="I50" s="267">
        <v>3646.2300884955753</v>
      </c>
      <c r="J50" s="205">
        <f t="shared" si="10"/>
        <v>6111.0816283185841</v>
      </c>
      <c r="K50" s="97">
        <f>+人工费!K50</f>
        <v>0</v>
      </c>
      <c r="L50" s="267">
        <f t="shared" si="12"/>
        <v>4075.8938008073392</v>
      </c>
      <c r="M50" s="205">
        <f t="shared" si="13"/>
        <v>0</v>
      </c>
      <c r="N50" s="97"/>
      <c r="O50" s="207"/>
      <c r="P50" s="205">
        <f t="shared" si="18"/>
        <v>0</v>
      </c>
      <c r="Q50" s="207">
        <f>+人工费!Q50</f>
        <v>0</v>
      </c>
      <c r="R50" s="267">
        <v>4075.8938008073392</v>
      </c>
      <c r="S50" s="205">
        <f t="shared" si="11"/>
        <v>0</v>
      </c>
      <c r="T50" s="207"/>
      <c r="U50" s="207"/>
      <c r="V50" s="205">
        <v>0</v>
      </c>
      <c r="W50" s="123"/>
      <c r="X50" s="214"/>
      <c r="Y50" s="214"/>
      <c r="Z50" s="207"/>
      <c r="AA50" s="207"/>
      <c r="AB50" s="205">
        <v>0</v>
      </c>
    </row>
    <row r="51" spans="1:28" s="306" customFormat="1" ht="23.1" hidden="1" customHeight="1" outlineLevel="2">
      <c r="A51" s="267">
        <v>2.1799999999999984</v>
      </c>
      <c r="B51" s="223" t="s">
        <v>162</v>
      </c>
      <c r="C51" s="223" t="s">
        <v>150</v>
      </c>
      <c r="D51" s="223" t="s">
        <v>147</v>
      </c>
      <c r="E51" s="97">
        <v>5.3250000000000002</v>
      </c>
      <c r="F51" s="97">
        <v>4215.6971564036703</v>
      </c>
      <c r="G51" s="205">
        <f t="shared" si="9"/>
        <v>22448.587357849545</v>
      </c>
      <c r="H51" s="97">
        <v>5.3250000000000002</v>
      </c>
      <c r="I51" s="267">
        <v>3839.4424778761063</v>
      </c>
      <c r="J51" s="205">
        <f t="shared" si="10"/>
        <v>20445.031194690266</v>
      </c>
      <c r="K51" s="97">
        <f>+人工费!K51</f>
        <v>0</v>
      </c>
      <c r="L51" s="267">
        <f t="shared" si="12"/>
        <v>4215.6971564036703</v>
      </c>
      <c r="M51" s="205">
        <f t="shared" si="13"/>
        <v>0</v>
      </c>
      <c r="N51" s="97"/>
      <c r="O51" s="207"/>
      <c r="P51" s="205">
        <f t="shared" si="18"/>
        <v>0</v>
      </c>
      <c r="Q51" s="207">
        <f>+人工费!Q51</f>
        <v>5.3250000000000002</v>
      </c>
      <c r="R51" s="267">
        <v>4215.6971564036703</v>
      </c>
      <c r="S51" s="205">
        <f t="shared" si="11"/>
        <v>22448.587357849545</v>
      </c>
      <c r="T51" s="207"/>
      <c r="U51" s="207"/>
      <c r="V51" s="205">
        <v>0</v>
      </c>
      <c r="W51" s="123"/>
      <c r="X51" s="214"/>
      <c r="Y51" s="214"/>
      <c r="Z51" s="207"/>
      <c r="AA51" s="207"/>
      <c r="AB51" s="205">
        <v>0</v>
      </c>
    </row>
    <row r="52" spans="1:28" s="306" customFormat="1" ht="23.1" hidden="1" customHeight="1" outlineLevel="2">
      <c r="A52" s="223">
        <v>2.1899999999999982</v>
      </c>
      <c r="B52" s="223" t="s">
        <v>162</v>
      </c>
      <c r="C52" s="223" t="s">
        <v>151</v>
      </c>
      <c r="D52" s="223" t="s">
        <v>147</v>
      </c>
      <c r="E52" s="97">
        <v>30.245999999999999</v>
      </c>
      <c r="F52" s="97">
        <v>4015.1163311559631</v>
      </c>
      <c r="G52" s="205">
        <f t="shared" si="9"/>
        <v>121441.20855214326</v>
      </c>
      <c r="H52" s="97">
        <v>30.245999999999999</v>
      </c>
      <c r="I52" s="267">
        <v>3582.8053097345132</v>
      </c>
      <c r="J52" s="205">
        <f t="shared" si="10"/>
        <v>108365.52939823008</v>
      </c>
      <c r="K52" s="97">
        <f>+人工费!K52</f>
        <v>0</v>
      </c>
      <c r="L52" s="267">
        <f t="shared" si="12"/>
        <v>4015.1163311559631</v>
      </c>
      <c r="M52" s="205">
        <f t="shared" si="13"/>
        <v>0</v>
      </c>
      <c r="N52" s="97"/>
      <c r="O52" s="207"/>
      <c r="P52" s="205">
        <f t="shared" si="18"/>
        <v>0</v>
      </c>
      <c r="Q52" s="207">
        <f>+人工费!Q52</f>
        <v>30.245999999999999</v>
      </c>
      <c r="R52" s="267">
        <v>4015.1163311559631</v>
      </c>
      <c r="S52" s="205">
        <f t="shared" si="11"/>
        <v>121441.20855214326</v>
      </c>
      <c r="T52" s="207"/>
      <c r="U52" s="207"/>
      <c r="V52" s="205">
        <v>0</v>
      </c>
      <c r="W52" s="123"/>
      <c r="X52" s="214"/>
      <c r="Y52" s="214"/>
      <c r="Z52" s="207"/>
      <c r="AA52" s="207"/>
      <c r="AB52" s="205">
        <v>0</v>
      </c>
    </row>
    <row r="53" spans="1:28" s="306" customFormat="1" ht="23.1" hidden="1" customHeight="1" outlineLevel="2">
      <c r="A53" s="267">
        <v>2.199999999999998</v>
      </c>
      <c r="B53" s="223" t="s">
        <v>162</v>
      </c>
      <c r="C53" s="223" t="s">
        <v>152</v>
      </c>
      <c r="D53" s="223" t="s">
        <v>147</v>
      </c>
      <c r="E53" s="97">
        <v>74.191999999999993</v>
      </c>
      <c r="F53" s="97">
        <v>4072.6216055779814</v>
      </c>
      <c r="G53" s="205">
        <f t="shared" si="9"/>
        <v>302155.94216104154</v>
      </c>
      <c r="H53" s="97">
        <v>74.191999999999993</v>
      </c>
      <c r="I53" s="267">
        <v>3580.1504424778764</v>
      </c>
      <c r="J53" s="205">
        <f t="shared" si="10"/>
        <v>265618.52162831859</v>
      </c>
      <c r="K53" s="97">
        <f>+人工费!K53</f>
        <v>0</v>
      </c>
      <c r="L53" s="267">
        <f t="shared" si="12"/>
        <v>4072.6216055779814</v>
      </c>
      <c r="M53" s="205">
        <f t="shared" si="13"/>
        <v>0</v>
      </c>
      <c r="N53" s="97"/>
      <c r="O53" s="207"/>
      <c r="P53" s="205">
        <f t="shared" si="18"/>
        <v>0</v>
      </c>
      <c r="Q53" s="207">
        <f>+人工费!Q53</f>
        <v>42.624000000000002</v>
      </c>
      <c r="R53" s="267">
        <v>4072.6216055779814</v>
      </c>
      <c r="S53" s="205">
        <f t="shared" si="11"/>
        <v>173591.42331615588</v>
      </c>
      <c r="T53" s="207"/>
      <c r="U53" s="207"/>
      <c r="V53" s="205">
        <v>0</v>
      </c>
      <c r="W53" s="123"/>
      <c r="X53" s="214"/>
      <c r="Y53" s="214"/>
      <c r="Z53" s="207"/>
      <c r="AA53" s="207"/>
      <c r="AB53" s="205">
        <v>0</v>
      </c>
    </row>
    <row r="54" spans="1:28" s="306" customFormat="1" ht="23.1" hidden="1" customHeight="1" outlineLevel="2">
      <c r="A54" s="223">
        <v>2.2099999999999977</v>
      </c>
      <c r="B54" s="223" t="s">
        <v>162</v>
      </c>
      <c r="C54" s="223" t="s">
        <v>153</v>
      </c>
      <c r="D54" s="223" t="s">
        <v>147</v>
      </c>
      <c r="E54" s="97">
        <v>23.106000000000002</v>
      </c>
      <c r="F54" s="97">
        <v>4016.7097479633035</v>
      </c>
      <c r="G54" s="205">
        <f t="shared" si="9"/>
        <v>92810.095436440097</v>
      </c>
      <c r="H54" s="97">
        <v>23.106000000000002</v>
      </c>
      <c r="I54" s="267">
        <v>3518.3274336283189</v>
      </c>
      <c r="J54" s="205">
        <f t="shared" si="10"/>
        <v>81294.473681415941</v>
      </c>
      <c r="K54" s="97">
        <f>+人工费!K54</f>
        <v>0</v>
      </c>
      <c r="L54" s="267">
        <f t="shared" si="12"/>
        <v>4016.7097479633035</v>
      </c>
      <c r="M54" s="205">
        <f t="shared" si="13"/>
        <v>0</v>
      </c>
      <c r="N54" s="97"/>
      <c r="O54" s="207"/>
      <c r="P54" s="205">
        <f t="shared" si="18"/>
        <v>0</v>
      </c>
      <c r="Q54" s="207">
        <f>+人工费!Q54</f>
        <v>63.069000000000003</v>
      </c>
      <c r="R54" s="267">
        <v>4016.7097479633035</v>
      </c>
      <c r="S54" s="205">
        <f t="shared" si="11"/>
        <v>253329.8670942976</v>
      </c>
      <c r="T54" s="207"/>
      <c r="U54" s="207"/>
      <c r="V54" s="205">
        <v>0</v>
      </c>
      <c r="W54" s="123"/>
      <c r="X54" s="214"/>
      <c r="Y54" s="214"/>
      <c r="Z54" s="207"/>
      <c r="AA54" s="207"/>
      <c r="AB54" s="205">
        <v>0</v>
      </c>
    </row>
    <row r="55" spans="1:28" s="306" customFormat="1" ht="23.1" hidden="1" customHeight="1" outlineLevel="2">
      <c r="A55" s="267">
        <v>2.2199999999999975</v>
      </c>
      <c r="B55" s="223" t="s">
        <v>162</v>
      </c>
      <c r="C55" s="223" t="s">
        <v>154</v>
      </c>
      <c r="D55" s="223" t="s">
        <v>147</v>
      </c>
      <c r="E55" s="97">
        <v>18.609000000000002</v>
      </c>
      <c r="F55" s="97">
        <v>3982.5081943486234</v>
      </c>
      <c r="G55" s="205">
        <f t="shared" si="9"/>
        <v>74110.494988633538</v>
      </c>
      <c r="H55" s="97">
        <v>18.609000000000002</v>
      </c>
      <c r="I55" s="267">
        <v>3518.3274336283189</v>
      </c>
      <c r="J55" s="205">
        <f t="shared" si="10"/>
        <v>65472.555212389394</v>
      </c>
      <c r="K55" s="97">
        <f>+人工费!K55</f>
        <v>0</v>
      </c>
      <c r="L55" s="267">
        <f t="shared" si="12"/>
        <v>3982.5081943486234</v>
      </c>
      <c r="M55" s="205">
        <f t="shared" si="13"/>
        <v>0</v>
      </c>
      <c r="N55" s="97"/>
      <c r="O55" s="207"/>
      <c r="P55" s="205">
        <f t="shared" si="18"/>
        <v>0</v>
      </c>
      <c r="Q55" s="207">
        <f>+人工费!Q55</f>
        <v>17.654</v>
      </c>
      <c r="R55" s="267">
        <v>3982.5081943486234</v>
      </c>
      <c r="S55" s="205">
        <f t="shared" si="11"/>
        <v>70307.199663030595</v>
      </c>
      <c r="T55" s="207"/>
      <c r="U55" s="207"/>
      <c r="V55" s="205">
        <v>0</v>
      </c>
      <c r="W55" s="123"/>
      <c r="X55" s="214"/>
      <c r="Y55" s="214"/>
      <c r="Z55" s="207"/>
      <c r="AA55" s="207"/>
      <c r="AB55" s="205">
        <v>0</v>
      </c>
    </row>
    <row r="56" spans="1:28" s="306" customFormat="1" ht="23.1" hidden="1" customHeight="1" outlineLevel="2">
      <c r="A56" s="223">
        <v>2.2299999999999973</v>
      </c>
      <c r="B56" s="223" t="s">
        <v>162</v>
      </c>
      <c r="C56" s="223" t="s">
        <v>155</v>
      </c>
      <c r="D56" s="223" t="s">
        <v>147</v>
      </c>
      <c r="E56" s="97">
        <v>62.289000000000001</v>
      </c>
      <c r="F56" s="97">
        <v>3930.8169943486237</v>
      </c>
      <c r="G56" s="205">
        <f t="shared" si="9"/>
        <v>244846.65976098142</v>
      </c>
      <c r="H56" s="97">
        <v>62.289000000000001</v>
      </c>
      <c r="I56" s="267">
        <v>3420.9823008849562</v>
      </c>
      <c r="J56" s="205">
        <f t="shared" si="10"/>
        <v>213089.56653982305</v>
      </c>
      <c r="K56" s="97">
        <f>+人工费!K56</f>
        <v>0</v>
      </c>
      <c r="L56" s="267">
        <f t="shared" si="12"/>
        <v>3930.8169943486237</v>
      </c>
      <c r="M56" s="205">
        <f t="shared" si="13"/>
        <v>0</v>
      </c>
      <c r="N56" s="97"/>
      <c r="O56" s="207"/>
      <c r="P56" s="205">
        <f t="shared" si="18"/>
        <v>0</v>
      </c>
      <c r="Q56" s="207">
        <f>+人工费!Q56</f>
        <v>56.475000000000001</v>
      </c>
      <c r="R56" s="267">
        <v>3930.8169943486237</v>
      </c>
      <c r="S56" s="205">
        <f t="shared" si="11"/>
        <v>221992.88975583852</v>
      </c>
      <c r="T56" s="207"/>
      <c r="U56" s="207"/>
      <c r="V56" s="205">
        <v>0</v>
      </c>
      <c r="W56" s="123"/>
      <c r="X56" s="214"/>
      <c r="Y56" s="214"/>
      <c r="Z56" s="207"/>
      <c r="AA56" s="207"/>
      <c r="AB56" s="205">
        <v>0</v>
      </c>
    </row>
    <row r="57" spans="1:28" s="306" customFormat="1" ht="23.1" hidden="1" customHeight="1" outlineLevel="2">
      <c r="A57" s="267">
        <v>2.2399999999999971</v>
      </c>
      <c r="B57" s="223" t="s">
        <v>162</v>
      </c>
      <c r="C57" s="223" t="s">
        <v>156</v>
      </c>
      <c r="D57" s="223" t="s">
        <v>147</v>
      </c>
      <c r="E57" s="97">
        <v>32.457000000000001</v>
      </c>
      <c r="F57" s="97">
        <v>3887.4248402201829</v>
      </c>
      <c r="G57" s="205">
        <f t="shared" si="9"/>
        <v>126174.14803902648</v>
      </c>
      <c r="H57" s="97">
        <v>32.457000000000001</v>
      </c>
      <c r="I57" s="267">
        <v>3359.035398230089</v>
      </c>
      <c r="J57" s="205">
        <f t="shared" si="10"/>
        <v>109024.21192035401</v>
      </c>
      <c r="K57" s="97">
        <f>+人工费!K57</f>
        <v>0</v>
      </c>
      <c r="L57" s="267">
        <f t="shared" si="12"/>
        <v>3887.4248402201829</v>
      </c>
      <c r="M57" s="205">
        <f t="shared" si="13"/>
        <v>0</v>
      </c>
      <c r="N57" s="97"/>
      <c r="O57" s="207"/>
      <c r="P57" s="205">
        <f t="shared" si="18"/>
        <v>0</v>
      </c>
      <c r="Q57" s="207">
        <f>+人工费!Q57</f>
        <v>29.475999999999999</v>
      </c>
      <c r="R57" s="267">
        <v>3887.4248402201829</v>
      </c>
      <c r="S57" s="205">
        <f t="shared" si="11"/>
        <v>114585.7345903301</v>
      </c>
      <c r="T57" s="207"/>
      <c r="U57" s="207"/>
      <c r="V57" s="205">
        <v>0</v>
      </c>
      <c r="W57" s="123"/>
      <c r="X57" s="214"/>
      <c r="Y57" s="214"/>
      <c r="Z57" s="207"/>
      <c r="AA57" s="207"/>
      <c r="AB57" s="205">
        <v>0</v>
      </c>
    </row>
    <row r="58" spans="1:28" s="306" customFormat="1" ht="23.1" hidden="1" customHeight="1" outlineLevel="2">
      <c r="A58" s="223">
        <v>2.2499999999999969</v>
      </c>
      <c r="B58" s="223" t="s">
        <v>162</v>
      </c>
      <c r="C58" s="223" t="s">
        <v>157</v>
      </c>
      <c r="D58" s="223" t="s">
        <v>147</v>
      </c>
      <c r="E58" s="97">
        <v>0.94</v>
      </c>
      <c r="F58" s="97">
        <v>3903.2831313027523</v>
      </c>
      <c r="G58" s="205">
        <f t="shared" si="9"/>
        <v>3669.0861434245871</v>
      </c>
      <c r="H58" s="97">
        <v>0.94</v>
      </c>
      <c r="I58" s="267">
        <v>3376.7345132743367</v>
      </c>
      <c r="J58" s="205">
        <f t="shared" si="10"/>
        <v>3174.1304424778764</v>
      </c>
      <c r="K58" s="97">
        <f>+人工费!K58</f>
        <v>0</v>
      </c>
      <c r="L58" s="267">
        <f t="shared" si="12"/>
        <v>3903.2831313027523</v>
      </c>
      <c r="M58" s="205">
        <f t="shared" si="13"/>
        <v>0</v>
      </c>
      <c r="N58" s="97"/>
      <c r="O58" s="207"/>
      <c r="P58" s="205">
        <f t="shared" si="18"/>
        <v>0</v>
      </c>
      <c r="Q58" s="207">
        <f>+人工费!Q58</f>
        <v>0</v>
      </c>
      <c r="R58" s="267">
        <v>3903.2831313027523</v>
      </c>
      <c r="S58" s="205">
        <f t="shared" si="11"/>
        <v>0</v>
      </c>
      <c r="T58" s="207"/>
      <c r="U58" s="207"/>
      <c r="V58" s="205">
        <v>0</v>
      </c>
      <c r="W58" s="123"/>
      <c r="X58" s="214"/>
      <c r="Y58" s="214"/>
      <c r="Z58" s="207"/>
      <c r="AA58" s="207"/>
      <c r="AB58" s="205">
        <v>0</v>
      </c>
    </row>
    <row r="59" spans="1:28" s="306" customFormat="1" ht="23.1" hidden="1" customHeight="1" outlineLevel="2">
      <c r="A59" s="267">
        <v>2.2599999999999967</v>
      </c>
      <c r="B59" s="196" t="s">
        <v>164</v>
      </c>
      <c r="C59" s="196" t="s">
        <v>165</v>
      </c>
      <c r="D59" s="196" t="s">
        <v>166</v>
      </c>
      <c r="E59" s="97">
        <v>10771</v>
      </c>
      <c r="F59" s="97">
        <v>2.1530096146788988</v>
      </c>
      <c r="G59" s="205">
        <f t="shared" si="9"/>
        <v>23190.066559706418</v>
      </c>
      <c r="H59" s="97">
        <v>10771</v>
      </c>
      <c r="I59" s="267">
        <v>2</v>
      </c>
      <c r="J59" s="205">
        <f t="shared" si="10"/>
        <v>21542</v>
      </c>
      <c r="K59" s="97">
        <f>+人工费!K59</f>
        <v>0</v>
      </c>
      <c r="L59" s="267">
        <f t="shared" si="12"/>
        <v>2.1530096146788988</v>
      </c>
      <c r="M59" s="205">
        <f t="shared" si="13"/>
        <v>0</v>
      </c>
      <c r="N59" s="97"/>
      <c r="O59" s="207"/>
      <c r="P59" s="97">
        <f>+V59-AB59</f>
        <v>2838.3185840707883</v>
      </c>
      <c r="Q59" s="207">
        <f>+人工费!Q59</f>
        <v>10771</v>
      </c>
      <c r="R59" s="267">
        <v>2.1530096146788988</v>
      </c>
      <c r="S59" s="205">
        <f t="shared" si="11"/>
        <v>23190.066559706418</v>
      </c>
      <c r="T59" s="207"/>
      <c r="U59" s="207"/>
      <c r="V59" s="322">
        <v>74994.955752212394</v>
      </c>
      <c r="W59" s="123" t="s">
        <v>336</v>
      </c>
      <c r="X59" s="214"/>
      <c r="Y59" s="214"/>
      <c r="Z59" s="207"/>
      <c r="AA59" s="207"/>
      <c r="AB59" s="322">
        <v>72156.637168141606</v>
      </c>
    </row>
    <row r="60" spans="1:28" s="306" customFormat="1" ht="23.1" hidden="1" customHeight="1" outlineLevel="2">
      <c r="A60" s="223">
        <v>2.2699999999999965</v>
      </c>
      <c r="B60" s="196" t="s">
        <v>164</v>
      </c>
      <c r="C60" s="196" t="s">
        <v>167</v>
      </c>
      <c r="D60" s="314" t="s">
        <v>166</v>
      </c>
      <c r="E60" s="97">
        <v>6466</v>
      </c>
      <c r="F60" s="97">
        <v>8.3844074862385316</v>
      </c>
      <c r="G60" s="205">
        <f t="shared" si="9"/>
        <v>54213.578806018348</v>
      </c>
      <c r="H60" s="97">
        <v>6466</v>
      </c>
      <c r="I60" s="267">
        <v>2</v>
      </c>
      <c r="J60" s="205">
        <f t="shared" si="10"/>
        <v>12932</v>
      </c>
      <c r="K60" s="97">
        <f>+人工费!K60</f>
        <v>0</v>
      </c>
      <c r="L60" s="267">
        <f t="shared" si="12"/>
        <v>8.3844074862385316</v>
      </c>
      <c r="M60" s="205">
        <f t="shared" si="13"/>
        <v>0</v>
      </c>
      <c r="N60" s="97"/>
      <c r="O60" s="207"/>
      <c r="P60" s="205">
        <f t="shared" si="18"/>
        <v>0</v>
      </c>
      <c r="Q60" s="207">
        <f>+人工费!Q60</f>
        <v>6466</v>
      </c>
      <c r="R60" s="267">
        <v>8.3844074862385316</v>
      </c>
      <c r="S60" s="205">
        <f t="shared" si="11"/>
        <v>54213.578806018348</v>
      </c>
      <c r="T60" s="207"/>
      <c r="U60" s="207"/>
      <c r="V60" s="205">
        <v>0</v>
      </c>
      <c r="W60" s="123"/>
      <c r="X60" s="214"/>
      <c r="Y60" s="214"/>
      <c r="Z60" s="207"/>
      <c r="AA60" s="207"/>
      <c r="AB60" s="205">
        <v>0</v>
      </c>
    </row>
    <row r="61" spans="1:28" s="306" customFormat="1" ht="23.1" hidden="1" customHeight="1" outlineLevel="2">
      <c r="A61" s="267">
        <v>2.2799999999999963</v>
      </c>
      <c r="B61" s="196" t="s">
        <v>164</v>
      </c>
      <c r="C61" s="196" t="s">
        <v>168</v>
      </c>
      <c r="D61" s="314" t="s">
        <v>166</v>
      </c>
      <c r="E61" s="97">
        <v>148</v>
      </c>
      <c r="F61" s="97">
        <v>10.148547522935779</v>
      </c>
      <c r="G61" s="205">
        <f t="shared" si="9"/>
        <v>1501.9850333944953</v>
      </c>
      <c r="H61" s="97">
        <v>148</v>
      </c>
      <c r="I61" s="267">
        <v>2</v>
      </c>
      <c r="J61" s="205">
        <f t="shared" si="10"/>
        <v>296</v>
      </c>
      <c r="K61" s="97">
        <f>+人工费!K61</f>
        <v>0</v>
      </c>
      <c r="L61" s="267">
        <f t="shared" si="12"/>
        <v>10.148547522935779</v>
      </c>
      <c r="M61" s="205">
        <f t="shared" si="13"/>
        <v>0</v>
      </c>
      <c r="N61" s="97"/>
      <c r="O61" s="207"/>
      <c r="P61" s="205">
        <f t="shared" si="18"/>
        <v>0</v>
      </c>
      <c r="Q61" s="207">
        <f>+人工费!Q61</f>
        <v>229</v>
      </c>
      <c r="R61" s="267">
        <v>10.148547522935779</v>
      </c>
      <c r="S61" s="205">
        <f t="shared" si="11"/>
        <v>2324.0173827522935</v>
      </c>
      <c r="T61" s="207"/>
      <c r="U61" s="207"/>
      <c r="V61" s="205">
        <v>0</v>
      </c>
      <c r="W61" s="123"/>
      <c r="X61" s="214"/>
      <c r="Y61" s="214"/>
      <c r="Z61" s="207"/>
      <c r="AA61" s="207"/>
      <c r="AB61" s="205">
        <v>0</v>
      </c>
    </row>
    <row r="62" spans="1:28" s="306" customFormat="1" ht="23.1" customHeight="1" collapsed="1">
      <c r="A62" s="220" t="s">
        <v>169</v>
      </c>
      <c r="B62" s="220" t="s">
        <v>170</v>
      </c>
      <c r="C62" s="220"/>
      <c r="D62" s="220"/>
      <c r="E62" s="97">
        <v>0</v>
      </c>
      <c r="F62" s="97">
        <v>0</v>
      </c>
      <c r="G62" s="222">
        <f>+G63+G91</f>
        <v>1691235.0537233949</v>
      </c>
      <c r="H62" s="97">
        <v>0</v>
      </c>
      <c r="I62" s="266"/>
      <c r="J62" s="222">
        <f>+J63+J91</f>
        <v>1348878.3596421741</v>
      </c>
      <c r="K62" s="97"/>
      <c r="L62" s="266"/>
      <c r="M62" s="222">
        <f>+M63+M91</f>
        <v>0</v>
      </c>
      <c r="N62" s="229"/>
      <c r="O62" s="229"/>
      <c r="P62" s="222">
        <f>+P63+P91</f>
        <v>0</v>
      </c>
      <c r="Q62" s="229"/>
      <c r="R62" s="266"/>
      <c r="S62" s="222">
        <f>+S63+S91</f>
        <v>1468222.1639301223</v>
      </c>
      <c r="T62" s="207"/>
      <c r="U62" s="207"/>
      <c r="V62" s="222">
        <f>+V63+V91</f>
        <v>0</v>
      </c>
      <c r="W62" s="137"/>
      <c r="X62" s="212"/>
      <c r="Y62" s="212"/>
      <c r="Z62" s="229"/>
      <c r="AA62" s="229"/>
      <c r="AB62" s="222">
        <v>0</v>
      </c>
    </row>
    <row r="63" spans="1:28" s="306" customFormat="1" ht="23.1" hidden="1" customHeight="1" outlineLevel="1" collapsed="1">
      <c r="A63" s="220">
        <v>1</v>
      </c>
      <c r="B63" s="315" t="s">
        <v>144</v>
      </c>
      <c r="C63" s="274"/>
      <c r="D63" s="315"/>
      <c r="E63" s="97">
        <v>0</v>
      </c>
      <c r="F63" s="97">
        <v>0</v>
      </c>
      <c r="G63" s="222">
        <f>SUM(G64:G90)</f>
        <v>1017186.8084830927</v>
      </c>
      <c r="H63" s="97">
        <v>0</v>
      </c>
      <c r="I63" s="266"/>
      <c r="J63" s="222">
        <f>SUM(J64:J90)</f>
        <v>881248.67543343618</v>
      </c>
      <c r="K63" s="97"/>
      <c r="L63" s="266"/>
      <c r="M63" s="222">
        <f>SUM(M64:M90)</f>
        <v>0</v>
      </c>
      <c r="N63" s="229"/>
      <c r="O63" s="229"/>
      <c r="P63" s="222">
        <f>SUM(P64:P90)</f>
        <v>0</v>
      </c>
      <c r="Q63" s="229"/>
      <c r="R63" s="266"/>
      <c r="S63" s="222">
        <f>SUM(S64:S90)</f>
        <v>812802.54064202856</v>
      </c>
      <c r="T63" s="229"/>
      <c r="U63" s="229"/>
      <c r="V63" s="222">
        <f>SUM(V64:V90)</f>
        <v>0</v>
      </c>
      <c r="W63" s="137"/>
      <c r="X63" s="212"/>
      <c r="Y63" s="212"/>
      <c r="Z63" s="229"/>
      <c r="AA63" s="229"/>
      <c r="AB63" s="222">
        <v>0</v>
      </c>
    </row>
    <row r="64" spans="1:28" s="306" customFormat="1" ht="23.1" hidden="1" customHeight="1" outlineLevel="2">
      <c r="A64" s="223">
        <v>1.1000000000000001</v>
      </c>
      <c r="B64" s="260" t="s">
        <v>145</v>
      </c>
      <c r="C64" s="275" t="s">
        <v>171</v>
      </c>
      <c r="D64" s="260" t="s">
        <v>147</v>
      </c>
      <c r="E64" s="97">
        <v>1.7430000000000001</v>
      </c>
      <c r="F64" s="97">
        <v>4046.4819822385316</v>
      </c>
      <c r="G64" s="205">
        <f t="shared" ref="G64:G90" si="19">+F64*E64</f>
        <v>7053.0180950417607</v>
      </c>
      <c r="H64" s="97">
        <v>1.7430000000000001</v>
      </c>
      <c r="I64" s="267">
        <v>3690.4778761061948</v>
      </c>
      <c r="J64" s="205">
        <f t="shared" ref="J64:J90" si="20">+I64*H64</f>
        <v>6432.5029380530978</v>
      </c>
      <c r="K64" s="97">
        <f>+人工费!K64</f>
        <v>0</v>
      </c>
      <c r="L64" s="267">
        <f t="shared" ref="L64:L90" si="21">+R64</f>
        <v>4046.4819822385316</v>
      </c>
      <c r="M64" s="205">
        <f t="shared" ref="M64:M90" si="22">+L64*K64</f>
        <v>0</v>
      </c>
      <c r="N64" s="207"/>
      <c r="O64" s="207"/>
      <c r="P64" s="205">
        <f t="shared" ref="P64:P90" si="23">+O64*N64</f>
        <v>0</v>
      </c>
      <c r="Q64" s="207">
        <f>+人工费!Q64</f>
        <v>0</v>
      </c>
      <c r="R64" s="267">
        <v>4046.4819822385316</v>
      </c>
      <c r="S64" s="205">
        <f t="shared" ref="S64:S90" si="24">+R64*Q64</f>
        <v>0</v>
      </c>
      <c r="T64" s="207"/>
      <c r="U64" s="207"/>
      <c r="V64" s="205">
        <f t="shared" ref="V64:V90" si="25">+U64*T64</f>
        <v>0</v>
      </c>
      <c r="W64" s="123"/>
      <c r="X64" s="214"/>
      <c r="Y64" s="214"/>
      <c r="Z64" s="207"/>
      <c r="AA64" s="207"/>
      <c r="AB64" s="205">
        <v>0</v>
      </c>
    </row>
    <row r="65" spans="1:28" s="306" customFormat="1" ht="23.1" hidden="1" customHeight="1" outlineLevel="2">
      <c r="A65" s="223">
        <v>1.2</v>
      </c>
      <c r="B65" s="260" t="s">
        <v>145</v>
      </c>
      <c r="C65" s="275" t="s">
        <v>172</v>
      </c>
      <c r="D65" s="260" t="s">
        <v>147</v>
      </c>
      <c r="E65" s="97">
        <v>0.2</v>
      </c>
      <c r="F65" s="97">
        <v>4017.0132559266058</v>
      </c>
      <c r="G65" s="205">
        <f t="shared" si="19"/>
        <v>803.40265118532125</v>
      </c>
      <c r="H65" s="97">
        <v>0.2</v>
      </c>
      <c r="I65" s="267">
        <v>4116.7226061204346</v>
      </c>
      <c r="J65" s="205">
        <f t="shared" si="20"/>
        <v>823.34452122408698</v>
      </c>
      <c r="K65" s="97">
        <f>+人工费!K65</f>
        <v>0</v>
      </c>
      <c r="L65" s="267">
        <f t="shared" si="21"/>
        <v>4017.0132559266058</v>
      </c>
      <c r="M65" s="205">
        <f t="shared" si="22"/>
        <v>0</v>
      </c>
      <c r="N65" s="207"/>
      <c r="O65" s="207"/>
      <c r="P65" s="205">
        <f t="shared" si="23"/>
        <v>0</v>
      </c>
      <c r="Q65" s="207">
        <f>+人工费!Q65</f>
        <v>0</v>
      </c>
      <c r="R65" s="267">
        <v>4017.0132559266058</v>
      </c>
      <c r="S65" s="205">
        <f t="shared" si="24"/>
        <v>0</v>
      </c>
      <c r="T65" s="207"/>
      <c r="U65" s="207"/>
      <c r="V65" s="205">
        <f t="shared" si="25"/>
        <v>0</v>
      </c>
      <c r="W65" s="123"/>
      <c r="X65" s="214"/>
      <c r="Y65" s="214"/>
      <c r="Z65" s="207"/>
      <c r="AA65" s="207"/>
      <c r="AB65" s="205">
        <v>0</v>
      </c>
    </row>
    <row r="66" spans="1:28" s="306" customFormat="1" ht="23.1" hidden="1" customHeight="1" outlineLevel="2">
      <c r="A66" s="223">
        <v>1.2999999999999998</v>
      </c>
      <c r="B66" s="260" t="s">
        <v>145</v>
      </c>
      <c r="C66" s="275" t="s">
        <v>173</v>
      </c>
      <c r="D66" s="260" t="s">
        <v>147</v>
      </c>
      <c r="E66" s="97">
        <v>1.1000000000000001</v>
      </c>
      <c r="F66" s="97">
        <v>4046.1784742752293</v>
      </c>
      <c r="G66" s="205">
        <f t="shared" si="19"/>
        <v>4450.7963217027527</v>
      </c>
      <c r="H66" s="97">
        <v>1.1000000000000001</v>
      </c>
      <c r="I66" s="267">
        <v>3646.2300884955753</v>
      </c>
      <c r="J66" s="205">
        <f t="shared" si="20"/>
        <v>4010.8530973451329</v>
      </c>
      <c r="K66" s="97">
        <f>+人工费!K66</f>
        <v>0</v>
      </c>
      <c r="L66" s="267">
        <f t="shared" si="21"/>
        <v>4046.1784742752293</v>
      </c>
      <c r="M66" s="205">
        <f t="shared" si="22"/>
        <v>0</v>
      </c>
      <c r="N66" s="207"/>
      <c r="O66" s="207"/>
      <c r="P66" s="205">
        <f t="shared" si="23"/>
        <v>0</v>
      </c>
      <c r="Q66" s="207">
        <f>+人工费!Q66</f>
        <v>0</v>
      </c>
      <c r="R66" s="267">
        <v>4046.1784742752293</v>
      </c>
      <c r="S66" s="205">
        <f t="shared" si="24"/>
        <v>0</v>
      </c>
      <c r="T66" s="207"/>
      <c r="U66" s="207"/>
      <c r="V66" s="205">
        <f t="shared" si="25"/>
        <v>0</v>
      </c>
      <c r="W66" s="123"/>
      <c r="X66" s="214"/>
      <c r="Y66" s="214"/>
      <c r="Z66" s="207"/>
      <c r="AA66" s="207"/>
      <c r="AB66" s="205">
        <v>0</v>
      </c>
    </row>
    <row r="67" spans="1:28" s="306" customFormat="1" ht="23.1" hidden="1" customHeight="1" outlineLevel="2">
      <c r="A67" s="223">
        <v>1.3999999999999997</v>
      </c>
      <c r="B67" s="260" t="s">
        <v>145</v>
      </c>
      <c r="C67" s="275" t="s">
        <v>174</v>
      </c>
      <c r="D67" s="260" t="s">
        <v>147</v>
      </c>
      <c r="E67" s="97">
        <v>6.0000000000000001E-3</v>
      </c>
      <c r="F67" s="97">
        <v>4202.617860110091</v>
      </c>
      <c r="G67" s="205">
        <f t="shared" si="19"/>
        <v>25.215707160660546</v>
      </c>
      <c r="H67" s="97">
        <v>6.0000000000000001E-3</v>
      </c>
      <c r="I67" s="267">
        <v>3839.4424778761063</v>
      </c>
      <c r="J67" s="205">
        <f t="shared" si="20"/>
        <v>23.036654867256637</v>
      </c>
      <c r="K67" s="97">
        <f>+人工费!K67</f>
        <v>0</v>
      </c>
      <c r="L67" s="267">
        <f t="shared" si="21"/>
        <v>4202.617860110091</v>
      </c>
      <c r="M67" s="205">
        <f t="shared" si="22"/>
        <v>0</v>
      </c>
      <c r="N67" s="207"/>
      <c r="O67" s="207"/>
      <c r="P67" s="205">
        <f t="shared" si="23"/>
        <v>0</v>
      </c>
      <c r="Q67" s="207">
        <f>+人工费!Q67</f>
        <v>0</v>
      </c>
      <c r="R67" s="267">
        <v>4202.617860110091</v>
      </c>
      <c r="S67" s="205">
        <f t="shared" si="24"/>
        <v>0</v>
      </c>
      <c r="T67" s="207"/>
      <c r="U67" s="207"/>
      <c r="V67" s="205">
        <f t="shared" si="25"/>
        <v>0</v>
      </c>
      <c r="W67" s="123"/>
      <c r="X67" s="214"/>
      <c r="Y67" s="214"/>
      <c r="Z67" s="207"/>
      <c r="AA67" s="207"/>
      <c r="AB67" s="205">
        <v>0</v>
      </c>
    </row>
    <row r="68" spans="1:28" s="306" customFormat="1" ht="23.1" hidden="1" customHeight="1" outlineLevel="2">
      <c r="A68" s="223">
        <v>1.4999999999999996</v>
      </c>
      <c r="B68" s="260" t="s">
        <v>145</v>
      </c>
      <c r="C68" s="275" t="s">
        <v>175</v>
      </c>
      <c r="D68" s="260" t="s">
        <v>147</v>
      </c>
      <c r="E68" s="97">
        <v>21.638000000000002</v>
      </c>
      <c r="F68" s="97">
        <v>4002.0465194862386</v>
      </c>
      <c r="G68" s="205">
        <f t="shared" si="19"/>
        <v>86596.28258864324</v>
      </c>
      <c r="H68" s="97">
        <v>21.638000000000002</v>
      </c>
      <c r="I68" s="267">
        <v>3582.8053097345132</v>
      </c>
      <c r="J68" s="205">
        <f t="shared" si="20"/>
        <v>77524.741292035396</v>
      </c>
      <c r="K68" s="97">
        <f>+人工费!K68</f>
        <v>0</v>
      </c>
      <c r="L68" s="267">
        <f t="shared" si="21"/>
        <v>4002.0465194862386</v>
      </c>
      <c r="M68" s="205">
        <f t="shared" si="22"/>
        <v>0</v>
      </c>
      <c r="N68" s="207"/>
      <c r="O68" s="207"/>
      <c r="P68" s="205">
        <f t="shared" si="23"/>
        <v>0</v>
      </c>
      <c r="Q68" s="207">
        <f>+人工费!Q68</f>
        <v>17.54</v>
      </c>
      <c r="R68" s="267">
        <v>4002.0465194862386</v>
      </c>
      <c r="S68" s="205">
        <f t="shared" si="24"/>
        <v>70195.895951788625</v>
      </c>
      <c r="T68" s="207"/>
      <c r="U68" s="207"/>
      <c r="V68" s="205">
        <f t="shared" si="25"/>
        <v>0</v>
      </c>
      <c r="W68" s="123"/>
      <c r="X68" s="214"/>
      <c r="Y68" s="214"/>
      <c r="Z68" s="207"/>
      <c r="AA68" s="207"/>
      <c r="AB68" s="205">
        <v>0</v>
      </c>
    </row>
    <row r="69" spans="1:28" s="306" customFormat="1" ht="23.1" hidden="1" customHeight="1" outlineLevel="2">
      <c r="A69" s="223">
        <v>1.5999999999999994</v>
      </c>
      <c r="B69" s="260" t="s">
        <v>145</v>
      </c>
      <c r="C69" s="275" t="s">
        <v>176</v>
      </c>
      <c r="D69" s="260" t="s">
        <v>147</v>
      </c>
      <c r="E69" s="97">
        <v>12.744999999999999</v>
      </c>
      <c r="F69" s="97">
        <v>4059.551793908257</v>
      </c>
      <c r="G69" s="205">
        <f t="shared" si="19"/>
        <v>51738.987613360732</v>
      </c>
      <c r="H69" s="97">
        <v>12.744999999999999</v>
      </c>
      <c r="I69" s="267">
        <v>3580.1504424778764</v>
      </c>
      <c r="J69" s="205">
        <f t="shared" si="20"/>
        <v>45629.017389380533</v>
      </c>
      <c r="K69" s="97">
        <f>+人工费!K69</f>
        <v>0</v>
      </c>
      <c r="L69" s="267">
        <f t="shared" si="21"/>
        <v>4059.551793908257</v>
      </c>
      <c r="M69" s="205">
        <f t="shared" si="22"/>
        <v>0</v>
      </c>
      <c r="N69" s="207"/>
      <c r="O69" s="207"/>
      <c r="P69" s="205">
        <f t="shared" si="23"/>
        <v>0</v>
      </c>
      <c r="Q69" s="207">
        <f>+人工费!Q69</f>
        <v>13.63</v>
      </c>
      <c r="R69" s="267">
        <v>4059.551793908257</v>
      </c>
      <c r="S69" s="205">
        <f t="shared" si="24"/>
        <v>55331.690950969547</v>
      </c>
      <c r="T69" s="207"/>
      <c r="U69" s="207"/>
      <c r="V69" s="205">
        <f t="shared" si="25"/>
        <v>0</v>
      </c>
      <c r="W69" s="123"/>
      <c r="X69" s="214"/>
      <c r="Y69" s="214"/>
      <c r="Z69" s="207"/>
      <c r="AA69" s="207"/>
      <c r="AB69" s="205">
        <v>0</v>
      </c>
    </row>
    <row r="70" spans="1:28" s="307" customFormat="1" ht="23.1" hidden="1" customHeight="1" outlineLevel="2">
      <c r="A70" s="223">
        <v>1.6999999999999993</v>
      </c>
      <c r="B70" s="260" t="s">
        <v>145</v>
      </c>
      <c r="C70" s="275" t="s">
        <v>177</v>
      </c>
      <c r="D70" s="260" t="s">
        <v>147</v>
      </c>
      <c r="E70" s="103">
        <v>14.324999999999999</v>
      </c>
      <c r="F70" s="103">
        <v>4074.2908993761471</v>
      </c>
      <c r="G70" s="205">
        <f t="shared" si="19"/>
        <v>58364.217133563303</v>
      </c>
      <c r="H70" s="103">
        <v>14.324999999999999</v>
      </c>
      <c r="I70" s="267">
        <v>3518.3274336283189</v>
      </c>
      <c r="J70" s="205">
        <f t="shared" si="20"/>
        <v>50400.040486725666</v>
      </c>
      <c r="K70" s="97">
        <f>+人工费!K70</f>
        <v>0</v>
      </c>
      <c r="L70" s="267">
        <f t="shared" si="21"/>
        <v>4074.2908993761471</v>
      </c>
      <c r="M70" s="205">
        <f t="shared" si="22"/>
        <v>0</v>
      </c>
      <c r="N70" s="207"/>
      <c r="O70" s="207"/>
      <c r="P70" s="205">
        <f t="shared" si="23"/>
        <v>0</v>
      </c>
      <c r="Q70" s="207">
        <f>+人工费!Q70</f>
        <v>6.29</v>
      </c>
      <c r="R70" s="267">
        <v>4074.2908993761471</v>
      </c>
      <c r="S70" s="205">
        <f t="shared" si="24"/>
        <v>25627.289757075967</v>
      </c>
      <c r="T70" s="207"/>
      <c r="U70" s="207"/>
      <c r="V70" s="205">
        <f t="shared" si="25"/>
        <v>0</v>
      </c>
      <c r="W70" s="123"/>
      <c r="X70" s="214"/>
      <c r="Y70" s="214"/>
      <c r="Z70" s="207"/>
      <c r="AA70" s="207"/>
      <c r="AB70" s="205">
        <v>0</v>
      </c>
    </row>
    <row r="71" spans="1:28" s="306" customFormat="1" ht="23.1" hidden="1" customHeight="1" outlineLevel="2">
      <c r="A71" s="223">
        <v>1.7999999999999992</v>
      </c>
      <c r="B71" s="260" t="s">
        <v>145</v>
      </c>
      <c r="C71" s="275" t="s">
        <v>178</v>
      </c>
      <c r="D71" s="260" t="s">
        <v>147</v>
      </c>
      <c r="E71" s="103">
        <v>3.2679999999999998</v>
      </c>
      <c r="F71" s="97">
        <v>4040.0988303853214</v>
      </c>
      <c r="G71" s="205">
        <f t="shared" si="19"/>
        <v>13203.04297769923</v>
      </c>
      <c r="H71" s="103">
        <v>3.2679999999999998</v>
      </c>
      <c r="I71" s="267">
        <v>3518.3274336283189</v>
      </c>
      <c r="J71" s="205">
        <f t="shared" si="20"/>
        <v>11497.894053097345</v>
      </c>
      <c r="K71" s="97">
        <f>+人工费!K71</f>
        <v>0</v>
      </c>
      <c r="L71" s="267">
        <f t="shared" si="21"/>
        <v>4040.0988303853214</v>
      </c>
      <c r="M71" s="205">
        <f t="shared" si="22"/>
        <v>0</v>
      </c>
      <c r="N71" s="207"/>
      <c r="O71" s="207"/>
      <c r="P71" s="205">
        <f t="shared" si="23"/>
        <v>0</v>
      </c>
      <c r="Q71" s="207">
        <f>+人工费!Q71</f>
        <v>3.05</v>
      </c>
      <c r="R71" s="267">
        <v>4040.0988303853214</v>
      </c>
      <c r="S71" s="205">
        <f t="shared" si="24"/>
        <v>12322.301432675229</v>
      </c>
      <c r="T71" s="207"/>
      <c r="U71" s="207"/>
      <c r="V71" s="205">
        <f t="shared" si="25"/>
        <v>0</v>
      </c>
      <c r="W71" s="123"/>
      <c r="X71" s="214"/>
      <c r="Y71" s="214"/>
      <c r="Z71" s="207"/>
      <c r="AA71" s="207"/>
      <c r="AB71" s="205">
        <v>0</v>
      </c>
    </row>
    <row r="72" spans="1:28" s="306" customFormat="1" ht="23.1" hidden="1" customHeight="1" outlineLevel="2">
      <c r="A72" s="223">
        <v>1.899999999999999</v>
      </c>
      <c r="B72" s="260" t="s">
        <v>145</v>
      </c>
      <c r="C72" s="275" t="s">
        <v>179</v>
      </c>
      <c r="D72" s="260" t="s">
        <v>147</v>
      </c>
      <c r="E72" s="327">
        <v>17.43</v>
      </c>
      <c r="F72" s="97">
        <v>3988.3981457614673</v>
      </c>
      <c r="G72" s="205">
        <f t="shared" si="19"/>
        <v>69517.779680622378</v>
      </c>
      <c r="H72" s="327">
        <v>17.43</v>
      </c>
      <c r="I72" s="267">
        <v>3420.9823008849562</v>
      </c>
      <c r="J72" s="205">
        <f t="shared" si="20"/>
        <v>59627.721504424786</v>
      </c>
      <c r="K72" s="97">
        <f>+人工费!K72</f>
        <v>0</v>
      </c>
      <c r="L72" s="267">
        <f t="shared" si="21"/>
        <v>3988.3981457614673</v>
      </c>
      <c r="M72" s="205">
        <f t="shared" si="22"/>
        <v>0</v>
      </c>
      <c r="N72" s="207"/>
      <c r="O72" s="207"/>
      <c r="P72" s="205">
        <f t="shared" si="23"/>
        <v>0</v>
      </c>
      <c r="Q72" s="207">
        <f>+人工费!Q72</f>
        <v>10.78</v>
      </c>
      <c r="R72" s="267">
        <v>3988.3981457614673</v>
      </c>
      <c r="S72" s="205">
        <f t="shared" si="24"/>
        <v>42994.932011308614</v>
      </c>
      <c r="T72" s="207"/>
      <c r="U72" s="207"/>
      <c r="V72" s="205">
        <f t="shared" si="25"/>
        <v>0</v>
      </c>
      <c r="W72" s="123"/>
      <c r="X72" s="214"/>
      <c r="Y72" s="214"/>
      <c r="Z72" s="207"/>
      <c r="AA72" s="207"/>
      <c r="AB72" s="205">
        <v>0</v>
      </c>
    </row>
    <row r="73" spans="1:28" s="306" customFormat="1" ht="23.1" hidden="1" customHeight="1" outlineLevel="2">
      <c r="A73" s="267">
        <v>1.1000000000000001</v>
      </c>
      <c r="B73" s="260" t="s">
        <v>145</v>
      </c>
      <c r="C73" s="275" t="s">
        <v>180</v>
      </c>
      <c r="D73" s="260" t="s">
        <v>147</v>
      </c>
      <c r="E73" s="327">
        <v>9.7859999999999996</v>
      </c>
      <c r="F73" s="97">
        <v>3945.0154762568814</v>
      </c>
      <c r="G73" s="205">
        <f t="shared" si="19"/>
        <v>38605.921450649839</v>
      </c>
      <c r="H73" s="327">
        <v>9.7859999999999996</v>
      </c>
      <c r="I73" s="267">
        <v>3359.035398230089</v>
      </c>
      <c r="J73" s="205">
        <f t="shared" si="20"/>
        <v>32871.520407079646</v>
      </c>
      <c r="K73" s="97">
        <f>+人工费!K73</f>
        <v>0</v>
      </c>
      <c r="L73" s="267">
        <f t="shared" si="21"/>
        <v>3945.0154762568814</v>
      </c>
      <c r="M73" s="205">
        <f t="shared" si="22"/>
        <v>0</v>
      </c>
      <c r="N73" s="207"/>
      <c r="O73" s="207"/>
      <c r="P73" s="205">
        <f t="shared" si="23"/>
        <v>0</v>
      </c>
      <c r="Q73" s="207">
        <f>+人工费!Q73</f>
        <v>6.76</v>
      </c>
      <c r="R73" s="267">
        <v>3945.0154762568814</v>
      </c>
      <c r="S73" s="205">
        <f t="shared" si="24"/>
        <v>26668.304619496517</v>
      </c>
      <c r="T73" s="207"/>
      <c r="U73" s="207"/>
      <c r="V73" s="205">
        <f t="shared" si="25"/>
        <v>0</v>
      </c>
      <c r="W73" s="123"/>
      <c r="X73" s="214"/>
      <c r="Y73" s="214"/>
      <c r="Z73" s="207"/>
      <c r="AA73" s="207"/>
      <c r="AB73" s="205">
        <v>0</v>
      </c>
    </row>
    <row r="74" spans="1:28" s="306" customFormat="1" ht="23.1" hidden="1" customHeight="1" outlineLevel="2">
      <c r="A74" s="223">
        <v>1.1100000000000001</v>
      </c>
      <c r="B74" s="260" t="s">
        <v>145</v>
      </c>
      <c r="C74" s="275" t="s">
        <v>181</v>
      </c>
      <c r="D74" s="260" t="s">
        <v>147</v>
      </c>
      <c r="E74" s="327">
        <v>16.774999999999999</v>
      </c>
      <c r="F74" s="97">
        <v>3960.8737673394494</v>
      </c>
      <c r="G74" s="205">
        <f t="shared" si="19"/>
        <v>66443.657447119258</v>
      </c>
      <c r="H74" s="327">
        <v>16.774999999999999</v>
      </c>
      <c r="I74" s="267">
        <v>3376.7345132743367</v>
      </c>
      <c r="J74" s="205">
        <f t="shared" si="20"/>
        <v>56644.721460176996</v>
      </c>
      <c r="K74" s="97">
        <f>+人工费!K74</f>
        <v>0</v>
      </c>
      <c r="L74" s="267">
        <f t="shared" si="21"/>
        <v>3960.8737673394494</v>
      </c>
      <c r="M74" s="205">
        <f t="shared" si="22"/>
        <v>0</v>
      </c>
      <c r="N74" s="207"/>
      <c r="O74" s="207"/>
      <c r="P74" s="205">
        <f t="shared" si="23"/>
        <v>0</v>
      </c>
      <c r="Q74" s="207">
        <f>+人工费!Q74</f>
        <v>13.27</v>
      </c>
      <c r="R74" s="267">
        <v>3960.8737673394494</v>
      </c>
      <c r="S74" s="205">
        <f t="shared" si="24"/>
        <v>52560.794892594495</v>
      </c>
      <c r="T74" s="207"/>
      <c r="U74" s="207"/>
      <c r="V74" s="205">
        <f t="shared" si="25"/>
        <v>0</v>
      </c>
      <c r="W74" s="123"/>
      <c r="X74" s="214"/>
      <c r="Y74" s="214"/>
      <c r="Z74" s="207"/>
      <c r="AA74" s="207"/>
      <c r="AB74" s="205">
        <v>0</v>
      </c>
    </row>
    <row r="75" spans="1:28" s="306" customFormat="1" ht="23.1" hidden="1" customHeight="1" outlineLevel="2">
      <c r="A75" s="267">
        <v>1.1200000000000001</v>
      </c>
      <c r="B75" s="260" t="s">
        <v>145</v>
      </c>
      <c r="C75" s="275" t="s">
        <v>182</v>
      </c>
      <c r="D75" s="260" t="s">
        <v>147</v>
      </c>
      <c r="E75" s="328">
        <v>12.006</v>
      </c>
      <c r="F75" s="97">
        <v>3952.5178137247708</v>
      </c>
      <c r="G75" s="205">
        <f t="shared" si="19"/>
        <v>47453.928871579599</v>
      </c>
      <c r="H75" s="328">
        <v>12.006</v>
      </c>
      <c r="I75" s="267">
        <v>3376.7345132743367</v>
      </c>
      <c r="J75" s="205">
        <f t="shared" si="20"/>
        <v>40541.074566371688</v>
      </c>
      <c r="K75" s="97">
        <f>+人工费!K75</f>
        <v>0</v>
      </c>
      <c r="L75" s="267">
        <f t="shared" si="21"/>
        <v>3952.5178137247708</v>
      </c>
      <c r="M75" s="205">
        <f t="shared" si="22"/>
        <v>0</v>
      </c>
      <c r="N75" s="207"/>
      <c r="O75" s="207"/>
      <c r="P75" s="205">
        <f t="shared" si="23"/>
        <v>0</v>
      </c>
      <c r="Q75" s="207">
        <f>+人工费!Q75</f>
        <v>12.64</v>
      </c>
      <c r="R75" s="267">
        <v>3952.5178137247708</v>
      </c>
      <c r="S75" s="205">
        <f t="shared" si="24"/>
        <v>49959.825165481103</v>
      </c>
      <c r="T75" s="207"/>
      <c r="U75" s="207"/>
      <c r="V75" s="205">
        <f t="shared" si="25"/>
        <v>0</v>
      </c>
      <c r="W75" s="123"/>
      <c r="X75" s="214"/>
      <c r="Y75" s="214"/>
      <c r="Z75" s="207"/>
      <c r="AA75" s="207"/>
      <c r="AB75" s="205">
        <v>0</v>
      </c>
    </row>
    <row r="76" spans="1:28" s="307" customFormat="1" ht="23.1" hidden="1" customHeight="1" outlineLevel="2">
      <c r="A76" s="223">
        <v>1.1300000000000001</v>
      </c>
      <c r="B76" s="260" t="s">
        <v>145</v>
      </c>
      <c r="C76" s="275" t="s">
        <v>183</v>
      </c>
      <c r="D76" s="260" t="s">
        <v>147</v>
      </c>
      <c r="E76" s="329">
        <v>24.052</v>
      </c>
      <c r="F76" s="103">
        <v>3966.7162956330271</v>
      </c>
      <c r="G76" s="205">
        <f t="shared" si="19"/>
        <v>95407.460342565566</v>
      </c>
      <c r="H76" s="329">
        <v>24.052</v>
      </c>
      <c r="I76" s="267">
        <v>3403.2831858407085</v>
      </c>
      <c r="J76" s="205">
        <f t="shared" si="20"/>
        <v>81855.767185840712</v>
      </c>
      <c r="K76" s="97">
        <f>+人工费!K76</f>
        <v>0</v>
      </c>
      <c r="L76" s="267">
        <f t="shared" si="21"/>
        <v>3966.7162956330271</v>
      </c>
      <c r="M76" s="205">
        <f t="shared" si="22"/>
        <v>0</v>
      </c>
      <c r="N76" s="207"/>
      <c r="O76" s="207"/>
      <c r="P76" s="205">
        <f t="shared" si="23"/>
        <v>0</v>
      </c>
      <c r="Q76" s="207">
        <f>+人工费!Q76</f>
        <v>25.05</v>
      </c>
      <c r="R76" s="267">
        <v>3966.7162956330271</v>
      </c>
      <c r="S76" s="205">
        <f t="shared" si="24"/>
        <v>99366.24320560733</v>
      </c>
      <c r="T76" s="207"/>
      <c r="U76" s="207"/>
      <c r="V76" s="205">
        <f t="shared" si="25"/>
        <v>0</v>
      </c>
      <c r="W76" s="123"/>
      <c r="X76" s="214"/>
      <c r="Y76" s="214"/>
      <c r="Z76" s="207"/>
      <c r="AA76" s="207"/>
      <c r="AB76" s="205">
        <v>0</v>
      </c>
    </row>
    <row r="77" spans="1:28" s="306" customFormat="1" ht="23.1" hidden="1" customHeight="1" outlineLevel="2">
      <c r="A77" s="267">
        <v>1.1400000000000001</v>
      </c>
      <c r="B77" s="260" t="s">
        <v>145</v>
      </c>
      <c r="C77" s="275" t="s">
        <v>184</v>
      </c>
      <c r="D77" s="260" t="s">
        <v>147</v>
      </c>
      <c r="E77" s="327">
        <v>16.812000000000001</v>
      </c>
      <c r="F77" s="97">
        <v>4128.448101577982</v>
      </c>
      <c r="G77" s="205">
        <f t="shared" si="19"/>
        <v>69407.469483729044</v>
      </c>
      <c r="H77" s="327">
        <v>16.812000000000001</v>
      </c>
      <c r="I77" s="267">
        <v>3518.3274336283189</v>
      </c>
      <c r="J77" s="205">
        <f t="shared" si="20"/>
        <v>59150.120814159302</v>
      </c>
      <c r="K77" s="97">
        <f>+人工费!K77</f>
        <v>0</v>
      </c>
      <c r="L77" s="267">
        <f t="shared" si="21"/>
        <v>4128.448101577982</v>
      </c>
      <c r="M77" s="205">
        <f t="shared" si="22"/>
        <v>0</v>
      </c>
      <c r="N77" s="207"/>
      <c r="O77" s="207"/>
      <c r="P77" s="205">
        <f t="shared" si="23"/>
        <v>0</v>
      </c>
      <c r="Q77" s="207">
        <f>+人工费!Q77</f>
        <v>15.01</v>
      </c>
      <c r="R77" s="267">
        <v>4128.448101577982</v>
      </c>
      <c r="S77" s="205">
        <f t="shared" si="24"/>
        <v>61968.006004685507</v>
      </c>
      <c r="T77" s="207"/>
      <c r="U77" s="207"/>
      <c r="V77" s="205">
        <f t="shared" si="25"/>
        <v>0</v>
      </c>
      <c r="W77" s="123"/>
      <c r="X77" s="214"/>
      <c r="Y77" s="214"/>
      <c r="Z77" s="207"/>
      <c r="AA77" s="207"/>
      <c r="AB77" s="205">
        <v>0</v>
      </c>
    </row>
    <row r="78" spans="1:28" s="306" customFormat="1" ht="23.1" hidden="1" customHeight="1" outlineLevel="2">
      <c r="A78" s="223">
        <v>1.1500000000000001</v>
      </c>
      <c r="B78" s="260" t="s">
        <v>145</v>
      </c>
      <c r="C78" s="275" t="s">
        <v>185</v>
      </c>
      <c r="D78" s="260" t="s">
        <v>147</v>
      </c>
      <c r="E78" s="327">
        <v>0.2</v>
      </c>
      <c r="F78" s="97">
        <v>4278.3430969541278</v>
      </c>
      <c r="G78" s="205">
        <f t="shared" si="19"/>
        <v>855.6686193908256</v>
      </c>
      <c r="H78" s="327">
        <v>0.2</v>
      </c>
      <c r="I78" s="267">
        <v>3677.6194690265493</v>
      </c>
      <c r="J78" s="205">
        <f t="shared" si="20"/>
        <v>735.52389380530985</v>
      </c>
      <c r="K78" s="97">
        <f>+人工费!K78</f>
        <v>0</v>
      </c>
      <c r="L78" s="267">
        <f t="shared" si="21"/>
        <v>4278.3430969541278</v>
      </c>
      <c r="M78" s="205">
        <f t="shared" si="22"/>
        <v>0</v>
      </c>
      <c r="N78" s="207"/>
      <c r="O78" s="207"/>
      <c r="P78" s="205">
        <f t="shared" si="23"/>
        <v>0</v>
      </c>
      <c r="Q78" s="207">
        <f>+人工费!Q78</f>
        <v>0</v>
      </c>
      <c r="R78" s="267">
        <v>4278.3430969541278</v>
      </c>
      <c r="S78" s="205">
        <f t="shared" si="24"/>
        <v>0</v>
      </c>
      <c r="T78" s="207"/>
      <c r="U78" s="207"/>
      <c r="V78" s="205">
        <f t="shared" si="25"/>
        <v>0</v>
      </c>
      <c r="W78" s="123"/>
      <c r="X78" s="214"/>
      <c r="Y78" s="214"/>
      <c r="Z78" s="207"/>
      <c r="AA78" s="207"/>
      <c r="AB78" s="205">
        <v>0</v>
      </c>
    </row>
    <row r="79" spans="1:28" s="306" customFormat="1" ht="23.1" hidden="1" customHeight="1" outlineLevel="2">
      <c r="A79" s="267">
        <v>1.1600000000000001</v>
      </c>
      <c r="B79" s="260" t="s">
        <v>162</v>
      </c>
      <c r="C79" s="275" t="s">
        <v>172</v>
      </c>
      <c r="D79" s="260" t="s">
        <v>147</v>
      </c>
      <c r="E79" s="327">
        <v>0.54100000000000004</v>
      </c>
      <c r="F79" s="97">
        <v>4075.9222546788988</v>
      </c>
      <c r="G79" s="205">
        <f t="shared" si="19"/>
        <v>2205.0739397812845</v>
      </c>
      <c r="H79" s="327">
        <v>0.54100000000000004</v>
      </c>
      <c r="I79" s="267">
        <v>4116.7226061204346</v>
      </c>
      <c r="J79" s="205">
        <f t="shared" si="20"/>
        <v>2227.1469299111554</v>
      </c>
      <c r="K79" s="97">
        <f>+人工费!K79</f>
        <v>0</v>
      </c>
      <c r="L79" s="267">
        <f t="shared" si="21"/>
        <v>4075.9222546788988</v>
      </c>
      <c r="M79" s="205">
        <f t="shared" si="22"/>
        <v>0</v>
      </c>
      <c r="N79" s="207"/>
      <c r="O79" s="207"/>
      <c r="P79" s="205">
        <f t="shared" si="23"/>
        <v>0</v>
      </c>
      <c r="Q79" s="207">
        <f>+人工费!Q79</f>
        <v>0</v>
      </c>
      <c r="R79" s="267">
        <v>4075.9222546788988</v>
      </c>
      <c r="S79" s="205">
        <f t="shared" si="24"/>
        <v>0</v>
      </c>
      <c r="T79" s="207"/>
      <c r="U79" s="207"/>
      <c r="V79" s="205">
        <f t="shared" si="25"/>
        <v>0</v>
      </c>
      <c r="W79" s="123"/>
      <c r="X79" s="214"/>
      <c r="Y79" s="214"/>
      <c r="Z79" s="207"/>
      <c r="AA79" s="207"/>
      <c r="AB79" s="205">
        <v>0</v>
      </c>
    </row>
    <row r="80" spans="1:28" s="306" customFormat="1" ht="23.1" hidden="1" customHeight="1" outlineLevel="2">
      <c r="A80" s="223">
        <v>1.1700000000000002</v>
      </c>
      <c r="B80" s="260" t="s">
        <v>162</v>
      </c>
      <c r="C80" s="275" t="s">
        <v>173</v>
      </c>
      <c r="D80" s="260" t="s">
        <v>147</v>
      </c>
      <c r="E80" s="327">
        <v>1.0049999999999999</v>
      </c>
      <c r="F80" s="97">
        <v>4075.8938008073392</v>
      </c>
      <c r="G80" s="205">
        <f t="shared" si="19"/>
        <v>4096.273269811375</v>
      </c>
      <c r="H80" s="327">
        <v>1.0049999999999999</v>
      </c>
      <c r="I80" s="267">
        <v>3646.2300884955753</v>
      </c>
      <c r="J80" s="205">
        <f t="shared" si="20"/>
        <v>3664.4612389380527</v>
      </c>
      <c r="K80" s="97">
        <f>+人工费!K80</f>
        <v>0</v>
      </c>
      <c r="L80" s="267">
        <f t="shared" si="21"/>
        <v>4075.8938008073392</v>
      </c>
      <c r="M80" s="205">
        <f t="shared" si="22"/>
        <v>0</v>
      </c>
      <c r="N80" s="207"/>
      <c r="O80" s="207"/>
      <c r="P80" s="205">
        <f t="shared" si="23"/>
        <v>0</v>
      </c>
      <c r="Q80" s="207">
        <f>+人工费!Q80</f>
        <v>0</v>
      </c>
      <c r="R80" s="267">
        <v>4075.8938008073392</v>
      </c>
      <c r="S80" s="205">
        <f t="shared" si="24"/>
        <v>0</v>
      </c>
      <c r="T80" s="207"/>
      <c r="U80" s="207"/>
      <c r="V80" s="205">
        <f t="shared" si="25"/>
        <v>0</v>
      </c>
      <c r="W80" s="123"/>
      <c r="X80" s="214"/>
      <c r="Y80" s="214"/>
      <c r="Z80" s="207"/>
      <c r="AA80" s="207"/>
      <c r="AB80" s="205">
        <v>0</v>
      </c>
    </row>
    <row r="81" spans="1:28" s="306" customFormat="1" ht="23.1" hidden="1" customHeight="1" outlineLevel="2">
      <c r="A81" s="267">
        <v>1.1800000000000002</v>
      </c>
      <c r="B81" s="260" t="s">
        <v>162</v>
      </c>
      <c r="C81" s="275" t="s">
        <v>174</v>
      </c>
      <c r="D81" s="260" t="s">
        <v>147</v>
      </c>
      <c r="E81" s="327">
        <v>1.4350000000000001</v>
      </c>
      <c r="F81" s="97">
        <v>4215.6971564036703</v>
      </c>
      <c r="G81" s="205">
        <f t="shared" si="19"/>
        <v>6049.5254194392674</v>
      </c>
      <c r="H81" s="327">
        <v>1.4350000000000001</v>
      </c>
      <c r="I81" s="267">
        <v>3839.4424778761063</v>
      </c>
      <c r="J81" s="205">
        <f t="shared" si="20"/>
        <v>5509.5999557522127</v>
      </c>
      <c r="K81" s="97">
        <f>+人工费!K81</f>
        <v>0</v>
      </c>
      <c r="L81" s="267">
        <f t="shared" si="21"/>
        <v>4215.6971564036703</v>
      </c>
      <c r="M81" s="205">
        <f t="shared" si="22"/>
        <v>0</v>
      </c>
      <c r="N81" s="207"/>
      <c r="O81" s="207"/>
      <c r="P81" s="205">
        <f t="shared" si="23"/>
        <v>0</v>
      </c>
      <c r="Q81" s="207">
        <f>+人工费!Q81</f>
        <v>1.26</v>
      </c>
      <c r="R81" s="267">
        <v>4215.6971564036703</v>
      </c>
      <c r="S81" s="205">
        <f t="shared" si="24"/>
        <v>5311.7784170686245</v>
      </c>
      <c r="T81" s="207"/>
      <c r="U81" s="207"/>
      <c r="V81" s="205">
        <f t="shared" si="25"/>
        <v>0</v>
      </c>
      <c r="W81" s="123"/>
      <c r="X81" s="214"/>
      <c r="Y81" s="214"/>
      <c r="Z81" s="207"/>
      <c r="AA81" s="207"/>
      <c r="AB81" s="205">
        <v>0</v>
      </c>
    </row>
    <row r="82" spans="1:28" s="306" customFormat="1" ht="23.1" hidden="1" customHeight="1" outlineLevel="2">
      <c r="A82" s="223">
        <v>1.1900000000000002</v>
      </c>
      <c r="B82" s="260" t="s">
        <v>162</v>
      </c>
      <c r="C82" s="275" t="s">
        <v>175</v>
      </c>
      <c r="D82" s="260" t="s">
        <v>147</v>
      </c>
      <c r="E82" s="327">
        <v>9.2720000000000002</v>
      </c>
      <c r="F82" s="97">
        <v>4015.1163311559631</v>
      </c>
      <c r="G82" s="205">
        <f t="shared" si="19"/>
        <v>37228.158622478091</v>
      </c>
      <c r="H82" s="327">
        <v>9.2720000000000002</v>
      </c>
      <c r="I82" s="267">
        <v>3582.8053097345132</v>
      </c>
      <c r="J82" s="205">
        <f t="shared" si="20"/>
        <v>33219.770831858405</v>
      </c>
      <c r="K82" s="97">
        <f>+人工费!K82</f>
        <v>0</v>
      </c>
      <c r="L82" s="267">
        <f t="shared" si="21"/>
        <v>4015.1163311559631</v>
      </c>
      <c r="M82" s="205">
        <f t="shared" si="22"/>
        <v>0</v>
      </c>
      <c r="N82" s="207"/>
      <c r="O82" s="207"/>
      <c r="P82" s="205">
        <f t="shared" si="23"/>
        <v>0</v>
      </c>
      <c r="Q82" s="207">
        <f>+人工费!Q82</f>
        <v>11.47</v>
      </c>
      <c r="R82" s="267">
        <v>4015.1163311559631</v>
      </c>
      <c r="S82" s="205">
        <f t="shared" si="24"/>
        <v>46053.384318358898</v>
      </c>
      <c r="T82" s="207"/>
      <c r="U82" s="207"/>
      <c r="V82" s="205">
        <f t="shared" si="25"/>
        <v>0</v>
      </c>
      <c r="W82" s="123"/>
      <c r="X82" s="214"/>
      <c r="Y82" s="214"/>
      <c r="Z82" s="207"/>
      <c r="AA82" s="207"/>
      <c r="AB82" s="205">
        <v>0</v>
      </c>
    </row>
    <row r="83" spans="1:28" s="306" customFormat="1" ht="23.1" hidden="1" customHeight="1" outlineLevel="2">
      <c r="A83" s="267">
        <v>1.2000000000000002</v>
      </c>
      <c r="B83" s="260" t="s">
        <v>162</v>
      </c>
      <c r="C83" s="275" t="s">
        <v>176</v>
      </c>
      <c r="D83" s="260" t="s">
        <v>147</v>
      </c>
      <c r="E83" s="327">
        <v>28.097000000000001</v>
      </c>
      <c r="F83" s="97">
        <v>4072.6216055779814</v>
      </c>
      <c r="G83" s="205">
        <f t="shared" si="19"/>
        <v>114428.44925192455</v>
      </c>
      <c r="H83" s="327">
        <v>28.097000000000001</v>
      </c>
      <c r="I83" s="267">
        <v>3580.1504424778764</v>
      </c>
      <c r="J83" s="205">
        <f t="shared" si="20"/>
        <v>100591.48698230089</v>
      </c>
      <c r="K83" s="97">
        <f>+人工费!K83</f>
        <v>0</v>
      </c>
      <c r="L83" s="267">
        <f t="shared" si="21"/>
        <v>4072.6216055779814</v>
      </c>
      <c r="M83" s="205">
        <f t="shared" si="22"/>
        <v>0</v>
      </c>
      <c r="N83" s="207"/>
      <c r="O83" s="207"/>
      <c r="P83" s="205">
        <f t="shared" si="23"/>
        <v>0</v>
      </c>
      <c r="Q83" s="207">
        <f>+人工费!Q83</f>
        <v>23.58</v>
      </c>
      <c r="R83" s="267">
        <v>4072.6216055779814</v>
      </c>
      <c r="S83" s="205">
        <f t="shared" si="24"/>
        <v>96032.417459528791</v>
      </c>
      <c r="T83" s="207"/>
      <c r="U83" s="207"/>
      <c r="V83" s="205">
        <f t="shared" si="25"/>
        <v>0</v>
      </c>
      <c r="W83" s="123"/>
      <c r="X83" s="214"/>
      <c r="Y83" s="214"/>
      <c r="Z83" s="207"/>
      <c r="AA83" s="207"/>
      <c r="AB83" s="205">
        <v>0</v>
      </c>
    </row>
    <row r="84" spans="1:28" s="306" customFormat="1" ht="23.1" hidden="1" customHeight="1" outlineLevel="2">
      <c r="A84" s="223">
        <v>1.2100000000000002</v>
      </c>
      <c r="B84" s="260" t="s">
        <v>162</v>
      </c>
      <c r="C84" s="275" t="s">
        <v>177</v>
      </c>
      <c r="D84" s="260" t="s">
        <v>147</v>
      </c>
      <c r="E84" s="327">
        <v>17.469000000000001</v>
      </c>
      <c r="F84" s="97">
        <v>4016.7097479633035</v>
      </c>
      <c r="G84" s="205">
        <f t="shared" si="19"/>
        <v>70167.90258717096</v>
      </c>
      <c r="H84" s="327">
        <v>17.469000000000001</v>
      </c>
      <c r="I84" s="267">
        <v>3518.3274336283189</v>
      </c>
      <c r="J84" s="205">
        <f t="shared" si="20"/>
        <v>61461.661938053105</v>
      </c>
      <c r="K84" s="97">
        <f>+人工费!K84</f>
        <v>0</v>
      </c>
      <c r="L84" s="267">
        <f t="shared" si="21"/>
        <v>4016.7097479633035</v>
      </c>
      <c r="M84" s="205">
        <f t="shared" si="22"/>
        <v>0</v>
      </c>
      <c r="N84" s="207"/>
      <c r="O84" s="207"/>
      <c r="P84" s="205">
        <f t="shared" si="23"/>
        <v>0</v>
      </c>
      <c r="Q84" s="207">
        <f>+人工费!Q84</f>
        <v>39.229999999999997</v>
      </c>
      <c r="R84" s="267">
        <v>4016.7097479633035</v>
      </c>
      <c r="S84" s="205">
        <f t="shared" si="24"/>
        <v>157575.52341260039</v>
      </c>
      <c r="T84" s="207"/>
      <c r="U84" s="207"/>
      <c r="V84" s="205">
        <f t="shared" si="25"/>
        <v>0</v>
      </c>
      <c r="W84" s="123"/>
      <c r="X84" s="214"/>
      <c r="Y84" s="214"/>
      <c r="Z84" s="207"/>
      <c r="AA84" s="207"/>
      <c r="AB84" s="205">
        <v>0</v>
      </c>
    </row>
    <row r="85" spans="1:28" s="306" customFormat="1" ht="23.1" hidden="1" customHeight="1" outlineLevel="2">
      <c r="A85" s="267">
        <v>1.2200000000000002</v>
      </c>
      <c r="B85" s="260" t="s">
        <v>162</v>
      </c>
      <c r="C85" s="275" t="s">
        <v>178</v>
      </c>
      <c r="D85" s="260" t="s">
        <v>147</v>
      </c>
      <c r="E85" s="327">
        <v>2.8639999999999999</v>
      </c>
      <c r="F85" s="97">
        <v>3982.5081943486234</v>
      </c>
      <c r="G85" s="205">
        <f t="shared" si="19"/>
        <v>11405.903468614457</v>
      </c>
      <c r="H85" s="327">
        <v>2.8639999999999999</v>
      </c>
      <c r="I85" s="267">
        <v>3518.3274336283189</v>
      </c>
      <c r="J85" s="205">
        <f t="shared" si="20"/>
        <v>10076.489769911504</v>
      </c>
      <c r="K85" s="97">
        <f>+人工费!K85</f>
        <v>0</v>
      </c>
      <c r="L85" s="267">
        <f t="shared" si="21"/>
        <v>3982.5081943486234</v>
      </c>
      <c r="M85" s="205">
        <f t="shared" si="22"/>
        <v>0</v>
      </c>
      <c r="N85" s="207"/>
      <c r="O85" s="207"/>
      <c r="P85" s="205">
        <f t="shared" si="23"/>
        <v>0</v>
      </c>
      <c r="Q85" s="207">
        <f>+人工费!Q85</f>
        <v>0</v>
      </c>
      <c r="R85" s="267">
        <v>3982.5081943486234</v>
      </c>
      <c r="S85" s="205">
        <f t="shared" si="24"/>
        <v>0</v>
      </c>
      <c r="T85" s="207"/>
      <c r="U85" s="207"/>
      <c r="V85" s="205">
        <f t="shared" si="25"/>
        <v>0</v>
      </c>
      <c r="W85" s="123"/>
      <c r="X85" s="214"/>
      <c r="Y85" s="214"/>
      <c r="Z85" s="207"/>
      <c r="AA85" s="207"/>
      <c r="AB85" s="205">
        <v>0</v>
      </c>
    </row>
    <row r="86" spans="1:28" s="306" customFormat="1" ht="23.1" hidden="1" customHeight="1" outlineLevel="2">
      <c r="A86" s="223">
        <v>1.2300000000000002</v>
      </c>
      <c r="B86" s="260" t="s">
        <v>162</v>
      </c>
      <c r="C86" s="275" t="s">
        <v>179</v>
      </c>
      <c r="D86" s="260" t="s">
        <v>147</v>
      </c>
      <c r="E86" s="327">
        <v>10.622999999999999</v>
      </c>
      <c r="F86" s="97">
        <v>3930.8169943486237</v>
      </c>
      <c r="G86" s="205">
        <f t="shared" si="19"/>
        <v>41757.068930965426</v>
      </c>
      <c r="H86" s="327">
        <v>10.622999999999999</v>
      </c>
      <c r="I86" s="267">
        <v>3420.9823008849562</v>
      </c>
      <c r="J86" s="205">
        <f t="shared" si="20"/>
        <v>36341.094982300885</v>
      </c>
      <c r="K86" s="97">
        <f>+人工费!K86</f>
        <v>0</v>
      </c>
      <c r="L86" s="267">
        <f t="shared" si="21"/>
        <v>3930.8169943486237</v>
      </c>
      <c r="M86" s="205">
        <f t="shared" si="22"/>
        <v>0</v>
      </c>
      <c r="N86" s="207"/>
      <c r="O86" s="207"/>
      <c r="P86" s="205">
        <f t="shared" si="23"/>
        <v>0</v>
      </c>
      <c r="Q86" s="207">
        <f>+人工费!Q86</f>
        <v>0</v>
      </c>
      <c r="R86" s="267">
        <v>3930.8169943486237</v>
      </c>
      <c r="S86" s="205">
        <f t="shared" si="24"/>
        <v>0</v>
      </c>
      <c r="T86" s="207"/>
      <c r="U86" s="207"/>
      <c r="V86" s="205">
        <f t="shared" si="25"/>
        <v>0</v>
      </c>
      <c r="W86" s="123"/>
      <c r="X86" s="214"/>
      <c r="Y86" s="214"/>
      <c r="Z86" s="207"/>
      <c r="AA86" s="207"/>
      <c r="AB86" s="205">
        <v>0</v>
      </c>
    </row>
    <row r="87" spans="1:28" s="306" customFormat="1" ht="23.1" hidden="1" customHeight="1" outlineLevel="2">
      <c r="A87" s="267">
        <v>1.2400000000000002</v>
      </c>
      <c r="B87" s="260" t="s">
        <v>162</v>
      </c>
      <c r="C87" s="275" t="s">
        <v>180</v>
      </c>
      <c r="D87" s="260" t="s">
        <v>147</v>
      </c>
      <c r="E87" s="327">
        <v>28.236999999999998</v>
      </c>
      <c r="F87" s="97">
        <v>3887.4248402201829</v>
      </c>
      <c r="G87" s="205">
        <f t="shared" si="19"/>
        <v>109769.2152132973</v>
      </c>
      <c r="H87" s="327">
        <v>28.236999999999998</v>
      </c>
      <c r="I87" s="267">
        <v>3359.035398230089</v>
      </c>
      <c r="J87" s="205">
        <f t="shared" si="20"/>
        <v>94849.082539823023</v>
      </c>
      <c r="K87" s="97">
        <f>+人工费!K87</f>
        <v>0</v>
      </c>
      <c r="L87" s="267">
        <f t="shared" si="21"/>
        <v>3887.4248402201829</v>
      </c>
      <c r="M87" s="205">
        <f t="shared" si="22"/>
        <v>0</v>
      </c>
      <c r="N87" s="207"/>
      <c r="O87" s="207"/>
      <c r="P87" s="205">
        <f t="shared" si="23"/>
        <v>0</v>
      </c>
      <c r="Q87" s="207">
        <f>+人工费!Q87</f>
        <v>0</v>
      </c>
      <c r="R87" s="267">
        <v>3887.4248402201829</v>
      </c>
      <c r="S87" s="205">
        <f t="shared" si="24"/>
        <v>0</v>
      </c>
      <c r="T87" s="207"/>
      <c r="U87" s="207"/>
      <c r="V87" s="205">
        <f t="shared" si="25"/>
        <v>0</v>
      </c>
      <c r="W87" s="123"/>
      <c r="X87" s="214"/>
      <c r="Y87" s="214"/>
      <c r="Z87" s="207"/>
      <c r="AA87" s="207"/>
      <c r="AB87" s="205">
        <v>0</v>
      </c>
    </row>
    <row r="88" spans="1:28" s="306" customFormat="1" ht="23.1" hidden="1" customHeight="1" outlineLevel="2">
      <c r="A88" s="223">
        <v>1.2500000000000002</v>
      </c>
      <c r="B88" s="260" t="s">
        <v>164</v>
      </c>
      <c r="C88" s="275" t="s">
        <v>186</v>
      </c>
      <c r="D88" s="260" t="s">
        <v>166</v>
      </c>
      <c r="E88" s="327">
        <v>2157</v>
      </c>
      <c r="F88" s="97">
        <v>2.1530096146788988</v>
      </c>
      <c r="G88" s="205">
        <f t="shared" si="19"/>
        <v>4644.0417388623846</v>
      </c>
      <c r="H88" s="327">
        <v>2157</v>
      </c>
      <c r="I88" s="267">
        <v>2</v>
      </c>
      <c r="J88" s="205">
        <f t="shared" si="20"/>
        <v>4314</v>
      </c>
      <c r="K88" s="97">
        <f>+人工费!K88</f>
        <v>0</v>
      </c>
      <c r="L88" s="267">
        <f t="shared" si="21"/>
        <v>2.1530096146788988</v>
      </c>
      <c r="M88" s="205">
        <f t="shared" si="22"/>
        <v>0</v>
      </c>
      <c r="N88" s="207"/>
      <c r="O88" s="207"/>
      <c r="P88" s="205">
        <f t="shared" si="23"/>
        <v>0</v>
      </c>
      <c r="Q88" s="207">
        <f>+人工费!Q88</f>
        <v>2182</v>
      </c>
      <c r="R88" s="267">
        <v>2.1530096146788988</v>
      </c>
      <c r="S88" s="205">
        <f t="shared" si="24"/>
        <v>4697.8669792293576</v>
      </c>
      <c r="T88" s="207"/>
      <c r="U88" s="207"/>
      <c r="V88" s="205">
        <f t="shared" si="25"/>
        <v>0</v>
      </c>
      <c r="W88" s="123"/>
      <c r="X88" s="214"/>
      <c r="Y88" s="214"/>
      <c r="Z88" s="207"/>
      <c r="AA88" s="207"/>
      <c r="AB88" s="205">
        <v>0</v>
      </c>
    </row>
    <row r="89" spans="1:28" s="306" customFormat="1" ht="23.1" hidden="1" customHeight="1" outlineLevel="2">
      <c r="A89" s="267">
        <v>1.2600000000000002</v>
      </c>
      <c r="B89" s="260" t="s">
        <v>164</v>
      </c>
      <c r="C89" s="275" t="s">
        <v>187</v>
      </c>
      <c r="D89" s="260" t="s">
        <v>166</v>
      </c>
      <c r="E89" s="327">
        <v>404</v>
      </c>
      <c r="F89" s="97">
        <v>8.3844074862385316</v>
      </c>
      <c r="G89" s="205">
        <f t="shared" si="19"/>
        <v>3387.3006244403668</v>
      </c>
      <c r="H89" s="327">
        <v>404</v>
      </c>
      <c r="I89" s="267">
        <v>2</v>
      </c>
      <c r="J89" s="205">
        <f t="shared" si="20"/>
        <v>808</v>
      </c>
      <c r="K89" s="97">
        <f>+人工费!K89</f>
        <v>0</v>
      </c>
      <c r="L89" s="267">
        <f t="shared" si="21"/>
        <v>8.3844074862385316</v>
      </c>
      <c r="M89" s="205">
        <f t="shared" si="22"/>
        <v>0</v>
      </c>
      <c r="N89" s="207"/>
      <c r="O89" s="207"/>
      <c r="P89" s="205">
        <f t="shared" si="23"/>
        <v>0</v>
      </c>
      <c r="Q89" s="207">
        <f>+人工费!Q89</f>
        <v>468</v>
      </c>
      <c r="R89" s="267">
        <v>8.3844074862385316</v>
      </c>
      <c r="S89" s="205">
        <f t="shared" si="24"/>
        <v>3923.9027035596328</v>
      </c>
      <c r="T89" s="207"/>
      <c r="U89" s="207"/>
      <c r="V89" s="205">
        <f t="shared" si="25"/>
        <v>0</v>
      </c>
      <c r="W89" s="123"/>
      <c r="X89" s="214"/>
      <c r="Y89" s="214"/>
      <c r="Z89" s="207"/>
      <c r="AA89" s="207"/>
      <c r="AB89" s="205">
        <v>0</v>
      </c>
    </row>
    <row r="90" spans="1:28" s="306" customFormat="1" ht="23.1" hidden="1" customHeight="1" outlineLevel="2">
      <c r="A90" s="223">
        <v>1.2700000000000002</v>
      </c>
      <c r="B90" s="260" t="s">
        <v>164</v>
      </c>
      <c r="C90" s="275" t="s">
        <v>188</v>
      </c>
      <c r="D90" s="260" t="s">
        <v>166</v>
      </c>
      <c r="E90" s="327">
        <v>209</v>
      </c>
      <c r="F90" s="97">
        <v>10.148547522935779</v>
      </c>
      <c r="G90" s="205">
        <f t="shared" si="19"/>
        <v>2121.0464322935777</v>
      </c>
      <c r="H90" s="327">
        <v>209</v>
      </c>
      <c r="I90" s="267">
        <v>2</v>
      </c>
      <c r="J90" s="205">
        <f t="shared" si="20"/>
        <v>418</v>
      </c>
      <c r="K90" s="97">
        <f>+人工费!K90</f>
        <v>0</v>
      </c>
      <c r="L90" s="267">
        <f t="shared" si="21"/>
        <v>10.148547522935779</v>
      </c>
      <c r="M90" s="205">
        <f t="shared" si="22"/>
        <v>0</v>
      </c>
      <c r="N90" s="207"/>
      <c r="O90" s="207"/>
      <c r="P90" s="205">
        <f t="shared" si="23"/>
        <v>0</v>
      </c>
      <c r="Q90" s="207">
        <f>+人工费!Q90</f>
        <v>218</v>
      </c>
      <c r="R90" s="267">
        <v>10.148547522935779</v>
      </c>
      <c r="S90" s="205">
        <f t="shared" si="24"/>
        <v>2212.3833599999998</v>
      </c>
      <c r="T90" s="207"/>
      <c r="U90" s="207"/>
      <c r="V90" s="205">
        <f t="shared" si="25"/>
        <v>0</v>
      </c>
      <c r="W90" s="123"/>
      <c r="X90" s="214"/>
      <c r="Y90" s="214"/>
      <c r="Z90" s="207"/>
      <c r="AA90" s="207"/>
      <c r="AB90" s="205">
        <v>0</v>
      </c>
    </row>
    <row r="91" spans="1:28" s="306" customFormat="1" ht="23.1" hidden="1" customHeight="1" outlineLevel="1" collapsed="1">
      <c r="A91" s="220">
        <v>2</v>
      </c>
      <c r="B91" s="315" t="s">
        <v>189</v>
      </c>
      <c r="C91" s="274"/>
      <c r="D91" s="315"/>
      <c r="E91" s="327">
        <v>0</v>
      </c>
      <c r="F91" s="97">
        <v>0</v>
      </c>
      <c r="G91" s="222">
        <f>SUM(G92:G105)</f>
        <v>674048.24524030217</v>
      </c>
      <c r="H91" s="327">
        <v>0</v>
      </c>
      <c r="I91" s="266"/>
      <c r="J91" s="222">
        <f>SUM(J92:J105)</f>
        <v>467629.68420873792</v>
      </c>
      <c r="K91" s="329">
        <f>SUM(K92:K104)</f>
        <v>0</v>
      </c>
      <c r="L91" s="266"/>
      <c r="M91" s="222">
        <f>SUM(M92:M105)</f>
        <v>0</v>
      </c>
      <c r="N91" s="229"/>
      <c r="O91" s="229"/>
      <c r="P91" s="222">
        <f>SUM(P92:P105)</f>
        <v>0</v>
      </c>
      <c r="Q91" s="329">
        <f>SUM(Q92:Q104)</f>
        <v>1121.7800000000002</v>
      </c>
      <c r="R91" s="266"/>
      <c r="S91" s="222">
        <f>SUM(S92:S105)</f>
        <v>655419.62328809383</v>
      </c>
      <c r="T91" s="229"/>
      <c r="U91" s="229"/>
      <c r="V91" s="222">
        <f>SUM(V92:V105)</f>
        <v>0</v>
      </c>
      <c r="W91" s="137"/>
      <c r="X91" s="212"/>
      <c r="Y91" s="212"/>
      <c r="Z91" s="229"/>
      <c r="AA91" s="229"/>
      <c r="AB91" s="222">
        <v>0</v>
      </c>
    </row>
    <row r="92" spans="1:28" s="306" customFormat="1" ht="23.1" hidden="1" customHeight="1" outlineLevel="2">
      <c r="A92" s="223">
        <v>2.1</v>
      </c>
      <c r="B92" s="260" t="s">
        <v>106</v>
      </c>
      <c r="C92" s="275" t="s">
        <v>190</v>
      </c>
      <c r="D92" s="260" t="s">
        <v>103</v>
      </c>
      <c r="E92" s="327">
        <v>465.16</v>
      </c>
      <c r="F92" s="97">
        <v>647.44887809174304</v>
      </c>
      <c r="G92" s="205">
        <f t="shared" ref="G92:G105" si="26">+F92*E92</f>
        <v>301167.32013315521</v>
      </c>
      <c r="H92" s="327">
        <v>465.16</v>
      </c>
      <c r="I92" s="267">
        <v>447.05485436893201</v>
      </c>
      <c r="J92" s="205">
        <f t="shared" ref="J92:J105" si="27">+I92*H92</f>
        <v>207952.03605825242</v>
      </c>
      <c r="K92" s="97">
        <f>+人工费!K92</f>
        <v>0</v>
      </c>
      <c r="L92" s="267">
        <f t="shared" ref="L92:L104" si="28">+R92</f>
        <v>647.44887809174304</v>
      </c>
      <c r="M92" s="205">
        <f t="shared" ref="M92:M105" si="29">+L92*K92</f>
        <v>0</v>
      </c>
      <c r="N92" s="207"/>
      <c r="O92" s="207"/>
      <c r="P92" s="205">
        <f t="shared" ref="P92:P105" si="30">+O92*N92</f>
        <v>0</v>
      </c>
      <c r="Q92" s="207">
        <f>+人工费!Q92</f>
        <v>543.45000000000005</v>
      </c>
      <c r="R92" s="267">
        <v>647.44887809174304</v>
      </c>
      <c r="S92" s="205">
        <f t="shared" ref="S92:S105" si="31">+R92*Q92</f>
        <v>351856.09279895778</v>
      </c>
      <c r="T92" s="207"/>
      <c r="U92" s="207"/>
      <c r="V92" s="205">
        <f t="shared" ref="V92:V105" si="32">+U92*T92</f>
        <v>0</v>
      </c>
      <c r="W92" s="123"/>
      <c r="X92" s="214"/>
      <c r="Y92" s="214"/>
      <c r="Z92" s="207"/>
      <c r="AA92" s="207"/>
      <c r="AB92" s="205">
        <v>0</v>
      </c>
    </row>
    <row r="93" spans="1:28" s="306" customFormat="1" ht="23.1" hidden="1" customHeight="1" outlineLevel="2">
      <c r="A93" s="223">
        <v>2.2000000000000002</v>
      </c>
      <c r="B93" s="260" t="s">
        <v>191</v>
      </c>
      <c r="C93" s="275" t="s">
        <v>192</v>
      </c>
      <c r="D93" s="260" t="s">
        <v>103</v>
      </c>
      <c r="E93" s="327">
        <v>164.31</v>
      </c>
      <c r="F93" s="97">
        <v>521.5784349357798</v>
      </c>
      <c r="G93" s="205">
        <f t="shared" si="26"/>
        <v>85700.552644297975</v>
      </c>
      <c r="H93" s="327">
        <v>164.31</v>
      </c>
      <c r="I93" s="267">
        <v>361.86067961165048</v>
      </c>
      <c r="J93" s="205">
        <f t="shared" si="27"/>
        <v>59457.328266990291</v>
      </c>
      <c r="K93" s="97">
        <f>+人工费!K93</f>
        <v>0</v>
      </c>
      <c r="L93" s="267">
        <f t="shared" si="28"/>
        <v>521.5784349357798</v>
      </c>
      <c r="M93" s="205">
        <f t="shared" si="29"/>
        <v>0</v>
      </c>
      <c r="N93" s="207"/>
      <c r="O93" s="207"/>
      <c r="P93" s="205">
        <f t="shared" si="30"/>
        <v>0</v>
      </c>
      <c r="Q93" s="207">
        <f>+人工费!Q93</f>
        <v>244.07</v>
      </c>
      <c r="R93" s="267">
        <v>521.5784349357798</v>
      </c>
      <c r="S93" s="205">
        <f t="shared" si="31"/>
        <v>127301.64861477577</v>
      </c>
      <c r="T93" s="207"/>
      <c r="U93" s="207"/>
      <c r="V93" s="205">
        <f t="shared" si="32"/>
        <v>0</v>
      </c>
      <c r="W93" s="123"/>
      <c r="X93" s="214"/>
      <c r="Y93" s="214"/>
      <c r="Z93" s="207"/>
      <c r="AA93" s="207"/>
      <c r="AB93" s="205">
        <v>0</v>
      </c>
    </row>
    <row r="94" spans="1:28" s="306" customFormat="1" ht="23.1" hidden="1" customHeight="1" outlineLevel="2">
      <c r="A94" s="223">
        <v>2.3000000000000003</v>
      </c>
      <c r="B94" s="260" t="s">
        <v>193</v>
      </c>
      <c r="C94" s="275" t="s">
        <v>194</v>
      </c>
      <c r="D94" s="260" t="s">
        <v>103</v>
      </c>
      <c r="E94" s="327">
        <v>295.38</v>
      </c>
      <c r="F94" s="97">
        <v>528.07540227522929</v>
      </c>
      <c r="G94" s="205">
        <f t="shared" si="26"/>
        <v>155982.91232405722</v>
      </c>
      <c r="H94" s="327">
        <v>295.38</v>
      </c>
      <c r="I94" s="267">
        <v>366.90922330097089</v>
      </c>
      <c r="J94" s="205">
        <f t="shared" si="27"/>
        <v>108377.64637864078</v>
      </c>
      <c r="K94" s="97">
        <f>+人工费!K94</f>
        <v>0</v>
      </c>
      <c r="L94" s="267">
        <f t="shared" si="28"/>
        <v>528.07540227522929</v>
      </c>
      <c r="M94" s="205">
        <f t="shared" si="29"/>
        <v>0</v>
      </c>
      <c r="N94" s="207"/>
      <c r="O94" s="207"/>
      <c r="P94" s="205">
        <f t="shared" si="30"/>
        <v>0</v>
      </c>
      <c r="Q94" s="207">
        <f>+人工费!Q94</f>
        <v>295.38</v>
      </c>
      <c r="R94" s="267">
        <v>528.07540227522929</v>
      </c>
      <c r="S94" s="205">
        <f t="shared" si="31"/>
        <v>155982.91232405722</v>
      </c>
      <c r="T94" s="207"/>
      <c r="U94" s="207"/>
      <c r="V94" s="205">
        <f t="shared" si="32"/>
        <v>0</v>
      </c>
      <c r="W94" s="123"/>
      <c r="X94" s="214"/>
      <c r="Y94" s="214"/>
      <c r="Z94" s="207"/>
      <c r="AA94" s="207"/>
      <c r="AB94" s="205">
        <v>0</v>
      </c>
    </row>
    <row r="95" spans="1:28" s="306" customFormat="1" ht="23.1" hidden="1" customHeight="1" outlineLevel="2">
      <c r="A95" s="223">
        <v>2.4000000000000004</v>
      </c>
      <c r="B95" s="260" t="s">
        <v>195</v>
      </c>
      <c r="C95" s="275" t="s">
        <v>192</v>
      </c>
      <c r="D95" s="260" t="s">
        <v>103</v>
      </c>
      <c r="E95" s="327">
        <v>38.880000000000003</v>
      </c>
      <c r="F95" s="97">
        <v>521.5784349357798</v>
      </c>
      <c r="G95" s="205">
        <f t="shared" si="26"/>
        <v>20278.969550303118</v>
      </c>
      <c r="H95" s="327">
        <v>38.880000000000003</v>
      </c>
      <c r="I95" s="267">
        <v>361.86067961165048</v>
      </c>
      <c r="J95" s="205">
        <f t="shared" si="27"/>
        <v>14069.143223300971</v>
      </c>
      <c r="K95" s="97">
        <f>+人工费!K95</f>
        <v>0</v>
      </c>
      <c r="L95" s="267">
        <f t="shared" si="28"/>
        <v>521.5784349357798</v>
      </c>
      <c r="M95" s="205">
        <f t="shared" si="29"/>
        <v>0</v>
      </c>
      <c r="N95" s="207"/>
      <c r="O95" s="207"/>
      <c r="P95" s="205">
        <f t="shared" si="30"/>
        <v>0</v>
      </c>
      <c r="Q95" s="207">
        <f>+人工费!Q95</f>
        <v>38.880000000000003</v>
      </c>
      <c r="R95" s="267">
        <v>521.5784349357798</v>
      </c>
      <c r="S95" s="205">
        <f t="shared" si="31"/>
        <v>20278.969550303118</v>
      </c>
      <c r="T95" s="207"/>
      <c r="U95" s="207"/>
      <c r="V95" s="205">
        <f t="shared" si="32"/>
        <v>0</v>
      </c>
      <c r="W95" s="123"/>
      <c r="X95" s="214"/>
      <c r="Y95" s="214"/>
      <c r="Z95" s="207"/>
      <c r="AA95" s="207"/>
      <c r="AB95" s="205">
        <v>0</v>
      </c>
    </row>
    <row r="96" spans="1:28" s="307" customFormat="1" ht="23.1" hidden="1" customHeight="1" outlineLevel="2">
      <c r="A96" s="223">
        <v>2.5000000000000004</v>
      </c>
      <c r="B96" s="260" t="s">
        <v>132</v>
      </c>
      <c r="C96" s="275" t="s">
        <v>196</v>
      </c>
      <c r="D96" s="260" t="s">
        <v>103</v>
      </c>
      <c r="E96" s="329">
        <v>43.1</v>
      </c>
      <c r="F96" s="103">
        <v>475.57800924770646</v>
      </c>
      <c r="G96" s="205">
        <f t="shared" si="26"/>
        <v>20497.412198576149</v>
      </c>
      <c r="H96" s="329">
        <v>43.1</v>
      </c>
      <c r="I96" s="267">
        <v>332.50970873786406</v>
      </c>
      <c r="J96" s="205">
        <f t="shared" si="27"/>
        <v>14331.168446601941</v>
      </c>
      <c r="K96" s="97">
        <f>+人工费!K96</f>
        <v>0</v>
      </c>
      <c r="L96" s="267">
        <f t="shared" si="28"/>
        <v>475.57800924770646</v>
      </c>
      <c r="M96" s="205">
        <f t="shared" si="29"/>
        <v>0</v>
      </c>
      <c r="N96" s="207"/>
      <c r="O96" s="207"/>
      <c r="P96" s="205">
        <f t="shared" si="30"/>
        <v>0</v>
      </c>
      <c r="Q96" s="207">
        <f>+人工费!Q96</f>
        <v>0</v>
      </c>
      <c r="R96" s="267">
        <v>475.57800924770646</v>
      </c>
      <c r="S96" s="205">
        <f t="shared" si="31"/>
        <v>0</v>
      </c>
      <c r="T96" s="207"/>
      <c r="U96" s="207"/>
      <c r="V96" s="205">
        <f t="shared" si="32"/>
        <v>0</v>
      </c>
      <c r="W96" s="123"/>
      <c r="X96" s="214"/>
      <c r="Y96" s="214"/>
      <c r="Z96" s="207"/>
      <c r="AA96" s="207"/>
      <c r="AB96" s="205">
        <v>0</v>
      </c>
    </row>
    <row r="97" spans="1:28" s="306" customFormat="1" ht="23.1" hidden="1" customHeight="1" outlineLevel="2">
      <c r="A97" s="223">
        <v>2.6000000000000005</v>
      </c>
      <c r="B97" s="260" t="s">
        <v>134</v>
      </c>
      <c r="C97" s="275" t="s">
        <v>196</v>
      </c>
      <c r="D97" s="260" t="s">
        <v>103</v>
      </c>
      <c r="E97" s="327">
        <v>12.85</v>
      </c>
      <c r="F97" s="97">
        <v>474.67696998165138</v>
      </c>
      <c r="G97" s="205">
        <f t="shared" si="26"/>
        <v>6099.59906426422</v>
      </c>
      <c r="H97" s="327">
        <v>12.85</v>
      </c>
      <c r="I97" s="267">
        <v>332.50970873786406</v>
      </c>
      <c r="J97" s="205">
        <f t="shared" si="27"/>
        <v>4272.7497572815528</v>
      </c>
      <c r="K97" s="97">
        <f>+人工费!K97</f>
        <v>0</v>
      </c>
      <c r="L97" s="267">
        <f t="shared" si="28"/>
        <v>474.67696998165138</v>
      </c>
      <c r="M97" s="205">
        <f t="shared" si="29"/>
        <v>0</v>
      </c>
      <c r="N97" s="207"/>
      <c r="O97" s="207"/>
      <c r="P97" s="205">
        <f t="shared" si="30"/>
        <v>0</v>
      </c>
      <c r="Q97" s="207">
        <f>+人工费!Q97</f>
        <v>0</v>
      </c>
      <c r="R97" s="267">
        <v>474.67696998165138</v>
      </c>
      <c r="S97" s="205">
        <f t="shared" si="31"/>
        <v>0</v>
      </c>
      <c r="T97" s="207"/>
      <c r="U97" s="207"/>
      <c r="V97" s="205">
        <f t="shared" si="32"/>
        <v>0</v>
      </c>
      <c r="W97" s="123"/>
      <c r="X97" s="214"/>
      <c r="Y97" s="214"/>
      <c r="Z97" s="207"/>
      <c r="AA97" s="207"/>
      <c r="AB97" s="205">
        <v>0</v>
      </c>
    </row>
    <row r="98" spans="1:28" s="308" customFormat="1" ht="23.1" hidden="1" customHeight="1" outlineLevel="2">
      <c r="A98" s="223">
        <v>2.7000000000000006</v>
      </c>
      <c r="B98" s="260" t="s">
        <v>135</v>
      </c>
      <c r="C98" s="275" t="s">
        <v>197</v>
      </c>
      <c r="D98" s="260" t="s">
        <v>103</v>
      </c>
      <c r="E98" s="101">
        <v>1.2</v>
      </c>
      <c r="F98" s="101">
        <v>493.94972565137613</v>
      </c>
      <c r="G98" s="205">
        <f t="shared" si="26"/>
        <v>592.73967078165128</v>
      </c>
      <c r="H98" s="101">
        <v>1.2</v>
      </c>
      <c r="I98" s="267">
        <v>346.75291262135926</v>
      </c>
      <c r="J98" s="205">
        <f t="shared" si="27"/>
        <v>416.10349514563109</v>
      </c>
      <c r="K98" s="97">
        <f>+人工费!K98</f>
        <v>0</v>
      </c>
      <c r="L98" s="267">
        <f t="shared" si="28"/>
        <v>493.94972565137613</v>
      </c>
      <c r="M98" s="205">
        <f t="shared" si="29"/>
        <v>0</v>
      </c>
      <c r="N98" s="207"/>
      <c r="O98" s="207"/>
      <c r="P98" s="205">
        <f t="shared" si="30"/>
        <v>0</v>
      </c>
      <c r="Q98" s="207">
        <f>+人工费!Q98</f>
        <v>0</v>
      </c>
      <c r="R98" s="267">
        <v>493.94972565137613</v>
      </c>
      <c r="S98" s="205">
        <f t="shared" si="31"/>
        <v>0</v>
      </c>
      <c r="T98" s="207"/>
      <c r="U98" s="207"/>
      <c r="V98" s="205">
        <f t="shared" si="32"/>
        <v>0</v>
      </c>
      <c r="W98" s="123"/>
      <c r="X98" s="214"/>
      <c r="Y98" s="214"/>
      <c r="Z98" s="207"/>
      <c r="AA98" s="207"/>
      <c r="AB98" s="205">
        <v>0</v>
      </c>
    </row>
    <row r="99" spans="1:28" s="308" customFormat="1" ht="23.1" hidden="1" customHeight="1" outlineLevel="2">
      <c r="A99" s="223">
        <v>2.8000000000000007</v>
      </c>
      <c r="B99" s="260" t="s">
        <v>137</v>
      </c>
      <c r="C99" s="275" t="s">
        <v>196</v>
      </c>
      <c r="D99" s="260" t="s">
        <v>103</v>
      </c>
      <c r="E99" s="101">
        <v>13.5</v>
      </c>
      <c r="F99" s="101">
        <v>474.32603889908256</v>
      </c>
      <c r="G99" s="205">
        <f t="shared" si="26"/>
        <v>6403.401525137615</v>
      </c>
      <c r="H99" s="101">
        <v>13.5</v>
      </c>
      <c r="I99" s="267">
        <v>332.50970873786406</v>
      </c>
      <c r="J99" s="205">
        <f t="shared" si="27"/>
        <v>4488.8810679611652</v>
      </c>
      <c r="K99" s="97">
        <f>+人工费!K99</f>
        <v>0</v>
      </c>
      <c r="L99" s="267">
        <f t="shared" si="28"/>
        <v>474.32603889908256</v>
      </c>
      <c r="M99" s="205">
        <f t="shared" si="29"/>
        <v>0</v>
      </c>
      <c r="N99" s="207"/>
      <c r="O99" s="207"/>
      <c r="P99" s="205">
        <f t="shared" si="30"/>
        <v>0</v>
      </c>
      <c r="Q99" s="207">
        <f>+人工费!Q99</f>
        <v>0</v>
      </c>
      <c r="R99" s="267">
        <v>474.32603889908256</v>
      </c>
      <c r="S99" s="205">
        <f t="shared" si="31"/>
        <v>0</v>
      </c>
      <c r="T99" s="207"/>
      <c r="U99" s="207"/>
      <c r="V99" s="205">
        <f t="shared" si="32"/>
        <v>0</v>
      </c>
      <c r="W99" s="123"/>
      <c r="X99" s="214"/>
      <c r="Y99" s="214"/>
      <c r="Z99" s="207"/>
      <c r="AA99" s="207"/>
      <c r="AB99" s="205">
        <v>0</v>
      </c>
    </row>
    <row r="100" spans="1:28" s="308" customFormat="1" ht="23.1" hidden="1" customHeight="1" outlineLevel="2">
      <c r="A100" s="223">
        <v>2.9000000000000008</v>
      </c>
      <c r="B100" s="260" t="s">
        <v>198</v>
      </c>
      <c r="C100" s="275" t="s">
        <v>199</v>
      </c>
      <c r="D100" s="260" t="s">
        <v>103</v>
      </c>
      <c r="E100" s="101">
        <v>69.209999999999994</v>
      </c>
      <c r="F100" s="101">
        <v>515.03404447706419</v>
      </c>
      <c r="G100" s="205">
        <f t="shared" si="26"/>
        <v>35645.506218257608</v>
      </c>
      <c r="H100" s="101">
        <v>69.209999999999994</v>
      </c>
      <c r="I100" s="267">
        <v>361.86067961165048</v>
      </c>
      <c r="J100" s="205">
        <f t="shared" si="27"/>
        <v>25044.377635922327</v>
      </c>
      <c r="K100" s="97">
        <f>+人工费!K100</f>
        <v>0</v>
      </c>
      <c r="L100" s="267">
        <f t="shared" si="28"/>
        <v>515.03404447706419</v>
      </c>
      <c r="M100" s="205">
        <f t="shared" si="29"/>
        <v>0</v>
      </c>
      <c r="N100" s="207"/>
      <c r="O100" s="207"/>
      <c r="P100" s="205">
        <f t="shared" si="30"/>
        <v>0</v>
      </c>
      <c r="Q100" s="207">
        <f>+人工费!Q100</f>
        <v>0</v>
      </c>
      <c r="R100" s="267">
        <v>515.03404447706419</v>
      </c>
      <c r="S100" s="205">
        <f t="shared" si="31"/>
        <v>0</v>
      </c>
      <c r="T100" s="207"/>
      <c r="U100" s="207"/>
      <c r="V100" s="205">
        <f t="shared" si="32"/>
        <v>0</v>
      </c>
      <c r="W100" s="123"/>
      <c r="X100" s="214"/>
      <c r="Y100" s="214"/>
      <c r="Z100" s="207"/>
      <c r="AA100" s="207"/>
      <c r="AB100" s="205">
        <v>0</v>
      </c>
    </row>
    <row r="101" spans="1:28" s="308" customFormat="1" ht="23.1" hidden="1" customHeight="1" outlineLevel="2">
      <c r="A101" s="267">
        <v>2.1</v>
      </c>
      <c r="B101" s="260" t="s">
        <v>200</v>
      </c>
      <c r="C101" s="275" t="s">
        <v>199</v>
      </c>
      <c r="D101" s="260" t="s">
        <v>103</v>
      </c>
      <c r="E101" s="101">
        <v>46.14</v>
      </c>
      <c r="F101" s="101">
        <v>514.16145908256885</v>
      </c>
      <c r="G101" s="205">
        <f t="shared" si="26"/>
        <v>23723.409722069726</v>
      </c>
      <c r="H101" s="101">
        <v>46.14</v>
      </c>
      <c r="I101" s="267">
        <v>361.86067961165048</v>
      </c>
      <c r="J101" s="205">
        <f t="shared" si="27"/>
        <v>16696.251757281552</v>
      </c>
      <c r="K101" s="97">
        <f>+人工费!K101</f>
        <v>0</v>
      </c>
      <c r="L101" s="267">
        <f t="shared" si="28"/>
        <v>514.16145908256885</v>
      </c>
      <c r="M101" s="205">
        <f t="shared" si="29"/>
        <v>0</v>
      </c>
      <c r="N101" s="207"/>
      <c r="O101" s="207"/>
      <c r="P101" s="205">
        <f t="shared" si="30"/>
        <v>0</v>
      </c>
      <c r="Q101" s="207">
        <f>+人工费!Q101</f>
        <v>0</v>
      </c>
      <c r="R101" s="267">
        <v>514.16145908256885</v>
      </c>
      <c r="S101" s="205">
        <f t="shared" si="31"/>
        <v>0</v>
      </c>
      <c r="T101" s="207"/>
      <c r="U101" s="207"/>
      <c r="V101" s="205">
        <f t="shared" si="32"/>
        <v>0</v>
      </c>
      <c r="W101" s="123"/>
      <c r="X101" s="214"/>
      <c r="Y101" s="214"/>
      <c r="Z101" s="207"/>
      <c r="AA101" s="207"/>
      <c r="AB101" s="205">
        <v>0</v>
      </c>
    </row>
    <row r="102" spans="1:28" s="308" customFormat="1" ht="23.1" hidden="1" customHeight="1" outlineLevel="2">
      <c r="A102" s="223">
        <v>2.11</v>
      </c>
      <c r="B102" s="260" t="s">
        <v>201</v>
      </c>
      <c r="C102" s="275" t="s">
        <v>199</v>
      </c>
      <c r="D102" s="260" t="s">
        <v>103</v>
      </c>
      <c r="E102" s="101">
        <v>18</v>
      </c>
      <c r="F102" s="101">
        <v>516.45673805504578</v>
      </c>
      <c r="G102" s="205">
        <f t="shared" si="26"/>
        <v>9296.2212849908246</v>
      </c>
      <c r="H102" s="101">
        <v>18</v>
      </c>
      <c r="I102" s="267">
        <v>361.86067961165048</v>
      </c>
      <c r="J102" s="205">
        <f t="shared" si="27"/>
        <v>6513.4922330097088</v>
      </c>
      <c r="K102" s="97">
        <f>+人工费!K102</f>
        <v>0</v>
      </c>
      <c r="L102" s="267">
        <f t="shared" si="28"/>
        <v>516.45673805504578</v>
      </c>
      <c r="M102" s="205">
        <f t="shared" si="29"/>
        <v>0</v>
      </c>
      <c r="N102" s="207"/>
      <c r="O102" s="207"/>
      <c r="P102" s="205">
        <f t="shared" si="30"/>
        <v>0</v>
      </c>
      <c r="Q102" s="207">
        <f>+人工费!Q102</f>
        <v>0</v>
      </c>
      <c r="R102" s="267">
        <v>516.45673805504578</v>
      </c>
      <c r="S102" s="205">
        <f t="shared" si="31"/>
        <v>0</v>
      </c>
      <c r="T102" s="207"/>
      <c r="U102" s="207"/>
      <c r="V102" s="205">
        <f t="shared" si="32"/>
        <v>0</v>
      </c>
      <c r="W102" s="123"/>
      <c r="X102" s="214"/>
      <c r="Y102" s="214"/>
      <c r="Z102" s="207"/>
      <c r="AA102" s="207"/>
      <c r="AB102" s="205">
        <v>0</v>
      </c>
    </row>
    <row r="103" spans="1:28" s="308" customFormat="1" ht="23.1" hidden="1" customHeight="1" outlineLevel="2">
      <c r="A103" s="267">
        <v>2.1199999999999997</v>
      </c>
      <c r="B103" s="260" t="s">
        <v>202</v>
      </c>
      <c r="C103" s="275" t="s">
        <v>199</v>
      </c>
      <c r="D103" s="260" t="s">
        <v>103</v>
      </c>
      <c r="E103" s="101">
        <v>6.21</v>
      </c>
      <c r="F103" s="101">
        <v>513.0707273394496</v>
      </c>
      <c r="G103" s="205">
        <f t="shared" si="26"/>
        <v>3186.169216777982</v>
      </c>
      <c r="H103" s="101">
        <v>6.21</v>
      </c>
      <c r="I103" s="267">
        <v>361.86067961165048</v>
      </c>
      <c r="J103" s="205">
        <f t="shared" si="27"/>
        <v>2247.1548203883494</v>
      </c>
      <c r="K103" s="97">
        <f>+人工费!K103</f>
        <v>0</v>
      </c>
      <c r="L103" s="267">
        <f t="shared" si="28"/>
        <v>513.0707273394496</v>
      </c>
      <c r="M103" s="205">
        <f t="shared" si="29"/>
        <v>0</v>
      </c>
      <c r="N103" s="207"/>
      <c r="O103" s="207"/>
      <c r="P103" s="205">
        <f t="shared" si="30"/>
        <v>0</v>
      </c>
      <c r="Q103" s="207">
        <f>+人工费!Q103</f>
        <v>0</v>
      </c>
      <c r="R103" s="267">
        <v>513.0707273394496</v>
      </c>
      <c r="S103" s="205">
        <f t="shared" si="31"/>
        <v>0</v>
      </c>
      <c r="T103" s="207"/>
      <c r="U103" s="207"/>
      <c r="V103" s="205">
        <f t="shared" si="32"/>
        <v>0</v>
      </c>
      <c r="W103" s="123"/>
      <c r="X103" s="214"/>
      <c r="Y103" s="214"/>
      <c r="Z103" s="207"/>
      <c r="AA103" s="207"/>
      <c r="AB103" s="205">
        <v>0</v>
      </c>
    </row>
    <row r="104" spans="1:28" s="308" customFormat="1" ht="23.1" hidden="1" customHeight="1" outlineLevel="2">
      <c r="A104" s="223">
        <v>2.1299999999999994</v>
      </c>
      <c r="B104" s="260" t="s">
        <v>203</v>
      </c>
      <c r="C104" s="275" t="s">
        <v>199</v>
      </c>
      <c r="D104" s="260" t="s">
        <v>103</v>
      </c>
      <c r="E104" s="101">
        <v>10.4</v>
      </c>
      <c r="F104" s="101">
        <v>526.34920073394505</v>
      </c>
      <c r="G104" s="205">
        <f t="shared" si="26"/>
        <v>5474.0316876330289</v>
      </c>
      <c r="H104" s="101">
        <v>10.4</v>
      </c>
      <c r="I104" s="267">
        <v>361.86067961165048</v>
      </c>
      <c r="J104" s="205">
        <f t="shared" si="27"/>
        <v>3763.351067961165</v>
      </c>
      <c r="K104" s="97">
        <f>+人工费!K104</f>
        <v>0</v>
      </c>
      <c r="L104" s="267">
        <f t="shared" si="28"/>
        <v>526.34920073394505</v>
      </c>
      <c r="M104" s="205">
        <f t="shared" si="29"/>
        <v>0</v>
      </c>
      <c r="N104" s="207"/>
      <c r="O104" s="207"/>
      <c r="P104" s="205">
        <f t="shared" si="30"/>
        <v>0</v>
      </c>
      <c r="Q104" s="207">
        <f>+人工费!Q104</f>
        <v>0</v>
      </c>
      <c r="R104" s="267">
        <v>526.34920073394505</v>
      </c>
      <c r="S104" s="205">
        <f t="shared" si="31"/>
        <v>0</v>
      </c>
      <c r="T104" s="207"/>
      <c r="U104" s="207"/>
      <c r="V104" s="205">
        <f t="shared" si="32"/>
        <v>0</v>
      </c>
      <c r="W104" s="123"/>
      <c r="X104" s="214"/>
      <c r="Y104" s="214"/>
      <c r="Z104" s="207"/>
      <c r="AA104" s="207"/>
      <c r="AB104" s="205">
        <v>0</v>
      </c>
    </row>
    <row r="105" spans="1:28" s="308" customFormat="1" ht="23.1" hidden="1" customHeight="1" outlineLevel="2">
      <c r="A105" s="267">
        <v>2.1399999999999992</v>
      </c>
      <c r="B105" s="223" t="s">
        <v>142</v>
      </c>
      <c r="C105" s="223"/>
      <c r="D105" s="223" t="s">
        <v>143</v>
      </c>
      <c r="E105" s="101">
        <v>1</v>
      </c>
      <c r="F105" s="101">
        <v>0</v>
      </c>
      <c r="G105" s="205">
        <f t="shared" si="26"/>
        <v>0</v>
      </c>
      <c r="H105" s="101">
        <v>1</v>
      </c>
      <c r="I105" s="267"/>
      <c r="J105" s="205">
        <f t="shared" si="27"/>
        <v>0</v>
      </c>
      <c r="K105" s="101"/>
      <c r="L105" s="267"/>
      <c r="M105" s="205">
        <f t="shared" si="29"/>
        <v>0</v>
      </c>
      <c r="N105" s="207"/>
      <c r="O105" s="207"/>
      <c r="P105" s="205">
        <f t="shared" si="30"/>
        <v>0</v>
      </c>
      <c r="Q105" s="207">
        <f>+人工费!Q105</f>
        <v>0</v>
      </c>
      <c r="R105" s="267">
        <v>0</v>
      </c>
      <c r="S105" s="205">
        <f t="shared" si="31"/>
        <v>0</v>
      </c>
      <c r="T105" s="207"/>
      <c r="U105" s="207"/>
      <c r="V105" s="205">
        <f t="shared" si="32"/>
        <v>0</v>
      </c>
      <c r="W105" s="123"/>
      <c r="X105" s="214"/>
      <c r="Y105" s="214"/>
      <c r="Z105" s="207"/>
      <c r="AA105" s="207"/>
      <c r="AB105" s="205">
        <v>0</v>
      </c>
    </row>
    <row r="106" spans="1:28" s="308" customFormat="1" ht="23.1" customHeight="1" collapsed="1">
      <c r="A106" s="220" t="s">
        <v>204</v>
      </c>
      <c r="B106" s="220" t="s">
        <v>205</v>
      </c>
      <c r="C106" s="220"/>
      <c r="D106" s="220"/>
      <c r="E106" s="101">
        <v>0</v>
      </c>
      <c r="F106" s="101">
        <v>0</v>
      </c>
      <c r="G106" s="222">
        <f>+G107+G135+G156</f>
        <v>5914166.4908887893</v>
      </c>
      <c r="H106" s="101">
        <v>0</v>
      </c>
      <c r="I106" s="266"/>
      <c r="J106" s="222">
        <f>+J107+J135+J156</f>
        <v>4680406.6332352459</v>
      </c>
      <c r="K106" s="101"/>
      <c r="L106" s="266"/>
      <c r="M106" s="222">
        <f>+M107+M135+M156</f>
        <v>738851.91934565012</v>
      </c>
      <c r="N106" s="229"/>
      <c r="O106" s="229"/>
      <c r="P106" s="222">
        <f>+P107+P135+P156</f>
        <v>0</v>
      </c>
      <c r="Q106" s="229"/>
      <c r="R106" s="266"/>
      <c r="S106" s="222">
        <f>+S107+S135+S156</f>
        <v>2815215.8847099817</v>
      </c>
      <c r="T106" s="229"/>
      <c r="U106" s="229"/>
      <c r="V106" s="222">
        <f>+V107+V135+V156</f>
        <v>0</v>
      </c>
      <c r="W106" s="137"/>
      <c r="X106" s="212"/>
      <c r="Y106" s="212"/>
      <c r="Z106" s="229"/>
      <c r="AA106" s="229"/>
      <c r="AB106" s="222">
        <v>0</v>
      </c>
    </row>
    <row r="107" spans="1:28" s="308" customFormat="1" ht="23.1" hidden="1" customHeight="1" outlineLevel="1" collapsed="1">
      <c r="A107" s="220">
        <v>1</v>
      </c>
      <c r="B107" s="315" t="s">
        <v>206</v>
      </c>
      <c r="C107" s="274"/>
      <c r="D107" s="315"/>
      <c r="E107" s="101">
        <v>0</v>
      </c>
      <c r="F107" s="101">
        <v>0</v>
      </c>
      <c r="G107" s="222">
        <f>SUM(G108:G134)</f>
        <v>3144090.3114741021</v>
      </c>
      <c r="H107" s="101">
        <v>0</v>
      </c>
      <c r="I107" s="266"/>
      <c r="J107" s="222">
        <f>SUM(J108:J134)</f>
        <v>2760443.5446284506</v>
      </c>
      <c r="K107" s="101"/>
      <c r="L107" s="266"/>
      <c r="M107" s="222">
        <f>SUM(M108:M134)</f>
        <v>402838.35244873096</v>
      </c>
      <c r="N107" s="229"/>
      <c r="O107" s="229"/>
      <c r="P107" s="222">
        <f>SUM(P108:P134)</f>
        <v>0</v>
      </c>
      <c r="Q107" s="229"/>
      <c r="R107" s="266"/>
      <c r="S107" s="222">
        <f>SUM(S108:S134)</f>
        <v>1488560.5796503343</v>
      </c>
      <c r="T107" s="229"/>
      <c r="U107" s="229"/>
      <c r="V107" s="222">
        <f>SUM(V108:V134)</f>
        <v>0</v>
      </c>
      <c r="W107" s="137"/>
      <c r="X107" s="212"/>
      <c r="Y107" s="212"/>
      <c r="Z107" s="229"/>
      <c r="AA107" s="229"/>
      <c r="AB107" s="222">
        <v>0</v>
      </c>
    </row>
    <row r="108" spans="1:28" s="308" customFormat="1" ht="23.1" hidden="1" customHeight="1" outlineLevel="2">
      <c r="A108" s="223">
        <v>1.1000000000000001</v>
      </c>
      <c r="B108" s="260" t="s">
        <v>145</v>
      </c>
      <c r="C108" s="275" t="s">
        <v>171</v>
      </c>
      <c r="D108" s="275" t="s">
        <v>147</v>
      </c>
      <c r="E108" s="101">
        <v>3.55</v>
      </c>
      <c r="F108" s="101">
        <v>4046.4819822385316</v>
      </c>
      <c r="G108" s="205">
        <f t="shared" ref="G108:G134" si="33">+F108*E108</f>
        <v>14365.011036946786</v>
      </c>
      <c r="H108" s="101">
        <v>3.55</v>
      </c>
      <c r="I108" s="267">
        <v>3690.4778761061948</v>
      </c>
      <c r="J108" s="205">
        <f t="shared" ref="J108:J134" si="34">+I108*H108</f>
        <v>13101.196460176991</v>
      </c>
      <c r="K108" s="97">
        <f>+人工费!K108</f>
        <v>0</v>
      </c>
      <c r="L108" s="267">
        <f t="shared" ref="L108:L134" si="35">+R108</f>
        <v>4046.4819822385316</v>
      </c>
      <c r="M108" s="205">
        <f t="shared" ref="M108:M134" si="36">+L108*K108</f>
        <v>0</v>
      </c>
      <c r="N108" s="207"/>
      <c r="O108" s="207"/>
      <c r="P108" s="205">
        <f t="shared" ref="P108:P134" si="37">+O108*N108</f>
        <v>0</v>
      </c>
      <c r="Q108" s="207">
        <f>+人工费!Q108</f>
        <v>0</v>
      </c>
      <c r="R108" s="267">
        <v>4046.4819822385316</v>
      </c>
      <c r="S108" s="205">
        <f t="shared" ref="S108:S134" si="38">+R108*Q108</f>
        <v>0</v>
      </c>
      <c r="T108" s="207"/>
      <c r="U108" s="207"/>
      <c r="V108" s="205">
        <f t="shared" ref="V108:V134" si="39">+U108*T108</f>
        <v>0</v>
      </c>
      <c r="W108" s="123"/>
      <c r="X108" s="214"/>
      <c r="Y108" s="214"/>
      <c r="Z108" s="207"/>
      <c r="AA108" s="207"/>
      <c r="AB108" s="205">
        <v>0</v>
      </c>
    </row>
    <row r="109" spans="1:28" s="308" customFormat="1" ht="23.1" hidden="1" customHeight="1" outlineLevel="2">
      <c r="A109" s="223">
        <v>1.2</v>
      </c>
      <c r="B109" s="260" t="s">
        <v>145</v>
      </c>
      <c r="C109" s="275" t="s">
        <v>172</v>
      </c>
      <c r="D109" s="275" t="s">
        <v>147</v>
      </c>
      <c r="E109" s="101">
        <v>0.1</v>
      </c>
      <c r="F109" s="101">
        <v>4017.0132559266058</v>
      </c>
      <c r="G109" s="205">
        <f t="shared" si="33"/>
        <v>401.70132559266062</v>
      </c>
      <c r="H109" s="101">
        <v>0.1</v>
      </c>
      <c r="I109" s="267">
        <v>4116.7226061204346</v>
      </c>
      <c r="J109" s="205">
        <f t="shared" si="34"/>
        <v>411.67226061204349</v>
      </c>
      <c r="K109" s="97">
        <f>+人工费!K109</f>
        <v>0</v>
      </c>
      <c r="L109" s="267">
        <f t="shared" si="35"/>
        <v>4017.0132559266058</v>
      </c>
      <c r="M109" s="205">
        <f t="shared" si="36"/>
        <v>0</v>
      </c>
      <c r="N109" s="207"/>
      <c r="O109" s="207"/>
      <c r="P109" s="205">
        <f t="shared" si="37"/>
        <v>0</v>
      </c>
      <c r="Q109" s="207">
        <f>+人工费!Q109</f>
        <v>0</v>
      </c>
      <c r="R109" s="267">
        <v>4017.0132559266058</v>
      </c>
      <c r="S109" s="205">
        <f t="shared" si="38"/>
        <v>0</v>
      </c>
      <c r="T109" s="207"/>
      <c r="U109" s="207"/>
      <c r="V109" s="205">
        <f t="shared" si="39"/>
        <v>0</v>
      </c>
      <c r="W109" s="123"/>
      <c r="X109" s="214"/>
      <c r="Y109" s="214"/>
      <c r="Z109" s="207"/>
      <c r="AA109" s="207"/>
      <c r="AB109" s="205">
        <v>0</v>
      </c>
    </row>
    <row r="110" spans="1:28" s="308" customFormat="1" ht="23.1" hidden="1" customHeight="1" outlineLevel="2">
      <c r="A110" s="223">
        <v>1.2999999999999998</v>
      </c>
      <c r="B110" s="260" t="s">
        <v>145</v>
      </c>
      <c r="C110" s="275" t="s">
        <v>173</v>
      </c>
      <c r="D110" s="275" t="s">
        <v>147</v>
      </c>
      <c r="E110" s="101">
        <v>0.5</v>
      </c>
      <c r="F110" s="101">
        <v>4046.1784742752293</v>
      </c>
      <c r="G110" s="205">
        <f t="shared" si="33"/>
        <v>2023.0892371376146</v>
      </c>
      <c r="H110" s="101">
        <v>0.5</v>
      </c>
      <c r="I110" s="267">
        <v>3646.2300884955753</v>
      </c>
      <c r="J110" s="205">
        <f t="shared" si="34"/>
        <v>1823.1150442477876</v>
      </c>
      <c r="K110" s="97">
        <f>+人工费!K110</f>
        <v>0</v>
      </c>
      <c r="L110" s="267">
        <f t="shared" si="35"/>
        <v>4046.1784742752293</v>
      </c>
      <c r="M110" s="205">
        <f t="shared" si="36"/>
        <v>0</v>
      </c>
      <c r="N110" s="207"/>
      <c r="O110" s="207"/>
      <c r="P110" s="205">
        <f t="shared" si="37"/>
        <v>0</v>
      </c>
      <c r="Q110" s="207">
        <f>+人工费!Q110</f>
        <v>0</v>
      </c>
      <c r="R110" s="267">
        <v>4046.1784742752293</v>
      </c>
      <c r="S110" s="205">
        <f t="shared" si="38"/>
        <v>0</v>
      </c>
      <c r="T110" s="207"/>
      <c r="U110" s="207"/>
      <c r="V110" s="205">
        <f t="shared" si="39"/>
        <v>0</v>
      </c>
      <c r="W110" s="123"/>
      <c r="X110" s="214"/>
      <c r="Y110" s="214"/>
      <c r="Z110" s="207"/>
      <c r="AA110" s="207"/>
      <c r="AB110" s="205">
        <v>0</v>
      </c>
    </row>
    <row r="111" spans="1:28" s="308" customFormat="1" ht="23.1" hidden="1" customHeight="1" outlineLevel="2">
      <c r="A111" s="223">
        <v>1.3999999999999997</v>
      </c>
      <c r="B111" s="260" t="s">
        <v>145</v>
      </c>
      <c r="C111" s="275" t="s">
        <v>174</v>
      </c>
      <c r="D111" s="275" t="s">
        <v>147</v>
      </c>
      <c r="E111" s="101">
        <v>3.16</v>
      </c>
      <c r="F111" s="101">
        <v>4202.617860110091</v>
      </c>
      <c r="G111" s="205">
        <f t="shared" si="33"/>
        <v>13280.272437947888</v>
      </c>
      <c r="H111" s="101">
        <v>3.16</v>
      </c>
      <c r="I111" s="267">
        <v>3839.4424778761063</v>
      </c>
      <c r="J111" s="205">
        <f t="shared" si="34"/>
        <v>12132.638230088496</v>
      </c>
      <c r="K111" s="97">
        <f>+人工费!K111</f>
        <v>0</v>
      </c>
      <c r="L111" s="267">
        <f t="shared" si="35"/>
        <v>4202.617860110091</v>
      </c>
      <c r="M111" s="205">
        <f t="shared" si="36"/>
        <v>0</v>
      </c>
      <c r="N111" s="207"/>
      <c r="O111" s="207"/>
      <c r="P111" s="205">
        <f t="shared" si="37"/>
        <v>0</v>
      </c>
      <c r="Q111" s="207">
        <f>+人工费!Q111</f>
        <v>0</v>
      </c>
      <c r="R111" s="267">
        <v>4202.617860110091</v>
      </c>
      <c r="S111" s="205">
        <f t="shared" si="38"/>
        <v>0</v>
      </c>
      <c r="T111" s="207"/>
      <c r="U111" s="207"/>
      <c r="V111" s="205">
        <f t="shared" si="39"/>
        <v>0</v>
      </c>
      <c r="W111" s="123"/>
      <c r="X111" s="214"/>
      <c r="Y111" s="214"/>
      <c r="Z111" s="207"/>
      <c r="AA111" s="207"/>
      <c r="AB111" s="205">
        <v>0</v>
      </c>
    </row>
    <row r="112" spans="1:28" s="308" customFormat="1" ht="23.1" hidden="1" customHeight="1" outlineLevel="2">
      <c r="A112" s="223">
        <v>1.4999999999999996</v>
      </c>
      <c r="B112" s="260" t="s">
        <v>145</v>
      </c>
      <c r="C112" s="275" t="s">
        <v>175</v>
      </c>
      <c r="D112" s="275" t="s">
        <v>147</v>
      </c>
      <c r="E112" s="101">
        <v>174.55</v>
      </c>
      <c r="F112" s="101">
        <v>4002.0465194862386</v>
      </c>
      <c r="G112" s="205">
        <f t="shared" si="33"/>
        <v>698557.21997632296</v>
      </c>
      <c r="H112" s="101">
        <v>174.55</v>
      </c>
      <c r="I112" s="267">
        <v>3582.8053097345132</v>
      </c>
      <c r="J112" s="205">
        <f t="shared" si="34"/>
        <v>625378.66681415937</v>
      </c>
      <c r="K112" s="97">
        <f>+人工费!K112</f>
        <v>24.495999999999995</v>
      </c>
      <c r="L112" s="267">
        <f t="shared" si="35"/>
        <v>4002.0465194862386</v>
      </c>
      <c r="M112" s="205">
        <f t="shared" si="36"/>
        <v>98034.131541334878</v>
      </c>
      <c r="N112" s="207"/>
      <c r="O112" s="207"/>
      <c r="P112" s="205">
        <f t="shared" si="37"/>
        <v>0</v>
      </c>
      <c r="Q112" s="207">
        <f>+人工费!Q112</f>
        <v>82.641999999999996</v>
      </c>
      <c r="R112" s="267">
        <v>4002.0465194862386</v>
      </c>
      <c r="S112" s="205">
        <f t="shared" si="38"/>
        <v>330737.12846338173</v>
      </c>
      <c r="T112" s="207"/>
      <c r="U112" s="207"/>
      <c r="V112" s="205">
        <f t="shared" si="39"/>
        <v>0</v>
      </c>
      <c r="W112" s="123"/>
      <c r="X112" s="214"/>
      <c r="Y112" s="214"/>
      <c r="Z112" s="207"/>
      <c r="AA112" s="207"/>
      <c r="AB112" s="205">
        <v>0</v>
      </c>
    </row>
    <row r="113" spans="1:28" s="308" customFormat="1" ht="23.1" hidden="1" customHeight="1" outlineLevel="2">
      <c r="A113" s="223">
        <v>1.5999999999999994</v>
      </c>
      <c r="B113" s="260" t="s">
        <v>145</v>
      </c>
      <c r="C113" s="275" t="s">
        <v>176</v>
      </c>
      <c r="D113" s="275" t="s">
        <v>147</v>
      </c>
      <c r="E113" s="101">
        <v>90.32</v>
      </c>
      <c r="F113" s="101">
        <v>4059.551793908257</v>
      </c>
      <c r="G113" s="205">
        <f t="shared" si="33"/>
        <v>366658.71802579373</v>
      </c>
      <c r="H113" s="101">
        <v>90.32</v>
      </c>
      <c r="I113" s="267">
        <v>3580.1504424778764</v>
      </c>
      <c r="J113" s="205">
        <f t="shared" si="34"/>
        <v>323359.18796460179</v>
      </c>
      <c r="K113" s="97">
        <f>+人工费!K113</f>
        <v>10.371000000000002</v>
      </c>
      <c r="L113" s="267">
        <f t="shared" si="35"/>
        <v>4059.551793908257</v>
      </c>
      <c r="M113" s="205">
        <f t="shared" si="36"/>
        <v>42101.611654622538</v>
      </c>
      <c r="N113" s="207"/>
      <c r="O113" s="207"/>
      <c r="P113" s="205">
        <f t="shared" si="37"/>
        <v>0</v>
      </c>
      <c r="Q113" s="207">
        <f>+人工费!Q113</f>
        <v>35.399000000000001</v>
      </c>
      <c r="R113" s="267">
        <v>4059.551793908257</v>
      </c>
      <c r="S113" s="205">
        <f t="shared" si="38"/>
        <v>143704.07395255839</v>
      </c>
      <c r="T113" s="207"/>
      <c r="U113" s="207"/>
      <c r="V113" s="205">
        <f t="shared" si="39"/>
        <v>0</v>
      </c>
      <c r="W113" s="123"/>
      <c r="X113" s="214"/>
      <c r="Y113" s="214"/>
      <c r="Z113" s="207"/>
      <c r="AA113" s="207"/>
      <c r="AB113" s="205">
        <v>0</v>
      </c>
    </row>
    <row r="114" spans="1:28" s="308" customFormat="1" ht="23.1" hidden="1" customHeight="1" outlineLevel="2">
      <c r="A114" s="223">
        <v>1.6999999999999993</v>
      </c>
      <c r="B114" s="260" t="s">
        <v>145</v>
      </c>
      <c r="C114" s="275" t="s">
        <v>177</v>
      </c>
      <c r="D114" s="275" t="s">
        <v>147</v>
      </c>
      <c r="E114" s="101">
        <v>94.88</v>
      </c>
      <c r="F114" s="101">
        <v>4074.2908993761471</v>
      </c>
      <c r="G114" s="205">
        <f t="shared" si="33"/>
        <v>386568.7205328088</v>
      </c>
      <c r="H114" s="101">
        <v>94.88</v>
      </c>
      <c r="I114" s="267">
        <v>3518.3274336283189</v>
      </c>
      <c r="J114" s="205">
        <f t="shared" si="34"/>
        <v>333818.90690265485</v>
      </c>
      <c r="K114" s="97">
        <f>+人工费!K114</f>
        <v>14.273999999999997</v>
      </c>
      <c r="L114" s="267">
        <f t="shared" si="35"/>
        <v>4074.2908993761471</v>
      </c>
      <c r="M114" s="205">
        <f t="shared" si="36"/>
        <v>58156.428297695114</v>
      </c>
      <c r="N114" s="207"/>
      <c r="O114" s="207"/>
      <c r="P114" s="205">
        <f t="shared" si="37"/>
        <v>0</v>
      </c>
      <c r="Q114" s="207">
        <f>+人工费!Q114</f>
        <v>40.930999999999997</v>
      </c>
      <c r="R114" s="267">
        <v>4074.2908993761471</v>
      </c>
      <c r="S114" s="205">
        <f t="shared" si="38"/>
        <v>166764.80080236506</v>
      </c>
      <c r="T114" s="207"/>
      <c r="U114" s="207"/>
      <c r="V114" s="205">
        <f t="shared" si="39"/>
        <v>0</v>
      </c>
      <c r="W114" s="123"/>
      <c r="X114" s="214"/>
      <c r="Y114" s="214"/>
      <c r="Z114" s="207"/>
      <c r="AA114" s="207"/>
      <c r="AB114" s="205">
        <v>0</v>
      </c>
    </row>
    <row r="115" spans="1:28" s="308" customFormat="1" ht="23.1" hidden="1" customHeight="1" outlineLevel="2">
      <c r="A115" s="223">
        <v>1.7999999999999992</v>
      </c>
      <c r="B115" s="260" t="s">
        <v>145</v>
      </c>
      <c r="C115" s="275" t="s">
        <v>178</v>
      </c>
      <c r="D115" s="275" t="s">
        <v>147</v>
      </c>
      <c r="E115" s="101">
        <v>23.3</v>
      </c>
      <c r="F115" s="101">
        <v>4040.0988303853214</v>
      </c>
      <c r="G115" s="205">
        <f t="shared" si="33"/>
        <v>94134.302747977999</v>
      </c>
      <c r="H115" s="101">
        <v>23.3</v>
      </c>
      <c r="I115" s="267">
        <v>3518.3274336283189</v>
      </c>
      <c r="J115" s="205">
        <f t="shared" si="34"/>
        <v>81977.029203539831</v>
      </c>
      <c r="K115" s="97">
        <f>+人工费!K115</f>
        <v>6.7570000000000014</v>
      </c>
      <c r="L115" s="267">
        <f t="shared" si="35"/>
        <v>4040.0988303853214</v>
      </c>
      <c r="M115" s="205">
        <f t="shared" si="36"/>
        <v>27298.947796913624</v>
      </c>
      <c r="N115" s="207"/>
      <c r="O115" s="207"/>
      <c r="P115" s="205">
        <f t="shared" si="37"/>
        <v>0</v>
      </c>
      <c r="Q115" s="207">
        <f>+人工费!Q115</f>
        <v>15.111000000000001</v>
      </c>
      <c r="R115" s="267">
        <v>4040.0988303853214</v>
      </c>
      <c r="S115" s="205">
        <f t="shared" si="38"/>
        <v>61049.933425952593</v>
      </c>
      <c r="T115" s="207"/>
      <c r="U115" s="207"/>
      <c r="V115" s="205">
        <f t="shared" si="39"/>
        <v>0</v>
      </c>
      <c r="W115" s="123"/>
      <c r="X115" s="214"/>
      <c r="Y115" s="214"/>
      <c r="Z115" s="207"/>
      <c r="AA115" s="207"/>
      <c r="AB115" s="205">
        <v>0</v>
      </c>
    </row>
    <row r="116" spans="1:28" s="308" customFormat="1" ht="23.1" hidden="1" customHeight="1" outlineLevel="2">
      <c r="A116" s="223">
        <v>1.899999999999999</v>
      </c>
      <c r="B116" s="260" t="s">
        <v>145</v>
      </c>
      <c r="C116" s="275" t="s">
        <v>179</v>
      </c>
      <c r="D116" s="275" t="s">
        <v>147</v>
      </c>
      <c r="E116" s="101">
        <v>47.01</v>
      </c>
      <c r="F116" s="101">
        <v>3988.3981457614673</v>
      </c>
      <c r="G116" s="205">
        <f t="shared" si="33"/>
        <v>187494.59683224658</v>
      </c>
      <c r="H116" s="101">
        <v>47.01</v>
      </c>
      <c r="I116" s="267">
        <v>3420.9823008849562</v>
      </c>
      <c r="J116" s="205">
        <f t="shared" si="34"/>
        <v>160820.37796460179</v>
      </c>
      <c r="K116" s="97">
        <f>+人工费!K116</f>
        <v>3.593</v>
      </c>
      <c r="L116" s="267">
        <f t="shared" si="35"/>
        <v>3988.3981457614673</v>
      </c>
      <c r="M116" s="205">
        <f t="shared" si="36"/>
        <v>14330.314537720951</v>
      </c>
      <c r="N116" s="207"/>
      <c r="O116" s="207"/>
      <c r="P116" s="205">
        <f t="shared" si="37"/>
        <v>0</v>
      </c>
      <c r="Q116" s="207">
        <f>+人工费!Q116</f>
        <v>27.628</v>
      </c>
      <c r="R116" s="267">
        <v>3988.3981457614673</v>
      </c>
      <c r="S116" s="205">
        <f t="shared" si="38"/>
        <v>110191.46397109782</v>
      </c>
      <c r="T116" s="207"/>
      <c r="U116" s="207"/>
      <c r="V116" s="205">
        <f t="shared" si="39"/>
        <v>0</v>
      </c>
      <c r="W116" s="123"/>
      <c r="X116" s="214"/>
      <c r="Y116" s="214"/>
      <c r="Z116" s="207"/>
      <c r="AA116" s="207"/>
      <c r="AB116" s="205">
        <v>0</v>
      </c>
    </row>
    <row r="117" spans="1:28" s="308" customFormat="1" ht="23.1" hidden="1" customHeight="1" outlineLevel="2">
      <c r="A117" s="267">
        <v>1.1000000000000001</v>
      </c>
      <c r="B117" s="260" t="s">
        <v>145</v>
      </c>
      <c r="C117" s="275" t="s">
        <v>180</v>
      </c>
      <c r="D117" s="275" t="s">
        <v>147</v>
      </c>
      <c r="E117" s="101">
        <v>16.12</v>
      </c>
      <c r="F117" s="101">
        <v>3945.0154762568814</v>
      </c>
      <c r="G117" s="205">
        <f t="shared" si="33"/>
        <v>63593.649477260929</v>
      </c>
      <c r="H117" s="101">
        <v>16.12</v>
      </c>
      <c r="I117" s="267">
        <v>3359.035398230089</v>
      </c>
      <c r="J117" s="205">
        <f t="shared" si="34"/>
        <v>54147.650619469037</v>
      </c>
      <c r="K117" s="97">
        <f>+人工费!K117</f>
        <v>2.0490000000000004</v>
      </c>
      <c r="L117" s="267">
        <f t="shared" si="35"/>
        <v>3945.0154762568814</v>
      </c>
      <c r="M117" s="205">
        <f t="shared" si="36"/>
        <v>8083.3367108503517</v>
      </c>
      <c r="N117" s="207"/>
      <c r="O117" s="207"/>
      <c r="P117" s="205">
        <f t="shared" si="37"/>
        <v>0</v>
      </c>
      <c r="Q117" s="207">
        <f>+人工费!Q117</f>
        <v>8.0980000000000008</v>
      </c>
      <c r="R117" s="267">
        <v>3945.0154762568814</v>
      </c>
      <c r="S117" s="205">
        <f t="shared" si="38"/>
        <v>31946.735326728227</v>
      </c>
      <c r="T117" s="207"/>
      <c r="U117" s="207"/>
      <c r="V117" s="205">
        <f t="shared" si="39"/>
        <v>0</v>
      </c>
      <c r="W117" s="123"/>
      <c r="X117" s="214"/>
      <c r="Y117" s="214"/>
      <c r="Z117" s="207"/>
      <c r="AA117" s="207"/>
      <c r="AB117" s="205">
        <v>0</v>
      </c>
    </row>
    <row r="118" spans="1:28" s="308" customFormat="1" ht="23.1" hidden="1" customHeight="1" outlineLevel="2">
      <c r="A118" s="223">
        <v>1.1100000000000001</v>
      </c>
      <c r="B118" s="330" t="s">
        <v>145</v>
      </c>
      <c r="C118" s="330" t="s">
        <v>181</v>
      </c>
      <c r="D118" s="330" t="s">
        <v>147</v>
      </c>
      <c r="E118" s="101">
        <v>20.07</v>
      </c>
      <c r="F118" s="101">
        <v>3960.8737673394494</v>
      </c>
      <c r="G118" s="205">
        <f t="shared" si="33"/>
        <v>79494.736510502757</v>
      </c>
      <c r="H118" s="101">
        <v>20.07</v>
      </c>
      <c r="I118" s="267">
        <v>3376.7345132743367</v>
      </c>
      <c r="J118" s="205">
        <f t="shared" si="34"/>
        <v>67771.061681415944</v>
      </c>
      <c r="K118" s="97">
        <f>+人工费!K118</f>
        <v>2.5940000000000003</v>
      </c>
      <c r="L118" s="267">
        <f t="shared" si="35"/>
        <v>3960.8737673394494</v>
      </c>
      <c r="M118" s="205">
        <f t="shared" si="36"/>
        <v>10274.506552478533</v>
      </c>
      <c r="N118" s="207"/>
      <c r="O118" s="207"/>
      <c r="P118" s="205">
        <f t="shared" si="37"/>
        <v>0</v>
      </c>
      <c r="Q118" s="207">
        <f>+人工费!Q118</f>
        <v>8.5660000000000007</v>
      </c>
      <c r="R118" s="267">
        <v>3960.8737673394494</v>
      </c>
      <c r="S118" s="205">
        <f t="shared" si="38"/>
        <v>33928.844691029728</v>
      </c>
      <c r="T118" s="207"/>
      <c r="U118" s="207"/>
      <c r="V118" s="205">
        <f t="shared" si="39"/>
        <v>0</v>
      </c>
      <c r="W118" s="123"/>
      <c r="X118" s="214"/>
      <c r="Y118" s="214"/>
      <c r="Z118" s="207"/>
      <c r="AA118" s="207"/>
      <c r="AB118" s="205">
        <v>0</v>
      </c>
    </row>
    <row r="119" spans="1:28" s="308" customFormat="1" ht="23.1" hidden="1" customHeight="1" outlineLevel="2">
      <c r="A119" s="267">
        <v>1.1200000000000001</v>
      </c>
      <c r="B119" s="330" t="s">
        <v>145</v>
      </c>
      <c r="C119" s="330" t="s">
        <v>182</v>
      </c>
      <c r="D119" s="330" t="s">
        <v>147</v>
      </c>
      <c r="E119" s="101">
        <v>19.690000000000001</v>
      </c>
      <c r="F119" s="101">
        <v>3952.5178137247708</v>
      </c>
      <c r="G119" s="205">
        <f t="shared" si="33"/>
        <v>77825.075752240737</v>
      </c>
      <c r="H119" s="101">
        <v>19.690000000000001</v>
      </c>
      <c r="I119" s="267">
        <v>3376.7345132743367</v>
      </c>
      <c r="J119" s="205">
        <f t="shared" si="34"/>
        <v>66487.902566371689</v>
      </c>
      <c r="K119" s="97">
        <f>+人工费!K119</f>
        <v>1.7730000000000006</v>
      </c>
      <c r="L119" s="267">
        <f t="shared" si="35"/>
        <v>3952.5178137247708</v>
      </c>
      <c r="M119" s="205">
        <f t="shared" si="36"/>
        <v>7007.8140837340206</v>
      </c>
      <c r="N119" s="207"/>
      <c r="O119" s="207"/>
      <c r="P119" s="205">
        <f t="shared" si="37"/>
        <v>0</v>
      </c>
      <c r="Q119" s="207">
        <f>+人工费!Q119</f>
        <v>7.4050000000000002</v>
      </c>
      <c r="R119" s="267">
        <v>3952.5178137247708</v>
      </c>
      <c r="S119" s="205">
        <f t="shared" si="38"/>
        <v>29268.394410631929</v>
      </c>
      <c r="T119" s="207"/>
      <c r="U119" s="207"/>
      <c r="V119" s="205">
        <f t="shared" si="39"/>
        <v>0</v>
      </c>
      <c r="W119" s="123"/>
      <c r="X119" s="214"/>
      <c r="Y119" s="214"/>
      <c r="Z119" s="207"/>
      <c r="AA119" s="207"/>
      <c r="AB119" s="205">
        <v>0</v>
      </c>
    </row>
    <row r="120" spans="1:28" s="308" customFormat="1" ht="23.1" hidden="1" customHeight="1" outlineLevel="2">
      <c r="A120" s="223">
        <v>1.1300000000000001</v>
      </c>
      <c r="B120" s="330" t="s">
        <v>145</v>
      </c>
      <c r="C120" s="330" t="s">
        <v>183</v>
      </c>
      <c r="D120" s="330" t="s">
        <v>147</v>
      </c>
      <c r="E120" s="101">
        <v>72.44</v>
      </c>
      <c r="F120" s="101">
        <v>3966.7162956330271</v>
      </c>
      <c r="G120" s="205">
        <f t="shared" si="33"/>
        <v>287348.92845565645</v>
      </c>
      <c r="H120" s="101">
        <v>72.44</v>
      </c>
      <c r="I120" s="267">
        <v>3403.2831858407085</v>
      </c>
      <c r="J120" s="205">
        <f t="shared" si="34"/>
        <v>246533.83398230092</v>
      </c>
      <c r="K120" s="97">
        <f>+人工费!K120</f>
        <v>10.541999999999994</v>
      </c>
      <c r="L120" s="267">
        <f t="shared" si="35"/>
        <v>3966.7162956330271</v>
      </c>
      <c r="M120" s="205">
        <f t="shared" si="36"/>
        <v>41817.123188563353</v>
      </c>
      <c r="N120" s="207"/>
      <c r="O120" s="207"/>
      <c r="P120" s="205">
        <f t="shared" si="37"/>
        <v>0</v>
      </c>
      <c r="Q120" s="207">
        <f>+人工费!Q120</f>
        <v>38.782999999999994</v>
      </c>
      <c r="R120" s="267">
        <v>3966.7162956330271</v>
      </c>
      <c r="S120" s="205">
        <f t="shared" si="38"/>
        <v>153841.15809353566</v>
      </c>
      <c r="T120" s="207"/>
      <c r="U120" s="207"/>
      <c r="V120" s="205">
        <f t="shared" si="39"/>
        <v>0</v>
      </c>
      <c r="W120" s="123"/>
      <c r="X120" s="214"/>
      <c r="Y120" s="214"/>
      <c r="Z120" s="207"/>
      <c r="AA120" s="207"/>
      <c r="AB120" s="205">
        <v>0</v>
      </c>
    </row>
    <row r="121" spans="1:28" s="308" customFormat="1" ht="23.1" hidden="1" customHeight="1" outlineLevel="2">
      <c r="A121" s="267">
        <v>1.1400000000000001</v>
      </c>
      <c r="B121" s="330" t="s">
        <v>145</v>
      </c>
      <c r="C121" s="330" t="s">
        <v>184</v>
      </c>
      <c r="D121" s="330" t="s">
        <v>147</v>
      </c>
      <c r="E121" s="101">
        <v>6.84</v>
      </c>
      <c r="F121" s="101">
        <v>4128.448101577982</v>
      </c>
      <c r="G121" s="205">
        <f t="shared" si="33"/>
        <v>28238.585014793396</v>
      </c>
      <c r="H121" s="101">
        <v>6.84</v>
      </c>
      <c r="I121" s="267">
        <v>3518.3274336283189</v>
      </c>
      <c r="J121" s="205">
        <f t="shared" si="34"/>
        <v>24065.3596460177</v>
      </c>
      <c r="K121" s="97">
        <f>+人工费!K121</f>
        <v>0.22299999999999986</v>
      </c>
      <c r="L121" s="267">
        <f t="shared" si="35"/>
        <v>4128.448101577982</v>
      </c>
      <c r="M121" s="205">
        <f t="shared" si="36"/>
        <v>920.64392665188939</v>
      </c>
      <c r="N121" s="207"/>
      <c r="O121" s="207"/>
      <c r="P121" s="205">
        <f t="shared" si="37"/>
        <v>0</v>
      </c>
      <c r="Q121" s="207">
        <f>+人工费!Q121</f>
        <v>2.5049999999999999</v>
      </c>
      <c r="R121" s="267">
        <v>4128.448101577982</v>
      </c>
      <c r="S121" s="205">
        <f t="shared" si="38"/>
        <v>10341.762494452845</v>
      </c>
      <c r="T121" s="207"/>
      <c r="U121" s="207"/>
      <c r="V121" s="205">
        <f t="shared" si="39"/>
        <v>0</v>
      </c>
      <c r="W121" s="123"/>
      <c r="X121" s="214"/>
      <c r="Y121" s="214"/>
      <c r="Z121" s="207"/>
      <c r="AA121" s="207"/>
      <c r="AB121" s="205">
        <v>0</v>
      </c>
    </row>
    <row r="122" spans="1:28" s="308" customFormat="1" ht="23.1" hidden="1" customHeight="1" outlineLevel="2">
      <c r="A122" s="223">
        <v>1.1500000000000001</v>
      </c>
      <c r="B122" s="330" t="s">
        <v>145</v>
      </c>
      <c r="C122" s="330" t="s">
        <v>185</v>
      </c>
      <c r="D122" s="330" t="s">
        <v>147</v>
      </c>
      <c r="E122" s="101">
        <v>1.3</v>
      </c>
      <c r="F122" s="101">
        <v>4278.3430969541278</v>
      </c>
      <c r="G122" s="205">
        <f t="shared" si="33"/>
        <v>5561.8460260403663</v>
      </c>
      <c r="H122" s="101">
        <v>1.3</v>
      </c>
      <c r="I122" s="267">
        <v>3677.6194690265493</v>
      </c>
      <c r="J122" s="205">
        <f t="shared" si="34"/>
        <v>4780.905309734514</v>
      </c>
      <c r="K122" s="97">
        <f>+人工费!K122</f>
        <v>0</v>
      </c>
      <c r="L122" s="267">
        <f t="shared" si="35"/>
        <v>4278.3430969541278</v>
      </c>
      <c r="M122" s="205">
        <f t="shared" si="36"/>
        <v>0</v>
      </c>
      <c r="N122" s="207"/>
      <c r="O122" s="207"/>
      <c r="P122" s="205">
        <f t="shared" si="37"/>
        <v>0</v>
      </c>
      <c r="Q122" s="207">
        <f>+人工费!Q122</f>
        <v>0</v>
      </c>
      <c r="R122" s="267">
        <v>4278.3430969541278</v>
      </c>
      <c r="S122" s="205">
        <f t="shared" si="38"/>
        <v>0</v>
      </c>
      <c r="T122" s="207"/>
      <c r="U122" s="207"/>
      <c r="V122" s="205">
        <f t="shared" si="39"/>
        <v>0</v>
      </c>
      <c r="W122" s="123"/>
      <c r="X122" s="214"/>
      <c r="Y122" s="214"/>
      <c r="Z122" s="207"/>
      <c r="AA122" s="207"/>
      <c r="AB122" s="205">
        <v>0</v>
      </c>
    </row>
    <row r="123" spans="1:28" s="308" customFormat="1" ht="23.1" hidden="1" customHeight="1" outlineLevel="2">
      <c r="A123" s="267">
        <v>1.1600000000000001</v>
      </c>
      <c r="B123" s="223" t="s">
        <v>162</v>
      </c>
      <c r="C123" s="223" t="s">
        <v>172</v>
      </c>
      <c r="D123" s="223" t="s">
        <v>147</v>
      </c>
      <c r="E123" s="101">
        <v>1.651</v>
      </c>
      <c r="F123" s="101">
        <v>4075.9222546788988</v>
      </c>
      <c r="G123" s="205">
        <f t="shared" si="33"/>
        <v>6729.3476424748624</v>
      </c>
      <c r="H123" s="101">
        <v>1.651</v>
      </c>
      <c r="I123" s="267">
        <v>4116.7226061204346</v>
      </c>
      <c r="J123" s="205">
        <f t="shared" si="34"/>
        <v>6796.7090227048375</v>
      </c>
      <c r="K123" s="97">
        <f>+人工费!K123</f>
        <v>0</v>
      </c>
      <c r="L123" s="267">
        <f t="shared" si="35"/>
        <v>4075.9222546788988</v>
      </c>
      <c r="M123" s="205">
        <f t="shared" si="36"/>
        <v>0</v>
      </c>
      <c r="N123" s="207"/>
      <c r="O123" s="207"/>
      <c r="P123" s="205">
        <f t="shared" si="37"/>
        <v>0</v>
      </c>
      <c r="Q123" s="207">
        <f>+人工费!Q123</f>
        <v>0</v>
      </c>
      <c r="R123" s="267">
        <v>4075.9222546788988</v>
      </c>
      <c r="S123" s="205">
        <f t="shared" si="38"/>
        <v>0</v>
      </c>
      <c r="T123" s="207"/>
      <c r="U123" s="207"/>
      <c r="V123" s="205">
        <f t="shared" si="39"/>
        <v>0</v>
      </c>
      <c r="W123" s="123"/>
      <c r="X123" s="214"/>
      <c r="Y123" s="214"/>
      <c r="Z123" s="207"/>
      <c r="AA123" s="207"/>
      <c r="AB123" s="205">
        <v>0</v>
      </c>
    </row>
    <row r="124" spans="1:28" s="308" customFormat="1" ht="23.1" hidden="1" customHeight="1" outlineLevel="2">
      <c r="A124" s="223">
        <v>1.1700000000000002</v>
      </c>
      <c r="B124" s="223" t="s">
        <v>162</v>
      </c>
      <c r="C124" s="223" t="s">
        <v>173</v>
      </c>
      <c r="D124" s="223" t="s">
        <v>147</v>
      </c>
      <c r="E124" s="101">
        <v>2.0750000000000002</v>
      </c>
      <c r="F124" s="101">
        <v>4075.8938008073392</v>
      </c>
      <c r="G124" s="205">
        <f t="shared" si="33"/>
        <v>8457.4796366752289</v>
      </c>
      <c r="H124" s="101">
        <v>2.0750000000000002</v>
      </c>
      <c r="I124" s="267">
        <v>3646.2300884955753</v>
      </c>
      <c r="J124" s="205">
        <f t="shared" si="34"/>
        <v>7565.9274336283197</v>
      </c>
      <c r="K124" s="97">
        <f>+人工费!K124</f>
        <v>0</v>
      </c>
      <c r="L124" s="267">
        <f t="shared" si="35"/>
        <v>4075.8938008073392</v>
      </c>
      <c r="M124" s="205">
        <f t="shared" si="36"/>
        <v>0</v>
      </c>
      <c r="N124" s="207"/>
      <c r="O124" s="207"/>
      <c r="P124" s="205">
        <f t="shared" si="37"/>
        <v>0</v>
      </c>
      <c r="Q124" s="207">
        <f>+人工费!Q124</f>
        <v>0</v>
      </c>
      <c r="R124" s="267">
        <v>4075.8938008073392</v>
      </c>
      <c r="S124" s="205">
        <f t="shared" si="38"/>
        <v>0</v>
      </c>
      <c r="T124" s="207"/>
      <c r="U124" s="207"/>
      <c r="V124" s="205">
        <f t="shared" si="39"/>
        <v>0</v>
      </c>
      <c r="W124" s="123"/>
      <c r="X124" s="214"/>
      <c r="Y124" s="214"/>
      <c r="Z124" s="207"/>
      <c r="AA124" s="207"/>
      <c r="AB124" s="205">
        <v>0</v>
      </c>
    </row>
    <row r="125" spans="1:28" s="308" customFormat="1" ht="23.1" hidden="1" customHeight="1" outlineLevel="2">
      <c r="A125" s="267">
        <v>1.1800000000000002</v>
      </c>
      <c r="B125" s="223" t="s">
        <v>162</v>
      </c>
      <c r="C125" s="223" t="s">
        <v>174</v>
      </c>
      <c r="D125" s="223" t="s">
        <v>147</v>
      </c>
      <c r="E125" s="101">
        <v>9.9</v>
      </c>
      <c r="F125" s="101">
        <v>4215.6971564036703</v>
      </c>
      <c r="G125" s="205">
        <f t="shared" si="33"/>
        <v>41735.401848396337</v>
      </c>
      <c r="H125" s="101">
        <v>9.9</v>
      </c>
      <c r="I125" s="267">
        <v>3839.4424778761063</v>
      </c>
      <c r="J125" s="205">
        <f t="shared" si="34"/>
        <v>38010.480530973451</v>
      </c>
      <c r="K125" s="97">
        <f>+人工费!K125</f>
        <v>3.0110000000000006</v>
      </c>
      <c r="L125" s="267">
        <f t="shared" si="35"/>
        <v>4215.6971564036703</v>
      </c>
      <c r="M125" s="205">
        <f t="shared" si="36"/>
        <v>12693.464137931454</v>
      </c>
      <c r="N125" s="207"/>
      <c r="O125" s="207"/>
      <c r="P125" s="205">
        <f t="shared" si="37"/>
        <v>0</v>
      </c>
      <c r="Q125" s="207">
        <f>+人工费!Q125</f>
        <v>5.5550000000000006</v>
      </c>
      <c r="R125" s="267">
        <v>4215.6971564036703</v>
      </c>
      <c r="S125" s="205">
        <f t="shared" si="38"/>
        <v>23418.197703822392</v>
      </c>
      <c r="T125" s="207"/>
      <c r="U125" s="207"/>
      <c r="V125" s="205">
        <f t="shared" si="39"/>
        <v>0</v>
      </c>
      <c r="W125" s="123"/>
      <c r="X125" s="214"/>
      <c r="Y125" s="214"/>
      <c r="Z125" s="207"/>
      <c r="AA125" s="207"/>
      <c r="AB125" s="205">
        <v>0</v>
      </c>
    </row>
    <row r="126" spans="1:28" s="308" customFormat="1" ht="23.1" hidden="1" customHeight="1" outlineLevel="2">
      <c r="A126" s="223">
        <v>1.1900000000000002</v>
      </c>
      <c r="B126" s="223" t="s">
        <v>162</v>
      </c>
      <c r="C126" s="223" t="s">
        <v>175</v>
      </c>
      <c r="D126" s="223" t="s">
        <v>147</v>
      </c>
      <c r="E126" s="101">
        <v>132.96</v>
      </c>
      <c r="F126" s="101">
        <v>4015.1163311559631</v>
      </c>
      <c r="G126" s="205">
        <f t="shared" si="33"/>
        <v>533849.86739049689</v>
      </c>
      <c r="H126" s="101">
        <v>132.96</v>
      </c>
      <c r="I126" s="267">
        <v>3582.8053097345132</v>
      </c>
      <c r="J126" s="205">
        <f t="shared" si="34"/>
        <v>476369.79398230091</v>
      </c>
      <c r="K126" s="97">
        <f>+人工费!K126</f>
        <v>17.271999999999998</v>
      </c>
      <c r="L126" s="267">
        <f t="shared" si="35"/>
        <v>4015.1163311559631</v>
      </c>
      <c r="M126" s="205">
        <f t="shared" si="36"/>
        <v>69349.089271725781</v>
      </c>
      <c r="N126" s="207"/>
      <c r="O126" s="207"/>
      <c r="P126" s="205">
        <f t="shared" si="37"/>
        <v>0</v>
      </c>
      <c r="Q126" s="207">
        <f>+人工费!Q126</f>
        <v>56.271000000000001</v>
      </c>
      <c r="R126" s="267">
        <v>4015.1163311559631</v>
      </c>
      <c r="S126" s="205">
        <f t="shared" si="38"/>
        <v>225934.6110704772</v>
      </c>
      <c r="T126" s="207"/>
      <c r="U126" s="207"/>
      <c r="V126" s="205">
        <f t="shared" si="39"/>
        <v>0</v>
      </c>
      <c r="W126" s="123"/>
      <c r="X126" s="214"/>
      <c r="Y126" s="214"/>
      <c r="Z126" s="207"/>
      <c r="AA126" s="207"/>
      <c r="AB126" s="205">
        <v>0</v>
      </c>
    </row>
    <row r="127" spans="1:28" s="308" customFormat="1" ht="23.1" hidden="1" customHeight="1" outlineLevel="2">
      <c r="A127" s="267">
        <v>1.2000000000000002</v>
      </c>
      <c r="B127" s="223" t="s">
        <v>162</v>
      </c>
      <c r="C127" s="223" t="s">
        <v>176</v>
      </c>
      <c r="D127" s="223" t="s">
        <v>147</v>
      </c>
      <c r="E127" s="101">
        <v>23.22</v>
      </c>
      <c r="F127" s="101">
        <v>4072.6216055779814</v>
      </c>
      <c r="G127" s="205">
        <f t="shared" si="33"/>
        <v>94566.273681520717</v>
      </c>
      <c r="H127" s="101">
        <v>23.22</v>
      </c>
      <c r="I127" s="267">
        <v>3580.1504424778764</v>
      </c>
      <c r="J127" s="205">
        <f t="shared" si="34"/>
        <v>83131.093274336279</v>
      </c>
      <c r="K127" s="97">
        <f>+人工费!K127</f>
        <v>1.1819999999999986</v>
      </c>
      <c r="L127" s="267">
        <f t="shared" si="35"/>
        <v>4072.6216055779814</v>
      </c>
      <c r="M127" s="205">
        <f t="shared" si="36"/>
        <v>4813.8387377931685</v>
      </c>
      <c r="N127" s="207"/>
      <c r="O127" s="207"/>
      <c r="P127" s="205">
        <f t="shared" si="37"/>
        <v>0</v>
      </c>
      <c r="Q127" s="207">
        <f>+人工费!Q127</f>
        <v>17.404</v>
      </c>
      <c r="R127" s="267">
        <v>4072.6216055779814</v>
      </c>
      <c r="S127" s="205">
        <f t="shared" si="38"/>
        <v>70879.906423479188</v>
      </c>
      <c r="T127" s="207"/>
      <c r="U127" s="207"/>
      <c r="V127" s="205">
        <f t="shared" si="39"/>
        <v>0</v>
      </c>
      <c r="W127" s="123"/>
      <c r="X127" s="214"/>
      <c r="Y127" s="214"/>
      <c r="Z127" s="207"/>
      <c r="AA127" s="207"/>
      <c r="AB127" s="205">
        <v>0</v>
      </c>
    </row>
    <row r="128" spans="1:28" s="308" customFormat="1" ht="23.1" hidden="1" customHeight="1" outlineLevel="2">
      <c r="A128" s="223">
        <v>1.2100000000000002</v>
      </c>
      <c r="B128" s="223" t="s">
        <v>162</v>
      </c>
      <c r="C128" s="223" t="s">
        <v>177</v>
      </c>
      <c r="D128" s="223" t="s">
        <v>147</v>
      </c>
      <c r="E128" s="101">
        <v>23.78</v>
      </c>
      <c r="F128" s="101">
        <v>4016.7097479633035</v>
      </c>
      <c r="G128" s="205">
        <f t="shared" si="33"/>
        <v>95517.357806567365</v>
      </c>
      <c r="H128" s="101">
        <v>23.78</v>
      </c>
      <c r="I128" s="267">
        <v>3518.3274336283189</v>
      </c>
      <c r="J128" s="205">
        <f t="shared" si="34"/>
        <v>83665.826371681425</v>
      </c>
      <c r="K128" s="97">
        <f>+人工费!K128</f>
        <v>1.9810000000000016</v>
      </c>
      <c r="L128" s="267">
        <f t="shared" si="35"/>
        <v>4016.7097479633035</v>
      </c>
      <c r="M128" s="205">
        <f t="shared" si="36"/>
        <v>7957.1020107153108</v>
      </c>
      <c r="N128" s="207"/>
      <c r="O128" s="207"/>
      <c r="P128" s="205">
        <f t="shared" si="37"/>
        <v>0</v>
      </c>
      <c r="Q128" s="207">
        <f>+人工费!Q128</f>
        <v>22.556000000000001</v>
      </c>
      <c r="R128" s="267">
        <v>4016.7097479633035</v>
      </c>
      <c r="S128" s="205">
        <f t="shared" si="38"/>
        <v>90600.905075060276</v>
      </c>
      <c r="T128" s="207"/>
      <c r="U128" s="207"/>
      <c r="V128" s="205">
        <f t="shared" si="39"/>
        <v>0</v>
      </c>
      <c r="W128" s="123"/>
      <c r="X128" s="214"/>
      <c r="Y128" s="214"/>
      <c r="Z128" s="207"/>
      <c r="AA128" s="207"/>
      <c r="AB128" s="205">
        <v>0</v>
      </c>
    </row>
    <row r="129" spans="1:28" s="308" customFormat="1" ht="23.1" hidden="1" customHeight="1" outlineLevel="2">
      <c r="A129" s="267">
        <v>1.2200000000000002</v>
      </c>
      <c r="B129" s="223" t="s">
        <v>162</v>
      </c>
      <c r="C129" s="223" t="s">
        <v>178</v>
      </c>
      <c r="D129" s="223" t="s">
        <v>147</v>
      </c>
      <c r="E129" s="101">
        <v>1.26</v>
      </c>
      <c r="F129" s="101">
        <v>3982.5081943486234</v>
      </c>
      <c r="G129" s="205">
        <f t="shared" si="33"/>
        <v>5017.9603248792655</v>
      </c>
      <c r="H129" s="101">
        <v>1.26</v>
      </c>
      <c r="I129" s="267">
        <v>3518.3274336283189</v>
      </c>
      <c r="J129" s="205">
        <f t="shared" si="34"/>
        <v>4433.0925663716816</v>
      </c>
      <c r="K129" s="97">
        <f>+人工费!K129</f>
        <v>0</v>
      </c>
      <c r="L129" s="267">
        <f t="shared" si="35"/>
        <v>3982.5081943486234</v>
      </c>
      <c r="M129" s="205">
        <f t="shared" si="36"/>
        <v>0</v>
      </c>
      <c r="N129" s="207"/>
      <c r="O129" s="207"/>
      <c r="P129" s="205">
        <f t="shared" si="37"/>
        <v>0</v>
      </c>
      <c r="Q129" s="207">
        <f>+人工费!Q129</f>
        <v>0</v>
      </c>
      <c r="R129" s="267">
        <v>3982.5081943486234</v>
      </c>
      <c r="S129" s="205">
        <f t="shared" si="38"/>
        <v>0</v>
      </c>
      <c r="T129" s="207"/>
      <c r="U129" s="207"/>
      <c r="V129" s="205">
        <f t="shared" si="39"/>
        <v>0</v>
      </c>
      <c r="W129" s="123"/>
      <c r="X129" s="214"/>
      <c r="Y129" s="214"/>
      <c r="Z129" s="207"/>
      <c r="AA129" s="207"/>
      <c r="AB129" s="205">
        <v>0</v>
      </c>
    </row>
    <row r="130" spans="1:28" s="308" customFormat="1" ht="23.1" hidden="1" customHeight="1" outlineLevel="2">
      <c r="A130" s="223">
        <v>1.2300000000000002</v>
      </c>
      <c r="B130" s="223" t="s">
        <v>162</v>
      </c>
      <c r="C130" s="223" t="s">
        <v>179</v>
      </c>
      <c r="D130" s="223" t="s">
        <v>147</v>
      </c>
      <c r="E130" s="101">
        <v>0.52800000000000002</v>
      </c>
      <c r="F130" s="101">
        <v>3930.8169943486237</v>
      </c>
      <c r="G130" s="205">
        <f t="shared" si="33"/>
        <v>2075.4713730160734</v>
      </c>
      <c r="H130" s="101">
        <v>0.52800000000000002</v>
      </c>
      <c r="I130" s="267">
        <v>3420.9823008849562</v>
      </c>
      <c r="J130" s="205">
        <f t="shared" si="34"/>
        <v>1806.278654867257</v>
      </c>
      <c r="K130" s="97">
        <f>+人工费!K130</f>
        <v>0</v>
      </c>
      <c r="L130" s="267">
        <f t="shared" si="35"/>
        <v>3930.8169943486237</v>
      </c>
      <c r="M130" s="205">
        <f t="shared" si="36"/>
        <v>0</v>
      </c>
      <c r="N130" s="207"/>
      <c r="O130" s="207"/>
      <c r="P130" s="205">
        <f t="shared" si="37"/>
        <v>0</v>
      </c>
      <c r="Q130" s="207">
        <f>+人工费!Q130</f>
        <v>0</v>
      </c>
      <c r="R130" s="267">
        <v>3930.8169943486237</v>
      </c>
      <c r="S130" s="205">
        <f t="shared" si="38"/>
        <v>0</v>
      </c>
      <c r="T130" s="207"/>
      <c r="U130" s="207"/>
      <c r="V130" s="205">
        <f t="shared" si="39"/>
        <v>0</v>
      </c>
      <c r="W130" s="123"/>
      <c r="X130" s="214"/>
      <c r="Y130" s="214"/>
      <c r="Z130" s="207"/>
      <c r="AA130" s="207"/>
      <c r="AB130" s="205">
        <v>0</v>
      </c>
    </row>
    <row r="131" spans="1:28" s="308" customFormat="1" ht="23.1" hidden="1" customHeight="1" outlineLevel="2">
      <c r="A131" s="267">
        <v>1.2400000000000002</v>
      </c>
      <c r="B131" s="223" t="s">
        <v>162</v>
      </c>
      <c r="C131" s="223" t="s">
        <v>180</v>
      </c>
      <c r="D131" s="223" t="s">
        <v>147</v>
      </c>
      <c r="E131" s="101">
        <v>7.01</v>
      </c>
      <c r="F131" s="101">
        <v>3887.4248402201829</v>
      </c>
      <c r="G131" s="205">
        <f t="shared" si="33"/>
        <v>27250.848129943482</v>
      </c>
      <c r="H131" s="101">
        <v>7.01</v>
      </c>
      <c r="I131" s="267">
        <v>3359.035398230089</v>
      </c>
      <c r="J131" s="205">
        <f t="shared" si="34"/>
        <v>23546.838141592922</v>
      </c>
      <c r="K131" s="97">
        <f>+人工费!K131</f>
        <v>0</v>
      </c>
      <c r="L131" s="267">
        <f t="shared" si="35"/>
        <v>3887.4248402201829</v>
      </c>
      <c r="M131" s="205">
        <f t="shared" si="36"/>
        <v>0</v>
      </c>
      <c r="N131" s="207"/>
      <c r="O131" s="207"/>
      <c r="P131" s="205">
        <f t="shared" si="37"/>
        <v>0</v>
      </c>
      <c r="Q131" s="207">
        <f>+人工费!Q131</f>
        <v>0</v>
      </c>
      <c r="R131" s="267">
        <v>3887.4248402201829</v>
      </c>
      <c r="S131" s="205">
        <f t="shared" si="38"/>
        <v>0</v>
      </c>
      <c r="T131" s="207"/>
      <c r="U131" s="207"/>
      <c r="V131" s="205">
        <f t="shared" si="39"/>
        <v>0</v>
      </c>
      <c r="W131" s="123"/>
      <c r="X131" s="214"/>
      <c r="Y131" s="214"/>
      <c r="Z131" s="207"/>
      <c r="AA131" s="207"/>
      <c r="AB131" s="205">
        <v>0</v>
      </c>
    </row>
    <row r="132" spans="1:28" s="308" customFormat="1" ht="23.1" hidden="1" customHeight="1" outlineLevel="2">
      <c r="A132" s="223">
        <v>1.2500000000000002</v>
      </c>
      <c r="B132" s="223" t="s">
        <v>164</v>
      </c>
      <c r="C132" s="223" t="s">
        <v>186</v>
      </c>
      <c r="D132" s="223" t="s">
        <v>166</v>
      </c>
      <c r="E132" s="101">
        <v>8725</v>
      </c>
      <c r="F132" s="101">
        <v>2.1530096146788988</v>
      </c>
      <c r="G132" s="205">
        <f t="shared" si="33"/>
        <v>18785.008888073393</v>
      </c>
      <c r="H132" s="101">
        <v>8725</v>
      </c>
      <c r="I132" s="267">
        <v>2</v>
      </c>
      <c r="J132" s="205">
        <f t="shared" si="34"/>
        <v>17450</v>
      </c>
      <c r="K132" s="97">
        <f>+人工费!K132</f>
        <v>0</v>
      </c>
      <c r="L132" s="267">
        <f t="shared" si="35"/>
        <v>2.1530096146788988</v>
      </c>
      <c r="M132" s="205">
        <f t="shared" si="36"/>
        <v>0</v>
      </c>
      <c r="N132" s="207"/>
      <c r="O132" s="207"/>
      <c r="P132" s="205">
        <f t="shared" si="37"/>
        <v>0</v>
      </c>
      <c r="Q132" s="207">
        <f>+人工费!Q132</f>
        <v>2500</v>
      </c>
      <c r="R132" s="267">
        <v>2.1530096146788988</v>
      </c>
      <c r="S132" s="205">
        <f t="shared" si="38"/>
        <v>5382.5240366972475</v>
      </c>
      <c r="T132" s="207"/>
      <c r="U132" s="207"/>
      <c r="V132" s="205">
        <f t="shared" si="39"/>
        <v>0</v>
      </c>
      <c r="W132" s="123"/>
      <c r="X132" s="214"/>
      <c r="Y132" s="214"/>
      <c r="Z132" s="207"/>
      <c r="AA132" s="207"/>
      <c r="AB132" s="205">
        <v>0</v>
      </c>
    </row>
    <row r="133" spans="1:28" s="308" customFormat="1" ht="23.1" hidden="1" customHeight="1" outlineLevel="2">
      <c r="A133" s="267">
        <v>1.2600000000000002</v>
      </c>
      <c r="B133" s="223" t="s">
        <v>164</v>
      </c>
      <c r="C133" s="223" t="s">
        <v>187</v>
      </c>
      <c r="D133" s="223" t="s">
        <v>166</v>
      </c>
      <c r="E133" s="101">
        <v>459</v>
      </c>
      <c r="F133" s="101">
        <v>8.3844074862385316</v>
      </c>
      <c r="G133" s="205">
        <f t="shared" si="33"/>
        <v>3848.4430361834861</v>
      </c>
      <c r="H133" s="101">
        <v>459</v>
      </c>
      <c r="I133" s="267">
        <v>2</v>
      </c>
      <c r="J133" s="205">
        <f t="shared" si="34"/>
        <v>918</v>
      </c>
      <c r="K133" s="97">
        <f>+人工费!K133</f>
        <v>0</v>
      </c>
      <c r="L133" s="267">
        <f t="shared" si="35"/>
        <v>8.3844074862385316</v>
      </c>
      <c r="M133" s="205">
        <f t="shared" si="36"/>
        <v>0</v>
      </c>
      <c r="N133" s="207"/>
      <c r="O133" s="207"/>
      <c r="P133" s="205">
        <f t="shared" si="37"/>
        <v>0</v>
      </c>
      <c r="Q133" s="207">
        <f>+人工费!Q133</f>
        <v>68</v>
      </c>
      <c r="R133" s="267">
        <v>8.3844074862385316</v>
      </c>
      <c r="S133" s="205">
        <f t="shared" si="38"/>
        <v>570.13970906422014</v>
      </c>
      <c r="T133" s="207"/>
      <c r="U133" s="207"/>
      <c r="V133" s="205">
        <f t="shared" si="39"/>
        <v>0</v>
      </c>
      <c r="W133" s="123"/>
      <c r="X133" s="214"/>
      <c r="Y133" s="214"/>
      <c r="Z133" s="207"/>
      <c r="AA133" s="207"/>
      <c r="AB133" s="205">
        <v>0</v>
      </c>
    </row>
    <row r="134" spans="1:28" s="308" customFormat="1" ht="23.1" hidden="1" customHeight="1" outlineLevel="2">
      <c r="A134" s="223">
        <v>1.2700000000000002</v>
      </c>
      <c r="B134" s="223" t="s">
        <v>164</v>
      </c>
      <c r="C134" s="223" t="s">
        <v>188</v>
      </c>
      <c r="D134" s="223" t="s">
        <v>166</v>
      </c>
      <c r="E134" s="101">
        <v>70</v>
      </c>
      <c r="F134" s="101">
        <v>10.148547522935779</v>
      </c>
      <c r="G134" s="205">
        <f t="shared" si="33"/>
        <v>710.39832660550451</v>
      </c>
      <c r="H134" s="101">
        <v>70</v>
      </c>
      <c r="I134" s="267">
        <v>2</v>
      </c>
      <c r="J134" s="205">
        <f t="shared" si="34"/>
        <v>140</v>
      </c>
      <c r="K134" s="97">
        <f>+人工费!K134</f>
        <v>0</v>
      </c>
      <c r="L134" s="267">
        <f t="shared" si="35"/>
        <v>10.148547522935779</v>
      </c>
      <c r="M134" s="205">
        <f t="shared" si="36"/>
        <v>0</v>
      </c>
      <c r="N134" s="207"/>
      <c r="O134" s="207"/>
      <c r="P134" s="205">
        <f t="shared" si="37"/>
        <v>0</v>
      </c>
      <c r="Q134" s="207">
        <f>+人工费!Q134</f>
        <v>0</v>
      </c>
      <c r="R134" s="267">
        <v>10.148547522935779</v>
      </c>
      <c r="S134" s="205">
        <f t="shared" si="38"/>
        <v>0</v>
      </c>
      <c r="T134" s="207"/>
      <c r="U134" s="207"/>
      <c r="V134" s="205">
        <f t="shared" si="39"/>
        <v>0</v>
      </c>
      <c r="W134" s="123"/>
      <c r="X134" s="214"/>
      <c r="Y134" s="214"/>
      <c r="Z134" s="207"/>
      <c r="AA134" s="207"/>
      <c r="AB134" s="205">
        <v>0</v>
      </c>
    </row>
    <row r="135" spans="1:28" s="308" customFormat="1" ht="23.1" hidden="1" customHeight="1" outlineLevel="1" collapsed="1">
      <c r="A135" s="220">
        <v>2</v>
      </c>
      <c r="B135" s="315" t="s">
        <v>207</v>
      </c>
      <c r="C135" s="274"/>
      <c r="D135" s="315"/>
      <c r="E135" s="101">
        <v>0</v>
      </c>
      <c r="F135" s="101">
        <v>0</v>
      </c>
      <c r="G135" s="222">
        <f>SUM(G136:G155)</f>
        <v>2464514.414809145</v>
      </c>
      <c r="H135" s="101">
        <v>0</v>
      </c>
      <c r="I135" s="266"/>
      <c r="J135" s="222">
        <f>SUM(J136:J155)</f>
        <v>1707643.7431893202</v>
      </c>
      <c r="K135" s="101">
        <f>SUM(K136:K155)</f>
        <v>593.91570000000002</v>
      </c>
      <c r="L135" s="266"/>
      <c r="M135" s="222">
        <f>SUM(M136:M155)</f>
        <v>336013.56689691922</v>
      </c>
      <c r="N135" s="229"/>
      <c r="O135" s="229"/>
      <c r="P135" s="222">
        <f>SUM(P136:P155)</f>
        <v>0</v>
      </c>
      <c r="Q135" s="101">
        <f>SUM(Q136:Q155)</f>
        <v>2252.1815000000001</v>
      </c>
      <c r="R135" s="266"/>
      <c r="S135" s="222">
        <f>SUM(S136:S155)</f>
        <v>1326655.3050596474</v>
      </c>
      <c r="T135" s="229"/>
      <c r="U135" s="229"/>
      <c r="V135" s="222">
        <f>SUM(V136:V155)</f>
        <v>0</v>
      </c>
      <c r="W135" s="137"/>
      <c r="X135" s="212"/>
      <c r="Y135" s="212"/>
      <c r="Z135" s="229"/>
      <c r="AA135" s="229"/>
      <c r="AB135" s="222">
        <v>0</v>
      </c>
    </row>
    <row r="136" spans="1:28" s="308" customFormat="1" ht="23.1" hidden="1" customHeight="1" outlineLevel="2">
      <c r="A136" s="223">
        <v>2.1</v>
      </c>
      <c r="B136" s="223" t="s">
        <v>106</v>
      </c>
      <c r="C136" s="223" t="s">
        <v>190</v>
      </c>
      <c r="D136" s="223" t="s">
        <v>103</v>
      </c>
      <c r="E136" s="101">
        <v>150.69</v>
      </c>
      <c r="F136" s="101">
        <v>647.44887809174304</v>
      </c>
      <c r="G136" s="205">
        <f t="shared" ref="G136:G155" si="40">+F136*E136</f>
        <v>97564.071439644758</v>
      </c>
      <c r="H136" s="101">
        <v>150.69</v>
      </c>
      <c r="I136" s="267">
        <v>447.05485436893201</v>
      </c>
      <c r="J136" s="205">
        <f t="shared" ref="J136:J155" si="41">+I136*H136</f>
        <v>67366.69600485437</v>
      </c>
      <c r="K136" s="97">
        <f>+人工费!K136</f>
        <v>0</v>
      </c>
      <c r="L136" s="267">
        <f t="shared" ref="L136:L155" si="42">+R136</f>
        <v>647.44887809174304</v>
      </c>
      <c r="M136" s="205">
        <f t="shared" ref="M136:M155" si="43">+L136*K136</f>
        <v>0</v>
      </c>
      <c r="N136" s="207"/>
      <c r="O136" s="207"/>
      <c r="P136" s="205">
        <f t="shared" ref="P136:P155" si="44">+O136*N136</f>
        <v>0</v>
      </c>
      <c r="Q136" s="207">
        <f>+人工费!Q136</f>
        <v>417.22859999999997</v>
      </c>
      <c r="R136" s="267">
        <v>647.44887809174304</v>
      </c>
      <c r="S136" s="205">
        <f t="shared" ref="S136:S155" si="45">+R136*Q136</f>
        <v>270134.18897778861</v>
      </c>
      <c r="T136" s="207"/>
      <c r="U136" s="207"/>
      <c r="V136" s="205">
        <f t="shared" ref="V136:V155" si="46">+U136*T136</f>
        <v>0</v>
      </c>
      <c r="W136" s="123"/>
      <c r="X136" s="214"/>
      <c r="Y136" s="214"/>
      <c r="Z136" s="207"/>
      <c r="AA136" s="207"/>
      <c r="AB136" s="205">
        <v>0</v>
      </c>
    </row>
    <row r="137" spans="1:28" s="308" customFormat="1" ht="23.1" hidden="1" customHeight="1" outlineLevel="2">
      <c r="A137" s="223">
        <v>2.2000000000000002</v>
      </c>
      <c r="B137" s="223" t="s">
        <v>208</v>
      </c>
      <c r="C137" s="223" t="s">
        <v>209</v>
      </c>
      <c r="D137" s="223" t="s">
        <v>103</v>
      </c>
      <c r="E137" s="101">
        <v>188.57</v>
      </c>
      <c r="F137" s="101">
        <v>630.71800161467888</v>
      </c>
      <c r="G137" s="205">
        <f t="shared" si="40"/>
        <v>118934.49356448</v>
      </c>
      <c r="H137" s="101">
        <v>188.57</v>
      </c>
      <c r="I137" s="267">
        <v>427.72524271844657</v>
      </c>
      <c r="J137" s="205">
        <f t="shared" si="41"/>
        <v>80656.149019417469</v>
      </c>
      <c r="K137" s="97">
        <f>+人工费!K137</f>
        <v>0</v>
      </c>
      <c r="L137" s="267">
        <f t="shared" si="42"/>
        <v>630.71800161467888</v>
      </c>
      <c r="M137" s="205">
        <f t="shared" si="43"/>
        <v>0</v>
      </c>
      <c r="N137" s="207"/>
      <c r="O137" s="207"/>
      <c r="P137" s="205">
        <f t="shared" si="44"/>
        <v>0</v>
      </c>
      <c r="Q137" s="207">
        <f>+人工费!Q137</f>
        <v>440.79950000000002</v>
      </c>
      <c r="R137" s="267">
        <v>630.71800161467888</v>
      </c>
      <c r="S137" s="205">
        <f t="shared" si="45"/>
        <v>278020.17975274968</v>
      </c>
      <c r="T137" s="207"/>
      <c r="U137" s="207"/>
      <c r="V137" s="205">
        <f t="shared" si="46"/>
        <v>0</v>
      </c>
      <c r="W137" s="123"/>
      <c r="X137" s="214"/>
      <c r="Y137" s="214"/>
      <c r="Z137" s="207"/>
      <c r="AA137" s="207"/>
      <c r="AB137" s="205">
        <v>0</v>
      </c>
    </row>
    <row r="138" spans="1:28" s="308" customFormat="1" ht="23.1" hidden="1" customHeight="1" outlineLevel="2">
      <c r="A138" s="223">
        <v>2.3000000000000003</v>
      </c>
      <c r="B138" s="223" t="s">
        <v>210</v>
      </c>
      <c r="C138" s="223" t="s">
        <v>211</v>
      </c>
      <c r="D138" s="223" t="s">
        <v>103</v>
      </c>
      <c r="E138" s="101">
        <v>189.75</v>
      </c>
      <c r="F138" s="101">
        <v>616.11168088073407</v>
      </c>
      <c r="G138" s="205">
        <f t="shared" si="40"/>
        <v>116907.19144711929</v>
      </c>
      <c r="H138" s="101">
        <v>189.75</v>
      </c>
      <c r="I138" s="267">
        <v>417.16747572815535</v>
      </c>
      <c r="J138" s="205">
        <f t="shared" si="41"/>
        <v>79157.528519417479</v>
      </c>
      <c r="K138" s="97">
        <f>+人工费!K138</f>
        <v>175.5686</v>
      </c>
      <c r="L138" s="267">
        <f t="shared" si="42"/>
        <v>616.11168088073407</v>
      </c>
      <c r="M138" s="205">
        <f t="shared" si="43"/>
        <v>108169.86525587724</v>
      </c>
      <c r="N138" s="207"/>
      <c r="O138" s="207"/>
      <c r="P138" s="205">
        <f t="shared" si="44"/>
        <v>0</v>
      </c>
      <c r="Q138" s="207">
        <f>+人工费!Q138</f>
        <v>439.39359999999999</v>
      </c>
      <c r="R138" s="267">
        <v>616.11168088073407</v>
      </c>
      <c r="S138" s="205">
        <f t="shared" si="45"/>
        <v>270715.52946423693</v>
      </c>
      <c r="T138" s="207"/>
      <c r="U138" s="207"/>
      <c r="V138" s="205">
        <f t="shared" si="46"/>
        <v>0</v>
      </c>
      <c r="W138" s="123"/>
      <c r="X138" s="214"/>
      <c r="Y138" s="214"/>
      <c r="Z138" s="207"/>
      <c r="AA138" s="207"/>
      <c r="AB138" s="205">
        <v>0</v>
      </c>
    </row>
    <row r="139" spans="1:28" s="308" customFormat="1" ht="23.1" hidden="1" customHeight="1" outlineLevel="2">
      <c r="A139" s="223">
        <v>2.4000000000000004</v>
      </c>
      <c r="B139" s="223" t="s">
        <v>212</v>
      </c>
      <c r="C139" s="223" t="s">
        <v>213</v>
      </c>
      <c r="D139" s="223" t="s">
        <v>103</v>
      </c>
      <c r="E139" s="101">
        <v>153.26</v>
      </c>
      <c r="F139" s="101">
        <v>571.88487985321103</v>
      </c>
      <c r="G139" s="205">
        <f t="shared" si="40"/>
        <v>87647.076686303117</v>
      </c>
      <c r="H139" s="101">
        <v>153.26</v>
      </c>
      <c r="I139" s="267">
        <v>399.75</v>
      </c>
      <c r="J139" s="205">
        <f t="shared" si="41"/>
        <v>61265.684999999998</v>
      </c>
      <c r="K139" s="97">
        <f>+人工费!K139</f>
        <v>190.90289999999999</v>
      </c>
      <c r="L139" s="267">
        <f t="shared" si="42"/>
        <v>571.88487985321103</v>
      </c>
      <c r="M139" s="205">
        <f t="shared" si="43"/>
        <v>109174.48203012955</v>
      </c>
      <c r="N139" s="207"/>
      <c r="O139" s="207"/>
      <c r="P139" s="205">
        <f t="shared" si="44"/>
        <v>0</v>
      </c>
      <c r="Q139" s="207">
        <f>+人工费!Q139</f>
        <v>190.90289999999999</v>
      </c>
      <c r="R139" s="267">
        <v>571.88487985321103</v>
      </c>
      <c r="S139" s="205">
        <f t="shared" si="45"/>
        <v>109174.48203012955</v>
      </c>
      <c r="T139" s="207"/>
      <c r="U139" s="207"/>
      <c r="V139" s="205">
        <f t="shared" si="46"/>
        <v>0</v>
      </c>
      <c r="W139" s="123"/>
      <c r="X139" s="214"/>
      <c r="Y139" s="214"/>
      <c r="Z139" s="207"/>
      <c r="AA139" s="207"/>
      <c r="AB139" s="205">
        <v>0</v>
      </c>
    </row>
    <row r="140" spans="1:28" s="308" customFormat="1" ht="23.1" hidden="1" customHeight="1" outlineLevel="2">
      <c r="A140" s="223">
        <v>2.5000000000000004</v>
      </c>
      <c r="B140" s="223" t="s">
        <v>108</v>
      </c>
      <c r="C140" s="223" t="s">
        <v>214</v>
      </c>
      <c r="D140" s="223" t="s">
        <v>103</v>
      </c>
      <c r="E140" s="101">
        <v>141.80000000000001</v>
      </c>
      <c r="F140" s="101">
        <v>564.53429636697251</v>
      </c>
      <c r="G140" s="205">
        <f t="shared" si="40"/>
        <v>80050.963224836712</v>
      </c>
      <c r="H140" s="101">
        <v>141.80000000000001</v>
      </c>
      <c r="I140" s="267">
        <v>388.7063106796117</v>
      </c>
      <c r="J140" s="205">
        <f t="shared" si="41"/>
        <v>55118.554854368944</v>
      </c>
      <c r="K140" s="97">
        <f>+人工费!K140</f>
        <v>0</v>
      </c>
      <c r="L140" s="267">
        <f t="shared" si="42"/>
        <v>564.53429636697251</v>
      </c>
      <c r="M140" s="205">
        <f t="shared" si="43"/>
        <v>0</v>
      </c>
      <c r="N140" s="207"/>
      <c r="O140" s="207"/>
      <c r="P140" s="205">
        <f t="shared" si="44"/>
        <v>0</v>
      </c>
      <c r="Q140" s="207">
        <f>+人工费!Q140</f>
        <v>0</v>
      </c>
      <c r="R140" s="267">
        <v>564.53429636697251</v>
      </c>
      <c r="S140" s="205">
        <f t="shared" si="45"/>
        <v>0</v>
      </c>
      <c r="T140" s="207"/>
      <c r="U140" s="207"/>
      <c r="V140" s="205">
        <f t="shared" si="46"/>
        <v>0</v>
      </c>
      <c r="W140" s="123"/>
      <c r="X140" s="214"/>
      <c r="Y140" s="214"/>
      <c r="Z140" s="207"/>
      <c r="AA140" s="207"/>
      <c r="AB140" s="205">
        <v>0</v>
      </c>
    </row>
    <row r="141" spans="1:28" s="308" customFormat="1" ht="23.1" hidden="1" customHeight="1" outlineLevel="2">
      <c r="A141" s="223">
        <v>2.6000000000000005</v>
      </c>
      <c r="B141" s="223" t="s">
        <v>215</v>
      </c>
      <c r="C141" s="223" t="s">
        <v>216</v>
      </c>
      <c r="D141" s="223" t="s">
        <v>103</v>
      </c>
      <c r="E141" s="101">
        <v>141.81</v>
      </c>
      <c r="F141" s="101">
        <v>545.5840179082569</v>
      </c>
      <c r="G141" s="205">
        <f t="shared" si="40"/>
        <v>77369.269579569911</v>
      </c>
      <c r="H141" s="101">
        <v>141.81</v>
      </c>
      <c r="I141" s="267">
        <v>381.06407766990293</v>
      </c>
      <c r="J141" s="205">
        <f t="shared" si="41"/>
        <v>54038.696854368936</v>
      </c>
      <c r="K141" s="97">
        <f>+人工费!K141</f>
        <v>0</v>
      </c>
      <c r="L141" s="267">
        <f t="shared" si="42"/>
        <v>545.5840179082569</v>
      </c>
      <c r="M141" s="205">
        <f t="shared" si="43"/>
        <v>0</v>
      </c>
      <c r="N141" s="207"/>
      <c r="O141" s="207"/>
      <c r="P141" s="205">
        <f t="shared" si="44"/>
        <v>0</v>
      </c>
      <c r="Q141" s="207">
        <f>+人工费!Q141</f>
        <v>0</v>
      </c>
      <c r="R141" s="267">
        <v>545.5840179082569</v>
      </c>
      <c r="S141" s="205">
        <f t="shared" si="45"/>
        <v>0</v>
      </c>
      <c r="T141" s="207"/>
      <c r="U141" s="207"/>
      <c r="V141" s="205">
        <f t="shared" si="46"/>
        <v>0</v>
      </c>
      <c r="W141" s="123"/>
      <c r="X141" s="214"/>
      <c r="Y141" s="214"/>
      <c r="Z141" s="207"/>
      <c r="AA141" s="207"/>
      <c r="AB141" s="205">
        <v>0</v>
      </c>
    </row>
    <row r="142" spans="1:28" s="308" customFormat="1" ht="23.1" hidden="1" customHeight="1" outlineLevel="2">
      <c r="A142" s="223">
        <v>2.7000000000000006</v>
      </c>
      <c r="B142" s="223" t="s">
        <v>217</v>
      </c>
      <c r="C142" s="223" t="s">
        <v>192</v>
      </c>
      <c r="D142" s="223" t="s">
        <v>103</v>
      </c>
      <c r="E142" s="101">
        <v>1621.18</v>
      </c>
      <c r="F142" s="101">
        <v>521.5784349357798</v>
      </c>
      <c r="G142" s="205">
        <f t="shared" si="40"/>
        <v>845572.52714918752</v>
      </c>
      <c r="H142" s="101">
        <v>1621.18</v>
      </c>
      <c r="I142" s="267">
        <v>361.86067961165048</v>
      </c>
      <c r="J142" s="205">
        <f t="shared" si="41"/>
        <v>586641.29657281551</v>
      </c>
      <c r="K142" s="97">
        <f>+人工费!K142</f>
        <v>0</v>
      </c>
      <c r="L142" s="267">
        <f t="shared" si="42"/>
        <v>521.5784349357798</v>
      </c>
      <c r="M142" s="205">
        <f t="shared" si="43"/>
        <v>0</v>
      </c>
      <c r="N142" s="207"/>
      <c r="O142" s="207"/>
      <c r="P142" s="205">
        <f t="shared" si="44"/>
        <v>0</v>
      </c>
      <c r="Q142" s="207">
        <f>+人工费!Q142</f>
        <v>0</v>
      </c>
      <c r="R142" s="267">
        <v>521.5784349357798</v>
      </c>
      <c r="S142" s="205">
        <f t="shared" si="45"/>
        <v>0</v>
      </c>
      <c r="T142" s="207"/>
      <c r="U142" s="207"/>
      <c r="V142" s="205">
        <f t="shared" si="46"/>
        <v>0</v>
      </c>
      <c r="W142" s="123"/>
      <c r="X142" s="214"/>
      <c r="Y142" s="214"/>
      <c r="Z142" s="207"/>
      <c r="AA142" s="207"/>
      <c r="AB142" s="205">
        <v>0</v>
      </c>
    </row>
    <row r="143" spans="1:28" s="308" customFormat="1" ht="23.1" hidden="1" customHeight="1" outlineLevel="2">
      <c r="A143" s="223">
        <v>2.8000000000000007</v>
      </c>
      <c r="B143" s="223" t="s">
        <v>191</v>
      </c>
      <c r="C143" s="331" t="s">
        <v>192</v>
      </c>
      <c r="D143" s="223" t="s">
        <v>103</v>
      </c>
      <c r="E143" s="101">
        <v>1481.24</v>
      </c>
      <c r="F143" s="101">
        <v>521.5784349357798</v>
      </c>
      <c r="G143" s="205">
        <f t="shared" si="40"/>
        <v>772582.84096427448</v>
      </c>
      <c r="H143" s="101">
        <v>1481.24</v>
      </c>
      <c r="I143" s="267">
        <v>361.86067961165048</v>
      </c>
      <c r="J143" s="205">
        <f t="shared" si="41"/>
        <v>536002.5130679612</v>
      </c>
      <c r="K143" s="97">
        <f>+人工费!K143</f>
        <v>225.75459999999998</v>
      </c>
      <c r="L143" s="267">
        <f t="shared" si="42"/>
        <v>521.5784349357798</v>
      </c>
      <c r="M143" s="205">
        <f t="shared" si="43"/>
        <v>117748.73094755299</v>
      </c>
      <c r="N143" s="207"/>
      <c r="O143" s="207"/>
      <c r="P143" s="205">
        <f t="shared" si="44"/>
        <v>0</v>
      </c>
      <c r="Q143" s="207">
        <f>+人工费!Q143</f>
        <v>755.2586</v>
      </c>
      <c r="R143" s="267">
        <v>521.5784349357798</v>
      </c>
      <c r="S143" s="205">
        <f t="shared" si="45"/>
        <v>393926.59855978814</v>
      </c>
      <c r="T143" s="207"/>
      <c r="U143" s="207"/>
      <c r="V143" s="205">
        <f t="shared" si="46"/>
        <v>0</v>
      </c>
      <c r="W143" s="123"/>
      <c r="X143" s="214"/>
      <c r="Y143" s="214"/>
      <c r="Z143" s="207"/>
      <c r="AA143" s="207"/>
      <c r="AB143" s="205">
        <v>0</v>
      </c>
    </row>
    <row r="144" spans="1:28" s="308" customFormat="1" ht="23.1" hidden="1" customHeight="1" outlineLevel="2">
      <c r="A144" s="223">
        <v>2.9000000000000008</v>
      </c>
      <c r="B144" s="223" t="s">
        <v>218</v>
      </c>
      <c r="C144" s="331" t="s">
        <v>194</v>
      </c>
      <c r="D144" s="223" t="s">
        <v>103</v>
      </c>
      <c r="E144" s="101">
        <v>97.41</v>
      </c>
      <c r="F144" s="101">
        <v>528.07540227522929</v>
      </c>
      <c r="G144" s="205">
        <f t="shared" si="40"/>
        <v>51439.82493563008</v>
      </c>
      <c r="H144" s="101">
        <v>97.41</v>
      </c>
      <c r="I144" s="267">
        <v>366.90922330097089</v>
      </c>
      <c r="J144" s="205">
        <f t="shared" si="41"/>
        <v>35740.627441747572</v>
      </c>
      <c r="K144" s="97">
        <f>+人工费!K144</f>
        <v>0</v>
      </c>
      <c r="L144" s="267">
        <f t="shared" si="42"/>
        <v>528.07540227522929</v>
      </c>
      <c r="M144" s="205">
        <f t="shared" si="43"/>
        <v>0</v>
      </c>
      <c r="N144" s="207"/>
      <c r="O144" s="207"/>
      <c r="P144" s="205">
        <f t="shared" si="44"/>
        <v>0</v>
      </c>
      <c r="Q144" s="207">
        <f>+人工费!Q144</f>
        <v>0</v>
      </c>
      <c r="R144" s="267">
        <v>528.07540227522929</v>
      </c>
      <c r="S144" s="205">
        <f t="shared" si="45"/>
        <v>0</v>
      </c>
      <c r="T144" s="207"/>
      <c r="U144" s="207"/>
      <c r="V144" s="205">
        <f t="shared" si="46"/>
        <v>0</v>
      </c>
      <c r="W144" s="123"/>
      <c r="X144" s="214"/>
      <c r="Y144" s="214"/>
      <c r="Z144" s="207"/>
      <c r="AA144" s="207"/>
      <c r="AB144" s="205">
        <v>0</v>
      </c>
    </row>
    <row r="145" spans="1:28" s="308" customFormat="1" ht="23.1" hidden="1" customHeight="1" outlineLevel="2">
      <c r="A145" s="267">
        <v>2.1</v>
      </c>
      <c r="B145" s="223" t="s">
        <v>219</v>
      </c>
      <c r="C145" s="331" t="s">
        <v>216</v>
      </c>
      <c r="D145" s="223" t="s">
        <v>103</v>
      </c>
      <c r="E145" s="101">
        <v>16.579999999999998</v>
      </c>
      <c r="F145" s="101">
        <v>544.7967941284403</v>
      </c>
      <c r="G145" s="205">
        <f t="shared" si="40"/>
        <v>9032.7308466495397</v>
      </c>
      <c r="H145" s="101">
        <v>16.579999999999998</v>
      </c>
      <c r="I145" s="267">
        <v>381.06407766990293</v>
      </c>
      <c r="J145" s="205">
        <f t="shared" si="41"/>
        <v>6318.0424077669895</v>
      </c>
      <c r="K145" s="97">
        <f>+人工费!K145</f>
        <v>1.6896000000000004</v>
      </c>
      <c r="L145" s="267">
        <f t="shared" si="42"/>
        <v>544.7967941284403</v>
      </c>
      <c r="M145" s="205">
        <f t="shared" si="43"/>
        <v>920.48866335941295</v>
      </c>
      <c r="N145" s="207"/>
      <c r="O145" s="207"/>
      <c r="P145" s="205">
        <f t="shared" si="44"/>
        <v>0</v>
      </c>
      <c r="Q145" s="207">
        <f>+人工费!Q145</f>
        <v>8.5983000000000001</v>
      </c>
      <c r="R145" s="267">
        <v>544.7967941284403</v>
      </c>
      <c r="S145" s="205">
        <f t="shared" si="45"/>
        <v>4684.3262749545684</v>
      </c>
      <c r="T145" s="207"/>
      <c r="U145" s="207"/>
      <c r="V145" s="205">
        <f t="shared" si="46"/>
        <v>0</v>
      </c>
      <c r="W145" s="123"/>
      <c r="X145" s="214"/>
      <c r="Y145" s="214"/>
      <c r="Z145" s="207"/>
      <c r="AA145" s="207"/>
      <c r="AB145" s="205">
        <v>0</v>
      </c>
    </row>
    <row r="146" spans="1:28" s="308" customFormat="1" ht="23.1" hidden="1" customHeight="1" outlineLevel="2">
      <c r="A146" s="223">
        <v>2.11</v>
      </c>
      <c r="B146" s="223" t="s">
        <v>220</v>
      </c>
      <c r="C146" s="331" t="s">
        <v>221</v>
      </c>
      <c r="D146" s="223" t="s">
        <v>103</v>
      </c>
      <c r="E146" s="101">
        <v>1.2</v>
      </c>
      <c r="F146" s="101">
        <v>551.29376146788991</v>
      </c>
      <c r="G146" s="205">
        <f t="shared" si="40"/>
        <v>661.55251376146782</v>
      </c>
      <c r="H146" s="101">
        <v>1.2</v>
      </c>
      <c r="I146" s="267">
        <v>386.11262135922334</v>
      </c>
      <c r="J146" s="205">
        <f t="shared" si="41"/>
        <v>463.33514563106797</v>
      </c>
      <c r="K146" s="97">
        <f>+人工费!K146</f>
        <v>0</v>
      </c>
      <c r="L146" s="267">
        <f t="shared" si="42"/>
        <v>551.29376146788991</v>
      </c>
      <c r="M146" s="205">
        <f t="shared" si="43"/>
        <v>0</v>
      </c>
      <c r="N146" s="207"/>
      <c r="O146" s="207"/>
      <c r="P146" s="205">
        <f t="shared" si="44"/>
        <v>0</v>
      </c>
      <c r="Q146" s="207">
        <f>+人工费!Q146</f>
        <v>0</v>
      </c>
      <c r="R146" s="267">
        <v>551.29376146788991</v>
      </c>
      <c r="S146" s="205">
        <f t="shared" si="45"/>
        <v>0</v>
      </c>
      <c r="T146" s="207"/>
      <c r="U146" s="207"/>
      <c r="V146" s="205">
        <f t="shared" si="46"/>
        <v>0</v>
      </c>
      <c r="W146" s="123"/>
      <c r="X146" s="214"/>
      <c r="Y146" s="214"/>
      <c r="Z146" s="207"/>
      <c r="AA146" s="207"/>
      <c r="AB146" s="205">
        <v>0</v>
      </c>
    </row>
    <row r="147" spans="1:28" s="308" customFormat="1" ht="23.1" hidden="1" customHeight="1" outlineLevel="2">
      <c r="A147" s="267">
        <v>2.1199999999999997</v>
      </c>
      <c r="B147" s="223" t="s">
        <v>195</v>
      </c>
      <c r="C147" s="331" t="s">
        <v>192</v>
      </c>
      <c r="D147" s="223" t="s">
        <v>103</v>
      </c>
      <c r="E147" s="101">
        <v>6.35</v>
      </c>
      <c r="F147" s="101">
        <v>521.5784349357798</v>
      </c>
      <c r="G147" s="205">
        <f t="shared" si="40"/>
        <v>3312.0230618422015</v>
      </c>
      <c r="H147" s="101">
        <v>6.35</v>
      </c>
      <c r="I147" s="267">
        <v>361.86067961165048</v>
      </c>
      <c r="J147" s="205">
        <f t="shared" si="41"/>
        <v>2297.8153155339805</v>
      </c>
      <c r="K147" s="97">
        <f>+人工费!K147</f>
        <v>0</v>
      </c>
      <c r="L147" s="267">
        <f t="shared" si="42"/>
        <v>521.5784349357798</v>
      </c>
      <c r="M147" s="205">
        <f t="shared" si="43"/>
        <v>0</v>
      </c>
      <c r="N147" s="207"/>
      <c r="O147" s="207"/>
      <c r="P147" s="205">
        <f t="shared" si="44"/>
        <v>0</v>
      </c>
      <c r="Q147" s="207">
        <f>+人工费!Q147</f>
        <v>0</v>
      </c>
      <c r="R147" s="267">
        <v>521.5784349357798</v>
      </c>
      <c r="S147" s="205">
        <f t="shared" si="45"/>
        <v>0</v>
      </c>
      <c r="T147" s="207"/>
      <c r="U147" s="207"/>
      <c r="V147" s="205">
        <f t="shared" si="46"/>
        <v>0</v>
      </c>
      <c r="W147" s="123"/>
      <c r="X147" s="214"/>
      <c r="Y147" s="214"/>
      <c r="Z147" s="207"/>
      <c r="AA147" s="207"/>
      <c r="AB147" s="205">
        <v>0</v>
      </c>
    </row>
    <row r="148" spans="1:28" s="308" customFormat="1" ht="23.1" hidden="1" customHeight="1" outlineLevel="2">
      <c r="A148" s="223">
        <v>2.1299999999999994</v>
      </c>
      <c r="B148" s="223" t="s">
        <v>132</v>
      </c>
      <c r="C148" s="331" t="s">
        <v>196</v>
      </c>
      <c r="D148" s="223" t="s">
        <v>103</v>
      </c>
      <c r="E148" s="101">
        <v>226.65</v>
      </c>
      <c r="F148" s="101">
        <v>475.57800924770646</v>
      </c>
      <c r="G148" s="205">
        <f t="shared" si="40"/>
        <v>107789.75579599268</v>
      </c>
      <c r="H148" s="101">
        <v>226.65</v>
      </c>
      <c r="I148" s="267">
        <v>332.50970873786406</v>
      </c>
      <c r="J148" s="205">
        <f t="shared" si="41"/>
        <v>75363.325485436886</v>
      </c>
      <c r="K148" s="97">
        <f>+人工费!K148</f>
        <v>0</v>
      </c>
      <c r="L148" s="267">
        <f t="shared" si="42"/>
        <v>475.57800924770646</v>
      </c>
      <c r="M148" s="205">
        <f t="shared" si="43"/>
        <v>0</v>
      </c>
      <c r="N148" s="207"/>
      <c r="O148" s="207"/>
      <c r="P148" s="205">
        <f t="shared" si="44"/>
        <v>0</v>
      </c>
      <c r="Q148" s="207">
        <f>+人工费!Q148</f>
        <v>0</v>
      </c>
      <c r="R148" s="267">
        <v>475.57800924770646</v>
      </c>
      <c r="S148" s="205">
        <f t="shared" si="45"/>
        <v>0</v>
      </c>
      <c r="T148" s="207"/>
      <c r="U148" s="207"/>
      <c r="V148" s="205">
        <f t="shared" si="46"/>
        <v>0</v>
      </c>
      <c r="W148" s="123"/>
      <c r="X148" s="214"/>
      <c r="Y148" s="214"/>
      <c r="Z148" s="207"/>
      <c r="AA148" s="207"/>
      <c r="AB148" s="205">
        <v>0</v>
      </c>
    </row>
    <row r="149" spans="1:28" s="308" customFormat="1" ht="23.1" hidden="1" customHeight="1" outlineLevel="2">
      <c r="A149" s="267">
        <v>2.1399999999999992</v>
      </c>
      <c r="B149" s="223" t="s">
        <v>134</v>
      </c>
      <c r="C149" s="331" t="s">
        <v>196</v>
      </c>
      <c r="D149" s="223" t="s">
        <v>103</v>
      </c>
      <c r="E149" s="101">
        <v>2.34</v>
      </c>
      <c r="F149" s="101">
        <v>474.67696998165138</v>
      </c>
      <c r="G149" s="205">
        <f t="shared" si="40"/>
        <v>1110.7441097570643</v>
      </c>
      <c r="H149" s="101">
        <v>2.34</v>
      </c>
      <c r="I149" s="267">
        <v>332.50970873786406</v>
      </c>
      <c r="J149" s="205">
        <f t="shared" si="41"/>
        <v>778.07271844660181</v>
      </c>
      <c r="K149" s="97">
        <f>+人工费!K149</f>
        <v>0</v>
      </c>
      <c r="L149" s="267">
        <f t="shared" si="42"/>
        <v>474.67696998165138</v>
      </c>
      <c r="M149" s="205">
        <f t="shared" si="43"/>
        <v>0</v>
      </c>
      <c r="N149" s="207"/>
      <c r="O149" s="207"/>
      <c r="P149" s="205">
        <f t="shared" si="44"/>
        <v>0</v>
      </c>
      <c r="Q149" s="207">
        <f>+人工费!Q149</f>
        <v>0</v>
      </c>
      <c r="R149" s="267">
        <v>474.67696998165138</v>
      </c>
      <c r="S149" s="205">
        <f t="shared" si="45"/>
        <v>0</v>
      </c>
      <c r="T149" s="207"/>
      <c r="U149" s="207"/>
      <c r="V149" s="205">
        <f t="shared" si="46"/>
        <v>0</v>
      </c>
      <c r="W149" s="123"/>
      <c r="X149" s="214"/>
      <c r="Y149" s="214"/>
      <c r="Z149" s="207"/>
      <c r="AA149" s="207"/>
      <c r="AB149" s="205">
        <v>0</v>
      </c>
    </row>
    <row r="150" spans="1:28" s="308" customFormat="1" ht="23.1" hidden="1" customHeight="1" outlineLevel="2">
      <c r="A150" s="223">
        <v>2.149999999999999</v>
      </c>
      <c r="B150" s="223" t="s">
        <v>135</v>
      </c>
      <c r="C150" s="331" t="s">
        <v>197</v>
      </c>
      <c r="D150" s="223" t="s">
        <v>103</v>
      </c>
      <c r="E150" s="101">
        <v>111.51</v>
      </c>
      <c r="F150" s="101">
        <v>493.94972565137613</v>
      </c>
      <c r="G150" s="205">
        <f t="shared" si="40"/>
        <v>55080.333907384957</v>
      </c>
      <c r="H150" s="101">
        <v>111.51</v>
      </c>
      <c r="I150" s="267">
        <v>346.75291262135926</v>
      </c>
      <c r="J150" s="205">
        <f t="shared" si="41"/>
        <v>38666.41728640777</v>
      </c>
      <c r="K150" s="97">
        <f>+人工费!K150</f>
        <v>0</v>
      </c>
      <c r="L150" s="267">
        <f t="shared" si="42"/>
        <v>493.94972565137613</v>
      </c>
      <c r="M150" s="205">
        <f t="shared" si="43"/>
        <v>0</v>
      </c>
      <c r="N150" s="207"/>
      <c r="O150" s="207"/>
      <c r="P150" s="205">
        <f t="shared" si="44"/>
        <v>0</v>
      </c>
      <c r="Q150" s="207">
        <f>+人工费!Q150</f>
        <v>0</v>
      </c>
      <c r="R150" s="267">
        <v>493.94972565137613</v>
      </c>
      <c r="S150" s="205">
        <f t="shared" si="45"/>
        <v>0</v>
      </c>
      <c r="T150" s="207"/>
      <c r="U150" s="207"/>
      <c r="V150" s="205">
        <f t="shared" si="46"/>
        <v>0</v>
      </c>
      <c r="W150" s="123"/>
      <c r="X150" s="214"/>
      <c r="Y150" s="214"/>
      <c r="Z150" s="207"/>
      <c r="AA150" s="207"/>
      <c r="AB150" s="205">
        <v>0</v>
      </c>
    </row>
    <row r="151" spans="1:28" s="308" customFormat="1" ht="23.1" hidden="1" customHeight="1" outlineLevel="2">
      <c r="A151" s="267">
        <v>2.1599999999999988</v>
      </c>
      <c r="B151" s="223" t="s">
        <v>137</v>
      </c>
      <c r="C151" s="331" t="s">
        <v>196</v>
      </c>
      <c r="D151" s="223" t="s">
        <v>103</v>
      </c>
      <c r="E151" s="101">
        <v>0.5</v>
      </c>
      <c r="F151" s="101">
        <v>474.32603889908256</v>
      </c>
      <c r="G151" s="205">
        <f t="shared" si="40"/>
        <v>237.16301944954128</v>
      </c>
      <c r="H151" s="101">
        <v>0.5</v>
      </c>
      <c r="I151" s="267">
        <v>332.50970873786406</v>
      </c>
      <c r="J151" s="205">
        <f t="shared" si="41"/>
        <v>166.25485436893203</v>
      </c>
      <c r="K151" s="97">
        <f>+人工费!K151</f>
        <v>0</v>
      </c>
      <c r="L151" s="267">
        <f t="shared" si="42"/>
        <v>474.32603889908256</v>
      </c>
      <c r="M151" s="205">
        <f t="shared" si="43"/>
        <v>0</v>
      </c>
      <c r="N151" s="207"/>
      <c r="O151" s="207"/>
      <c r="P151" s="205">
        <f t="shared" si="44"/>
        <v>0</v>
      </c>
      <c r="Q151" s="207">
        <f>+人工费!Q151</f>
        <v>0</v>
      </c>
      <c r="R151" s="267">
        <v>474.32603889908256</v>
      </c>
      <c r="S151" s="205">
        <f t="shared" si="45"/>
        <v>0</v>
      </c>
      <c r="T151" s="207"/>
      <c r="U151" s="207"/>
      <c r="V151" s="205">
        <f t="shared" si="46"/>
        <v>0</v>
      </c>
      <c r="W151" s="123"/>
      <c r="X151" s="214"/>
      <c r="Y151" s="214"/>
      <c r="Z151" s="207"/>
      <c r="AA151" s="207"/>
      <c r="AB151" s="205">
        <v>0</v>
      </c>
    </row>
    <row r="152" spans="1:28" s="308" customFormat="1" ht="23.1" hidden="1" customHeight="1" outlineLevel="2">
      <c r="A152" s="223">
        <v>2.1699999999999986</v>
      </c>
      <c r="B152" s="223" t="s">
        <v>198</v>
      </c>
      <c r="C152" s="331" t="s">
        <v>199</v>
      </c>
      <c r="D152" s="223" t="s">
        <v>103</v>
      </c>
      <c r="E152" s="101">
        <v>0.6</v>
      </c>
      <c r="F152" s="101">
        <v>515.03404447706419</v>
      </c>
      <c r="G152" s="205">
        <f t="shared" si="40"/>
        <v>309.02042668623852</v>
      </c>
      <c r="H152" s="101">
        <v>0.6</v>
      </c>
      <c r="I152" s="267">
        <v>361.86067961165048</v>
      </c>
      <c r="J152" s="205">
        <f t="shared" si="41"/>
        <v>217.11640776699028</v>
      </c>
      <c r="K152" s="97">
        <f>+人工费!K152</f>
        <v>0</v>
      </c>
      <c r="L152" s="267">
        <f t="shared" si="42"/>
        <v>515.03404447706419</v>
      </c>
      <c r="M152" s="205">
        <f t="shared" si="43"/>
        <v>0</v>
      </c>
      <c r="N152" s="207"/>
      <c r="O152" s="207"/>
      <c r="P152" s="205">
        <f t="shared" si="44"/>
        <v>0</v>
      </c>
      <c r="Q152" s="207">
        <f>+人工费!Q152</f>
        <v>0</v>
      </c>
      <c r="R152" s="267">
        <v>515.03404447706419</v>
      </c>
      <c r="S152" s="205">
        <f t="shared" si="45"/>
        <v>0</v>
      </c>
      <c r="T152" s="207"/>
      <c r="U152" s="207"/>
      <c r="V152" s="205">
        <f t="shared" si="46"/>
        <v>0</v>
      </c>
      <c r="W152" s="123"/>
      <c r="X152" s="214"/>
      <c r="Y152" s="214"/>
      <c r="Z152" s="207"/>
      <c r="AA152" s="207"/>
      <c r="AB152" s="205">
        <v>0</v>
      </c>
    </row>
    <row r="153" spans="1:28" s="308" customFormat="1" ht="23.1" hidden="1" customHeight="1" outlineLevel="2">
      <c r="A153" s="267">
        <v>2.1799999999999984</v>
      </c>
      <c r="B153" s="223" t="s">
        <v>200</v>
      </c>
      <c r="C153" s="331" t="s">
        <v>199</v>
      </c>
      <c r="D153" s="223" t="s">
        <v>103</v>
      </c>
      <c r="E153" s="101">
        <v>45.98</v>
      </c>
      <c r="F153" s="101">
        <v>514.16145908256885</v>
      </c>
      <c r="G153" s="205">
        <f t="shared" si="40"/>
        <v>23641.143888616516</v>
      </c>
      <c r="H153" s="101">
        <v>45.98</v>
      </c>
      <c r="I153" s="267">
        <v>361.86067961165048</v>
      </c>
      <c r="J153" s="205">
        <f t="shared" si="41"/>
        <v>16638.35404854369</v>
      </c>
      <c r="K153" s="97">
        <f>+人工费!K153</f>
        <v>0</v>
      </c>
      <c r="L153" s="267">
        <f t="shared" si="42"/>
        <v>514.16145908256885</v>
      </c>
      <c r="M153" s="205">
        <f t="shared" si="43"/>
        <v>0</v>
      </c>
      <c r="N153" s="207"/>
      <c r="O153" s="207"/>
      <c r="P153" s="205">
        <f t="shared" si="44"/>
        <v>0</v>
      </c>
      <c r="Q153" s="207">
        <f>+人工费!Q153</f>
        <v>0</v>
      </c>
      <c r="R153" s="267">
        <v>514.16145908256885</v>
      </c>
      <c r="S153" s="205">
        <f t="shared" si="45"/>
        <v>0</v>
      </c>
      <c r="T153" s="207"/>
      <c r="U153" s="207"/>
      <c r="V153" s="205">
        <f t="shared" si="46"/>
        <v>0</v>
      </c>
      <c r="W153" s="123"/>
      <c r="X153" s="214"/>
      <c r="Y153" s="214"/>
      <c r="Z153" s="207"/>
      <c r="AA153" s="207"/>
      <c r="AB153" s="205">
        <v>0</v>
      </c>
    </row>
    <row r="154" spans="1:28" s="308" customFormat="1" ht="23.1" hidden="1" customHeight="1" outlineLevel="2">
      <c r="A154" s="223">
        <v>2.1899999999999982</v>
      </c>
      <c r="B154" s="223" t="s">
        <v>201</v>
      </c>
      <c r="C154" s="331" t="s">
        <v>199</v>
      </c>
      <c r="D154" s="223" t="s">
        <v>103</v>
      </c>
      <c r="E154" s="101">
        <v>9.89</v>
      </c>
      <c r="F154" s="101">
        <v>516.45673805504578</v>
      </c>
      <c r="G154" s="205">
        <f t="shared" si="40"/>
        <v>5107.757139364403</v>
      </c>
      <c r="H154" s="101">
        <v>9.89</v>
      </c>
      <c r="I154" s="267">
        <v>361.86067961165048</v>
      </c>
      <c r="J154" s="205">
        <f t="shared" si="41"/>
        <v>3578.8021213592233</v>
      </c>
      <c r="K154" s="97">
        <f>+人工费!K154</f>
        <v>0</v>
      </c>
      <c r="L154" s="267">
        <f t="shared" si="42"/>
        <v>516.45673805504578</v>
      </c>
      <c r="M154" s="205">
        <f t="shared" si="43"/>
        <v>0</v>
      </c>
      <c r="N154" s="207"/>
      <c r="O154" s="207"/>
      <c r="P154" s="205">
        <f t="shared" si="44"/>
        <v>0</v>
      </c>
      <c r="Q154" s="207">
        <f>+人工费!Q154</f>
        <v>0</v>
      </c>
      <c r="R154" s="267">
        <v>516.45673805504578</v>
      </c>
      <c r="S154" s="205">
        <f t="shared" si="45"/>
        <v>0</v>
      </c>
      <c r="T154" s="207"/>
      <c r="U154" s="207"/>
      <c r="V154" s="205">
        <f t="shared" si="46"/>
        <v>0</v>
      </c>
      <c r="W154" s="123"/>
      <c r="X154" s="214"/>
      <c r="Y154" s="214"/>
      <c r="Z154" s="207"/>
      <c r="AA154" s="207"/>
      <c r="AB154" s="205">
        <v>0</v>
      </c>
    </row>
    <row r="155" spans="1:28" s="308" customFormat="1" ht="23.1" hidden="1" customHeight="1" outlineLevel="2">
      <c r="A155" s="267">
        <v>2.199999999999998</v>
      </c>
      <c r="B155" s="223" t="s">
        <v>202</v>
      </c>
      <c r="C155" s="331" t="s">
        <v>199</v>
      </c>
      <c r="D155" s="223" t="s">
        <v>103</v>
      </c>
      <c r="E155" s="101">
        <v>19.809999999999999</v>
      </c>
      <c r="F155" s="101">
        <v>513.0707273394496</v>
      </c>
      <c r="G155" s="205">
        <f t="shared" si="40"/>
        <v>10163.931108594496</v>
      </c>
      <c r="H155" s="101">
        <v>19.809999999999999</v>
      </c>
      <c r="I155" s="267">
        <v>361.86067961165048</v>
      </c>
      <c r="J155" s="205">
        <f t="shared" si="41"/>
        <v>7168.460063106796</v>
      </c>
      <c r="K155" s="97">
        <f>+人工费!K155</f>
        <v>0</v>
      </c>
      <c r="L155" s="267">
        <f t="shared" si="42"/>
        <v>513.0707273394496</v>
      </c>
      <c r="M155" s="205">
        <f t="shared" si="43"/>
        <v>0</v>
      </c>
      <c r="N155" s="207"/>
      <c r="O155" s="207"/>
      <c r="P155" s="205">
        <f t="shared" si="44"/>
        <v>0</v>
      </c>
      <c r="Q155" s="207">
        <f>+人工费!Q155</f>
        <v>0</v>
      </c>
      <c r="R155" s="267">
        <v>513.0707273394496</v>
      </c>
      <c r="S155" s="205">
        <f t="shared" si="45"/>
        <v>0</v>
      </c>
      <c r="T155" s="207"/>
      <c r="U155" s="207"/>
      <c r="V155" s="205">
        <f t="shared" si="46"/>
        <v>0</v>
      </c>
      <c r="W155" s="123"/>
      <c r="X155" s="214"/>
      <c r="Y155" s="214"/>
      <c r="Z155" s="207"/>
      <c r="AA155" s="207"/>
      <c r="AB155" s="205">
        <v>0</v>
      </c>
    </row>
    <row r="156" spans="1:28" s="308" customFormat="1" ht="23.1" hidden="1" customHeight="1" outlineLevel="1" collapsed="1">
      <c r="A156" s="220">
        <v>3</v>
      </c>
      <c r="B156" s="315" t="s">
        <v>222</v>
      </c>
      <c r="C156" s="274"/>
      <c r="D156" s="315"/>
      <c r="E156" s="101">
        <v>0</v>
      </c>
      <c r="F156" s="101">
        <v>0</v>
      </c>
      <c r="G156" s="222">
        <f>SUM(G157:G171)</f>
        <v>305561.7646055427</v>
      </c>
      <c r="H156" s="101">
        <v>0</v>
      </c>
      <c r="I156" s="266"/>
      <c r="J156" s="222">
        <f>SUM(J157:J171)</f>
        <v>212319.34541747568</v>
      </c>
      <c r="K156" s="101">
        <f>SUM(K157:K171)</f>
        <v>0</v>
      </c>
      <c r="L156" s="266"/>
      <c r="M156" s="222">
        <f>SUM(M157:M171)</f>
        <v>0</v>
      </c>
      <c r="N156" s="229"/>
      <c r="O156" s="229"/>
      <c r="P156" s="222">
        <f>SUM(P157:P171)</f>
        <v>0</v>
      </c>
      <c r="Q156" s="101">
        <f>SUM(Q157:Q171)</f>
        <v>0</v>
      </c>
      <c r="R156" s="266"/>
      <c r="S156" s="222">
        <f>SUM(S157:S171)</f>
        <v>0</v>
      </c>
      <c r="T156" s="229"/>
      <c r="U156" s="229"/>
      <c r="V156" s="222">
        <f>SUM(V157:V171)</f>
        <v>0</v>
      </c>
      <c r="W156" s="137"/>
      <c r="X156" s="212"/>
      <c r="Y156" s="212"/>
      <c r="Z156" s="229"/>
      <c r="AA156" s="229"/>
      <c r="AB156" s="222">
        <v>0</v>
      </c>
    </row>
    <row r="157" spans="1:28" s="308" customFormat="1" ht="23.1" hidden="1" customHeight="1" outlineLevel="2">
      <c r="A157" s="223">
        <v>3.1</v>
      </c>
      <c r="B157" s="223" t="s">
        <v>217</v>
      </c>
      <c r="C157" s="331" t="s">
        <v>223</v>
      </c>
      <c r="D157" s="223" t="s">
        <v>103</v>
      </c>
      <c r="E157" s="101">
        <v>278.29000000000002</v>
      </c>
      <c r="F157" s="101">
        <v>521.5784349357798</v>
      </c>
      <c r="G157" s="205">
        <f t="shared" ref="G157:G171" si="47">+F157*E157</f>
        <v>145150.06265827818</v>
      </c>
      <c r="H157" s="101">
        <v>278.29000000000002</v>
      </c>
      <c r="I157" s="267">
        <v>361.86067961165048</v>
      </c>
      <c r="J157" s="205">
        <f t="shared" ref="J157:J171" si="48">+I157*H157</f>
        <v>100702.20852912622</v>
      </c>
      <c r="K157" s="97">
        <f>+人工费!K157</f>
        <v>0</v>
      </c>
      <c r="L157" s="267">
        <f t="shared" ref="L157:L171" si="49">+R157</f>
        <v>521.5784349357798</v>
      </c>
      <c r="M157" s="205">
        <f t="shared" ref="M157:M171" si="50">+L157*K157</f>
        <v>0</v>
      </c>
      <c r="N157" s="207"/>
      <c r="O157" s="207"/>
      <c r="P157" s="205">
        <f t="shared" ref="P157:P171" si="51">+O157*N157</f>
        <v>0</v>
      </c>
      <c r="Q157" s="207">
        <f>+人工费!Q157</f>
        <v>0</v>
      </c>
      <c r="R157" s="267">
        <v>521.5784349357798</v>
      </c>
      <c r="S157" s="205">
        <f t="shared" ref="S157:S171" si="52">+R157*Q157</f>
        <v>0</v>
      </c>
      <c r="T157" s="207"/>
      <c r="U157" s="207"/>
      <c r="V157" s="205">
        <f t="shared" ref="V157:V171" si="53">+U157*T157</f>
        <v>0</v>
      </c>
      <c r="W157" s="123"/>
      <c r="X157" s="214"/>
      <c r="Y157" s="214"/>
      <c r="Z157" s="207"/>
      <c r="AA157" s="207"/>
      <c r="AB157" s="205">
        <v>0</v>
      </c>
    </row>
    <row r="158" spans="1:28" s="308" customFormat="1" ht="23.1" hidden="1" customHeight="1" outlineLevel="2">
      <c r="A158" s="223">
        <v>3.2</v>
      </c>
      <c r="B158" s="223" t="s">
        <v>191</v>
      </c>
      <c r="C158" s="331" t="s">
        <v>224</v>
      </c>
      <c r="D158" s="223" t="s">
        <v>103</v>
      </c>
      <c r="E158" s="101">
        <v>177.4</v>
      </c>
      <c r="F158" s="101">
        <v>521.5784349357798</v>
      </c>
      <c r="G158" s="205">
        <f t="shared" si="47"/>
        <v>92528.014357607346</v>
      </c>
      <c r="H158" s="101">
        <v>177.4</v>
      </c>
      <c r="I158" s="267">
        <v>361.86067961165048</v>
      </c>
      <c r="J158" s="205">
        <f t="shared" si="48"/>
        <v>64194.0845631068</v>
      </c>
      <c r="K158" s="97">
        <f>+人工费!K158</f>
        <v>0</v>
      </c>
      <c r="L158" s="267">
        <f t="shared" si="49"/>
        <v>521.5784349357798</v>
      </c>
      <c r="M158" s="205">
        <f t="shared" si="50"/>
        <v>0</v>
      </c>
      <c r="N158" s="207"/>
      <c r="O158" s="207"/>
      <c r="P158" s="205">
        <f t="shared" si="51"/>
        <v>0</v>
      </c>
      <c r="Q158" s="207">
        <f>+人工费!Q158</f>
        <v>0</v>
      </c>
      <c r="R158" s="267">
        <v>521.5784349357798</v>
      </c>
      <c r="S158" s="205">
        <f t="shared" si="52"/>
        <v>0</v>
      </c>
      <c r="T158" s="207"/>
      <c r="U158" s="207"/>
      <c r="V158" s="205">
        <f t="shared" si="53"/>
        <v>0</v>
      </c>
      <c r="W158" s="123"/>
      <c r="X158" s="214"/>
      <c r="Y158" s="214"/>
      <c r="Z158" s="207"/>
      <c r="AA158" s="207"/>
      <c r="AB158" s="205">
        <v>0</v>
      </c>
    </row>
    <row r="159" spans="1:28" s="308" customFormat="1" ht="23.1" hidden="1" customHeight="1" outlineLevel="2">
      <c r="A159" s="223">
        <v>3.3</v>
      </c>
      <c r="B159" s="223" t="s">
        <v>218</v>
      </c>
      <c r="C159" s="331" t="s">
        <v>225</v>
      </c>
      <c r="D159" s="223" t="s">
        <v>103</v>
      </c>
      <c r="E159" s="101">
        <v>16.989999999999998</v>
      </c>
      <c r="F159" s="101">
        <v>528.07540227522929</v>
      </c>
      <c r="G159" s="205">
        <f t="shared" si="47"/>
        <v>8972.0010846561454</v>
      </c>
      <c r="H159" s="101">
        <v>16.989999999999998</v>
      </c>
      <c r="I159" s="267">
        <v>366.90922330097089</v>
      </c>
      <c r="J159" s="205">
        <f t="shared" si="48"/>
        <v>6233.7877038834949</v>
      </c>
      <c r="K159" s="97">
        <f>+人工费!K159</f>
        <v>0</v>
      </c>
      <c r="L159" s="267">
        <f t="shared" si="49"/>
        <v>528.07540227522929</v>
      </c>
      <c r="M159" s="205">
        <f t="shared" si="50"/>
        <v>0</v>
      </c>
      <c r="N159" s="207"/>
      <c r="O159" s="207"/>
      <c r="P159" s="205">
        <f t="shared" si="51"/>
        <v>0</v>
      </c>
      <c r="Q159" s="207">
        <f>+人工费!Q159</f>
        <v>0</v>
      </c>
      <c r="R159" s="267">
        <v>528.07540227522929</v>
      </c>
      <c r="S159" s="205">
        <f t="shared" si="52"/>
        <v>0</v>
      </c>
      <c r="T159" s="207"/>
      <c r="U159" s="207"/>
      <c r="V159" s="205">
        <f t="shared" si="53"/>
        <v>0</v>
      </c>
      <c r="W159" s="123"/>
      <c r="X159" s="214"/>
      <c r="Y159" s="214"/>
      <c r="Z159" s="207"/>
      <c r="AA159" s="207"/>
      <c r="AB159" s="205">
        <v>0</v>
      </c>
    </row>
    <row r="160" spans="1:28" s="308" customFormat="1" ht="23.1" hidden="1" customHeight="1" outlineLevel="2">
      <c r="A160" s="223">
        <v>3.4000000000000004</v>
      </c>
      <c r="B160" s="223" t="s">
        <v>219</v>
      </c>
      <c r="C160" s="331" t="s">
        <v>226</v>
      </c>
      <c r="D160" s="223" t="s">
        <v>103</v>
      </c>
      <c r="E160" s="101">
        <v>1.6</v>
      </c>
      <c r="F160" s="101">
        <v>544.7967941284403</v>
      </c>
      <c r="G160" s="205">
        <f t="shared" si="47"/>
        <v>871.67487060550457</v>
      </c>
      <c r="H160" s="101">
        <v>1.6</v>
      </c>
      <c r="I160" s="267">
        <v>381.06407766990293</v>
      </c>
      <c r="J160" s="205">
        <f t="shared" si="48"/>
        <v>609.70252427184471</v>
      </c>
      <c r="K160" s="97">
        <f>+人工费!K160</f>
        <v>0</v>
      </c>
      <c r="L160" s="267">
        <f t="shared" si="49"/>
        <v>544.7967941284403</v>
      </c>
      <c r="M160" s="205">
        <f t="shared" si="50"/>
        <v>0</v>
      </c>
      <c r="N160" s="207"/>
      <c r="O160" s="207"/>
      <c r="P160" s="205">
        <f t="shared" si="51"/>
        <v>0</v>
      </c>
      <c r="Q160" s="207">
        <f>+人工费!Q160</f>
        <v>0</v>
      </c>
      <c r="R160" s="267">
        <v>544.7967941284403</v>
      </c>
      <c r="S160" s="205">
        <f t="shared" si="52"/>
        <v>0</v>
      </c>
      <c r="T160" s="207"/>
      <c r="U160" s="207"/>
      <c r="V160" s="205">
        <f t="shared" si="53"/>
        <v>0</v>
      </c>
      <c r="W160" s="123"/>
      <c r="X160" s="214"/>
      <c r="Y160" s="214"/>
      <c r="Z160" s="207"/>
      <c r="AA160" s="207"/>
      <c r="AB160" s="205">
        <v>0</v>
      </c>
    </row>
    <row r="161" spans="1:28" s="308" customFormat="1" ht="23.1" hidden="1" customHeight="1" outlineLevel="2">
      <c r="A161" s="223">
        <v>3.5000000000000004</v>
      </c>
      <c r="B161" s="223" t="s">
        <v>220</v>
      </c>
      <c r="C161" s="331" t="s">
        <v>227</v>
      </c>
      <c r="D161" s="223" t="s">
        <v>103</v>
      </c>
      <c r="E161" s="101">
        <v>0.66</v>
      </c>
      <c r="F161" s="101">
        <v>551.29376146788991</v>
      </c>
      <c r="G161" s="205">
        <f t="shared" si="47"/>
        <v>363.85388256880736</v>
      </c>
      <c r="H161" s="101">
        <v>0.66</v>
      </c>
      <c r="I161" s="267">
        <v>386.11262135922334</v>
      </c>
      <c r="J161" s="205">
        <f t="shared" si="48"/>
        <v>254.83433009708742</v>
      </c>
      <c r="K161" s="97">
        <f>+人工费!K161</f>
        <v>0</v>
      </c>
      <c r="L161" s="267">
        <f t="shared" si="49"/>
        <v>551.29376146788991</v>
      </c>
      <c r="M161" s="205">
        <f t="shared" si="50"/>
        <v>0</v>
      </c>
      <c r="N161" s="207"/>
      <c r="O161" s="207"/>
      <c r="P161" s="205">
        <f t="shared" si="51"/>
        <v>0</v>
      </c>
      <c r="Q161" s="207">
        <f>+人工费!Q161</f>
        <v>0</v>
      </c>
      <c r="R161" s="267">
        <v>551.29376146788991</v>
      </c>
      <c r="S161" s="205">
        <f t="shared" si="52"/>
        <v>0</v>
      </c>
      <c r="T161" s="207"/>
      <c r="U161" s="207"/>
      <c r="V161" s="205">
        <f t="shared" si="53"/>
        <v>0</v>
      </c>
      <c r="W161" s="123"/>
      <c r="X161" s="214"/>
      <c r="Y161" s="214"/>
      <c r="Z161" s="207"/>
      <c r="AA161" s="207"/>
      <c r="AB161" s="205">
        <v>0</v>
      </c>
    </row>
    <row r="162" spans="1:28" s="308" customFormat="1" ht="23.1" hidden="1" customHeight="1" outlineLevel="2">
      <c r="A162" s="223">
        <v>3.6000000000000005</v>
      </c>
      <c r="B162" s="223" t="s">
        <v>228</v>
      </c>
      <c r="C162" s="331" t="s">
        <v>223</v>
      </c>
      <c r="D162" s="223" t="s">
        <v>103</v>
      </c>
      <c r="E162" s="101">
        <v>3.37</v>
      </c>
      <c r="F162" s="101">
        <v>521.5784349357798</v>
      </c>
      <c r="G162" s="205">
        <f t="shared" si="47"/>
        <v>1757.719325733578</v>
      </c>
      <c r="H162" s="101">
        <v>3.37</v>
      </c>
      <c r="I162" s="267">
        <v>361.86067961165048</v>
      </c>
      <c r="J162" s="205">
        <f t="shared" si="48"/>
        <v>1219.4704902912622</v>
      </c>
      <c r="K162" s="97">
        <f>+人工费!K162</f>
        <v>0</v>
      </c>
      <c r="L162" s="267">
        <f t="shared" si="49"/>
        <v>521.5784349357798</v>
      </c>
      <c r="M162" s="205">
        <f t="shared" si="50"/>
        <v>0</v>
      </c>
      <c r="N162" s="207"/>
      <c r="O162" s="207"/>
      <c r="P162" s="205">
        <f t="shared" si="51"/>
        <v>0</v>
      </c>
      <c r="Q162" s="207">
        <f>+人工费!Q162</f>
        <v>0</v>
      </c>
      <c r="R162" s="267">
        <v>521.5784349357798</v>
      </c>
      <c r="S162" s="205">
        <f t="shared" si="52"/>
        <v>0</v>
      </c>
      <c r="T162" s="207"/>
      <c r="U162" s="207"/>
      <c r="V162" s="205">
        <f t="shared" si="53"/>
        <v>0</v>
      </c>
      <c r="W162" s="123"/>
      <c r="X162" s="214"/>
      <c r="Y162" s="214"/>
      <c r="Z162" s="207"/>
      <c r="AA162" s="207"/>
      <c r="AB162" s="205">
        <v>0</v>
      </c>
    </row>
    <row r="163" spans="1:28" s="308" customFormat="1" ht="23.1" hidden="1" customHeight="1" outlineLevel="2">
      <c r="A163" s="223">
        <v>3.7000000000000006</v>
      </c>
      <c r="B163" s="223" t="s">
        <v>132</v>
      </c>
      <c r="C163" s="331" t="s">
        <v>196</v>
      </c>
      <c r="D163" s="223" t="s">
        <v>103</v>
      </c>
      <c r="E163" s="101">
        <v>28.21</v>
      </c>
      <c r="F163" s="101">
        <v>475.57800924770646</v>
      </c>
      <c r="G163" s="205">
        <f t="shared" si="47"/>
        <v>13416.055640877799</v>
      </c>
      <c r="H163" s="101">
        <v>28.21</v>
      </c>
      <c r="I163" s="267">
        <v>332.50970873786406</v>
      </c>
      <c r="J163" s="205">
        <f t="shared" si="48"/>
        <v>9380.0988834951459</v>
      </c>
      <c r="K163" s="97">
        <f>+人工费!K163</f>
        <v>0</v>
      </c>
      <c r="L163" s="267">
        <f t="shared" si="49"/>
        <v>475.57800924770646</v>
      </c>
      <c r="M163" s="205">
        <f t="shared" si="50"/>
        <v>0</v>
      </c>
      <c r="N163" s="207"/>
      <c r="O163" s="207"/>
      <c r="P163" s="205">
        <f t="shared" si="51"/>
        <v>0</v>
      </c>
      <c r="Q163" s="207">
        <f>+人工费!Q163</f>
        <v>0</v>
      </c>
      <c r="R163" s="267">
        <v>475.57800924770646</v>
      </c>
      <c r="S163" s="205">
        <f t="shared" si="52"/>
        <v>0</v>
      </c>
      <c r="T163" s="207"/>
      <c r="U163" s="207"/>
      <c r="V163" s="205">
        <f t="shared" si="53"/>
        <v>0</v>
      </c>
      <c r="W163" s="123"/>
      <c r="X163" s="214"/>
      <c r="Y163" s="214"/>
      <c r="Z163" s="207"/>
      <c r="AA163" s="207"/>
      <c r="AB163" s="205">
        <v>0</v>
      </c>
    </row>
    <row r="164" spans="1:28" s="308" customFormat="1" ht="23.1" hidden="1" customHeight="1" outlineLevel="2">
      <c r="A164" s="223">
        <v>3.8000000000000007</v>
      </c>
      <c r="B164" s="223" t="s">
        <v>134</v>
      </c>
      <c r="C164" s="331" t="s">
        <v>196</v>
      </c>
      <c r="D164" s="223" t="s">
        <v>103</v>
      </c>
      <c r="E164" s="101">
        <v>0.19</v>
      </c>
      <c r="F164" s="101">
        <v>474.67696998165138</v>
      </c>
      <c r="G164" s="205">
        <f t="shared" si="47"/>
        <v>90.188624296513765</v>
      </c>
      <c r="H164" s="101">
        <v>0.19</v>
      </c>
      <c r="I164" s="267">
        <v>332.50970873786406</v>
      </c>
      <c r="J164" s="205">
        <f t="shared" si="48"/>
        <v>63.17684466019417</v>
      </c>
      <c r="K164" s="97">
        <f>+人工费!K164</f>
        <v>0</v>
      </c>
      <c r="L164" s="267">
        <f t="shared" si="49"/>
        <v>474.67696998165138</v>
      </c>
      <c r="M164" s="205">
        <f t="shared" si="50"/>
        <v>0</v>
      </c>
      <c r="N164" s="207"/>
      <c r="O164" s="207"/>
      <c r="P164" s="205">
        <f t="shared" si="51"/>
        <v>0</v>
      </c>
      <c r="Q164" s="207">
        <f>+人工费!Q164</f>
        <v>0</v>
      </c>
      <c r="R164" s="267">
        <v>474.67696998165138</v>
      </c>
      <c r="S164" s="205">
        <f t="shared" si="52"/>
        <v>0</v>
      </c>
      <c r="T164" s="207"/>
      <c r="U164" s="207"/>
      <c r="V164" s="205">
        <f t="shared" si="53"/>
        <v>0</v>
      </c>
      <c r="W164" s="123"/>
      <c r="X164" s="214"/>
      <c r="Y164" s="214"/>
      <c r="Z164" s="207"/>
      <c r="AA164" s="207"/>
      <c r="AB164" s="205">
        <v>0</v>
      </c>
    </row>
    <row r="165" spans="1:28" s="308" customFormat="1" ht="23.1" hidden="1" customHeight="1" outlineLevel="2">
      <c r="A165" s="223">
        <v>3.9000000000000008</v>
      </c>
      <c r="B165" s="223" t="s">
        <v>135</v>
      </c>
      <c r="C165" s="331" t="s">
        <v>197</v>
      </c>
      <c r="D165" s="223" t="s">
        <v>103</v>
      </c>
      <c r="E165" s="101">
        <v>11.15</v>
      </c>
      <c r="F165" s="101">
        <v>493.94972565137613</v>
      </c>
      <c r="G165" s="205">
        <f t="shared" si="47"/>
        <v>5507.5394410128438</v>
      </c>
      <c r="H165" s="101">
        <v>11.15</v>
      </c>
      <c r="I165" s="267">
        <v>346.75291262135926</v>
      </c>
      <c r="J165" s="205">
        <f t="shared" si="48"/>
        <v>3866.2949757281558</v>
      </c>
      <c r="K165" s="97">
        <f>+人工费!K165</f>
        <v>0</v>
      </c>
      <c r="L165" s="267">
        <f t="shared" si="49"/>
        <v>493.94972565137613</v>
      </c>
      <c r="M165" s="205">
        <f t="shared" si="50"/>
        <v>0</v>
      </c>
      <c r="N165" s="207"/>
      <c r="O165" s="207"/>
      <c r="P165" s="205">
        <f t="shared" si="51"/>
        <v>0</v>
      </c>
      <c r="Q165" s="207">
        <f>+人工费!Q165</f>
        <v>0</v>
      </c>
      <c r="R165" s="267">
        <v>493.94972565137613</v>
      </c>
      <c r="S165" s="205">
        <f t="shared" si="52"/>
        <v>0</v>
      </c>
      <c r="T165" s="207"/>
      <c r="U165" s="207"/>
      <c r="V165" s="205">
        <f t="shared" si="53"/>
        <v>0</v>
      </c>
      <c r="W165" s="123"/>
      <c r="X165" s="214"/>
      <c r="Y165" s="214"/>
      <c r="Z165" s="207"/>
      <c r="AA165" s="207"/>
      <c r="AB165" s="205">
        <v>0</v>
      </c>
    </row>
    <row r="166" spans="1:28" s="308" customFormat="1" ht="23.1" hidden="1" customHeight="1" outlineLevel="2">
      <c r="A166" s="267">
        <v>3.1</v>
      </c>
      <c r="B166" s="223" t="s">
        <v>137</v>
      </c>
      <c r="C166" s="331" t="s">
        <v>196</v>
      </c>
      <c r="D166" s="223" t="s">
        <v>103</v>
      </c>
      <c r="E166" s="101">
        <v>3.6</v>
      </c>
      <c r="F166" s="101">
        <v>474.32603889908256</v>
      </c>
      <c r="G166" s="205">
        <f t="shared" si="47"/>
        <v>1707.5737400366972</v>
      </c>
      <c r="H166" s="101">
        <v>3.6</v>
      </c>
      <c r="I166" s="267">
        <v>332.50970873786406</v>
      </c>
      <c r="J166" s="205">
        <f t="shared" si="48"/>
        <v>1197.0349514563106</v>
      </c>
      <c r="K166" s="97">
        <f>+人工费!K166</f>
        <v>0</v>
      </c>
      <c r="L166" s="267">
        <f t="shared" si="49"/>
        <v>474.32603889908256</v>
      </c>
      <c r="M166" s="205">
        <f t="shared" si="50"/>
        <v>0</v>
      </c>
      <c r="N166" s="207"/>
      <c r="O166" s="207"/>
      <c r="P166" s="205">
        <f t="shared" si="51"/>
        <v>0</v>
      </c>
      <c r="Q166" s="207">
        <f>+人工费!Q166</f>
        <v>0</v>
      </c>
      <c r="R166" s="267">
        <v>474.32603889908256</v>
      </c>
      <c r="S166" s="205">
        <f t="shared" si="52"/>
        <v>0</v>
      </c>
      <c r="T166" s="207"/>
      <c r="U166" s="207"/>
      <c r="V166" s="205">
        <f t="shared" si="53"/>
        <v>0</v>
      </c>
      <c r="W166" s="123"/>
      <c r="X166" s="214"/>
      <c r="Y166" s="214"/>
      <c r="Z166" s="207"/>
      <c r="AA166" s="207"/>
      <c r="AB166" s="205">
        <v>0</v>
      </c>
    </row>
    <row r="167" spans="1:28" s="308" customFormat="1" ht="23.1" hidden="1" customHeight="1" outlineLevel="2">
      <c r="A167" s="223">
        <v>3.11</v>
      </c>
      <c r="B167" s="223" t="s">
        <v>229</v>
      </c>
      <c r="C167" s="331" t="s">
        <v>197</v>
      </c>
      <c r="D167" s="223" t="s">
        <v>103</v>
      </c>
      <c r="E167" s="101">
        <v>41.08</v>
      </c>
      <c r="F167" s="101">
        <v>496.75717431192658</v>
      </c>
      <c r="G167" s="205">
        <f t="shared" si="47"/>
        <v>20406.784720733944</v>
      </c>
      <c r="H167" s="101">
        <v>41.08</v>
      </c>
      <c r="I167" s="267">
        <v>346.75291262135926</v>
      </c>
      <c r="J167" s="205">
        <f t="shared" si="48"/>
        <v>14244.609650485438</v>
      </c>
      <c r="K167" s="97">
        <f>+人工费!K167</f>
        <v>0</v>
      </c>
      <c r="L167" s="267">
        <f t="shared" si="49"/>
        <v>496.75717431192658</v>
      </c>
      <c r="M167" s="205">
        <f t="shared" si="50"/>
        <v>0</v>
      </c>
      <c r="N167" s="207"/>
      <c r="O167" s="207"/>
      <c r="P167" s="205">
        <f t="shared" si="51"/>
        <v>0</v>
      </c>
      <c r="Q167" s="207">
        <f>+人工费!Q167</f>
        <v>0</v>
      </c>
      <c r="R167" s="267">
        <v>496.75717431192658</v>
      </c>
      <c r="S167" s="205">
        <f t="shared" si="52"/>
        <v>0</v>
      </c>
      <c r="T167" s="207"/>
      <c r="U167" s="207"/>
      <c r="V167" s="205">
        <f t="shared" si="53"/>
        <v>0</v>
      </c>
      <c r="W167" s="123"/>
      <c r="X167" s="214"/>
      <c r="Y167" s="214"/>
      <c r="Z167" s="207"/>
      <c r="AA167" s="207"/>
      <c r="AB167" s="205">
        <v>0</v>
      </c>
    </row>
    <row r="168" spans="1:28" s="308" customFormat="1" ht="23.1" hidden="1" customHeight="1" outlineLevel="2">
      <c r="A168" s="267">
        <v>3.1199999999999997</v>
      </c>
      <c r="B168" s="223" t="s">
        <v>230</v>
      </c>
      <c r="C168" s="331" t="s">
        <v>197</v>
      </c>
      <c r="D168" s="223" t="s">
        <v>103</v>
      </c>
      <c r="E168" s="101">
        <v>12.02</v>
      </c>
      <c r="F168" s="101">
        <v>495.88458891743124</v>
      </c>
      <c r="G168" s="205">
        <f t="shared" si="47"/>
        <v>5960.5327587875236</v>
      </c>
      <c r="H168" s="101">
        <v>12.02</v>
      </c>
      <c r="I168" s="267">
        <v>346.75291262135926</v>
      </c>
      <c r="J168" s="205">
        <f t="shared" si="48"/>
        <v>4167.970009708738</v>
      </c>
      <c r="K168" s="97">
        <f>+人工费!K168</f>
        <v>0</v>
      </c>
      <c r="L168" s="267">
        <f t="shared" si="49"/>
        <v>495.88458891743124</v>
      </c>
      <c r="M168" s="205">
        <f t="shared" si="50"/>
        <v>0</v>
      </c>
      <c r="N168" s="207"/>
      <c r="O168" s="207"/>
      <c r="P168" s="205">
        <f t="shared" si="51"/>
        <v>0</v>
      </c>
      <c r="Q168" s="207">
        <f>+人工费!Q168</f>
        <v>0</v>
      </c>
      <c r="R168" s="267">
        <v>495.88458891743124</v>
      </c>
      <c r="S168" s="205">
        <f t="shared" si="52"/>
        <v>0</v>
      </c>
      <c r="T168" s="207"/>
      <c r="U168" s="207"/>
      <c r="V168" s="205">
        <f t="shared" si="53"/>
        <v>0</v>
      </c>
      <c r="W168" s="123"/>
      <c r="X168" s="214"/>
      <c r="Y168" s="214"/>
      <c r="Z168" s="207"/>
      <c r="AA168" s="207"/>
      <c r="AB168" s="205">
        <v>0</v>
      </c>
    </row>
    <row r="169" spans="1:28" s="308" customFormat="1" ht="23.1" hidden="1" customHeight="1" outlineLevel="2">
      <c r="A169" s="223">
        <v>3.1299999999999994</v>
      </c>
      <c r="B169" s="223" t="s">
        <v>231</v>
      </c>
      <c r="C169" s="331" t="s">
        <v>197</v>
      </c>
      <c r="D169" s="223" t="s">
        <v>103</v>
      </c>
      <c r="E169" s="101">
        <v>0.78</v>
      </c>
      <c r="F169" s="101">
        <v>498.17986788990828</v>
      </c>
      <c r="G169" s="205">
        <f t="shared" si="47"/>
        <v>388.58029695412847</v>
      </c>
      <c r="H169" s="101">
        <v>0.78</v>
      </c>
      <c r="I169" s="267">
        <v>346.75291262135926</v>
      </c>
      <c r="J169" s="205">
        <f t="shared" si="48"/>
        <v>270.46727184466022</v>
      </c>
      <c r="K169" s="97">
        <f>+人工费!K169</f>
        <v>0</v>
      </c>
      <c r="L169" s="267">
        <f t="shared" si="49"/>
        <v>498.17986788990828</v>
      </c>
      <c r="M169" s="205">
        <f t="shared" si="50"/>
        <v>0</v>
      </c>
      <c r="N169" s="207"/>
      <c r="O169" s="207"/>
      <c r="P169" s="205">
        <f t="shared" si="51"/>
        <v>0</v>
      </c>
      <c r="Q169" s="207">
        <f>+人工费!Q169</f>
        <v>0</v>
      </c>
      <c r="R169" s="267">
        <v>498.17986788990828</v>
      </c>
      <c r="S169" s="205">
        <f t="shared" si="52"/>
        <v>0</v>
      </c>
      <c r="T169" s="207"/>
      <c r="U169" s="207"/>
      <c r="V169" s="205">
        <f t="shared" si="53"/>
        <v>0</v>
      </c>
      <c r="W169" s="123"/>
      <c r="X169" s="214"/>
      <c r="Y169" s="214"/>
      <c r="Z169" s="207"/>
      <c r="AA169" s="207"/>
      <c r="AB169" s="205">
        <v>0</v>
      </c>
    </row>
    <row r="170" spans="1:28" s="308" customFormat="1" ht="23.1" hidden="1" customHeight="1" outlineLevel="2">
      <c r="A170" s="267">
        <v>3.1399999999999992</v>
      </c>
      <c r="B170" s="260" t="s">
        <v>232</v>
      </c>
      <c r="C170" s="275" t="s">
        <v>197</v>
      </c>
      <c r="D170" s="260" t="s">
        <v>103</v>
      </c>
      <c r="E170" s="101">
        <v>17.059999999999999</v>
      </c>
      <c r="F170" s="101">
        <v>494.79385717431188</v>
      </c>
      <c r="G170" s="205">
        <f t="shared" si="47"/>
        <v>8441.1832033937608</v>
      </c>
      <c r="H170" s="101">
        <v>17.059999999999999</v>
      </c>
      <c r="I170" s="267">
        <v>346.75291262135926</v>
      </c>
      <c r="J170" s="205">
        <f t="shared" si="48"/>
        <v>5915.6046893203884</v>
      </c>
      <c r="K170" s="97">
        <f>+人工费!K170</f>
        <v>0</v>
      </c>
      <c r="L170" s="267">
        <f t="shared" si="49"/>
        <v>494.79385717431188</v>
      </c>
      <c r="M170" s="205">
        <f t="shared" si="50"/>
        <v>0</v>
      </c>
      <c r="N170" s="207"/>
      <c r="O170" s="207"/>
      <c r="P170" s="205">
        <f t="shared" si="51"/>
        <v>0</v>
      </c>
      <c r="Q170" s="207">
        <f>+人工费!Q170</f>
        <v>0</v>
      </c>
      <c r="R170" s="267">
        <v>494.79385717431188</v>
      </c>
      <c r="S170" s="205">
        <f t="shared" si="52"/>
        <v>0</v>
      </c>
      <c r="T170" s="207"/>
      <c r="U170" s="207"/>
      <c r="V170" s="205">
        <f t="shared" si="53"/>
        <v>0</v>
      </c>
      <c r="W170" s="123"/>
      <c r="X170" s="214"/>
      <c r="Y170" s="214"/>
      <c r="Z170" s="207"/>
      <c r="AA170" s="207"/>
      <c r="AB170" s="205">
        <v>0</v>
      </c>
    </row>
    <row r="171" spans="1:28" s="308" customFormat="1" ht="23.1" hidden="1" customHeight="1" outlineLevel="2">
      <c r="A171" s="223">
        <v>3.149999999999999</v>
      </c>
      <c r="B171" s="223" t="s">
        <v>142</v>
      </c>
      <c r="C171" s="223"/>
      <c r="D171" s="223" t="s">
        <v>143</v>
      </c>
      <c r="E171" s="101">
        <v>1</v>
      </c>
      <c r="F171" s="101">
        <v>0</v>
      </c>
      <c r="G171" s="205">
        <f t="shared" si="47"/>
        <v>0</v>
      </c>
      <c r="H171" s="101">
        <v>1</v>
      </c>
      <c r="I171" s="267"/>
      <c r="J171" s="205">
        <f t="shared" si="48"/>
        <v>0</v>
      </c>
      <c r="K171" s="97">
        <f>+人工费!K171</f>
        <v>0</v>
      </c>
      <c r="L171" s="267">
        <f t="shared" si="49"/>
        <v>0</v>
      </c>
      <c r="M171" s="205">
        <f t="shared" si="50"/>
        <v>0</v>
      </c>
      <c r="N171" s="207"/>
      <c r="O171" s="207"/>
      <c r="P171" s="205">
        <f t="shared" si="51"/>
        <v>0</v>
      </c>
      <c r="Q171" s="207">
        <f>+人工费!Q171</f>
        <v>0</v>
      </c>
      <c r="R171" s="267">
        <v>0</v>
      </c>
      <c r="S171" s="205">
        <f t="shared" si="52"/>
        <v>0</v>
      </c>
      <c r="T171" s="207"/>
      <c r="U171" s="207"/>
      <c r="V171" s="205">
        <f t="shared" si="53"/>
        <v>0</v>
      </c>
      <c r="W171" s="123"/>
      <c r="X171" s="214"/>
      <c r="Y171" s="214"/>
      <c r="Z171" s="207"/>
      <c r="AA171" s="207"/>
      <c r="AB171" s="205">
        <v>0</v>
      </c>
    </row>
    <row r="172" spans="1:28" s="308" customFormat="1" ht="23.1" customHeight="1" collapsed="1">
      <c r="A172" s="220" t="s">
        <v>233</v>
      </c>
      <c r="B172" s="220" t="s">
        <v>234</v>
      </c>
      <c r="C172" s="220"/>
      <c r="D172" s="220"/>
      <c r="E172" s="101">
        <v>0</v>
      </c>
      <c r="F172" s="101">
        <v>0</v>
      </c>
      <c r="G172" s="222">
        <f>+G173+G201+G222</f>
        <v>5930534.3929734863</v>
      </c>
      <c r="H172" s="101">
        <v>0</v>
      </c>
      <c r="I172" s="266"/>
      <c r="J172" s="222">
        <f>+J173+J201+J222</f>
        <v>4678097.3888401315</v>
      </c>
      <c r="K172" s="101"/>
      <c r="L172" s="266"/>
      <c r="M172" s="222">
        <f>+M173+M201+M222</f>
        <v>499074.41668942297</v>
      </c>
      <c r="N172" s="229"/>
      <c r="O172" s="229"/>
      <c r="P172" s="222">
        <f>+P173+P201+P222</f>
        <v>0</v>
      </c>
      <c r="Q172" s="207"/>
      <c r="R172" s="266"/>
      <c r="S172" s="222">
        <f>+S173+S201+S222</f>
        <v>2591146.0943592824</v>
      </c>
      <c r="T172" s="229"/>
      <c r="U172" s="229"/>
      <c r="V172" s="222">
        <f>+V173+V201+V222</f>
        <v>0</v>
      </c>
      <c r="W172" s="137"/>
      <c r="X172" s="212"/>
      <c r="Y172" s="212"/>
      <c r="Z172" s="229"/>
      <c r="AA172" s="229"/>
      <c r="AB172" s="222">
        <v>0</v>
      </c>
    </row>
    <row r="173" spans="1:28" s="308" customFormat="1" ht="23.1" hidden="1" customHeight="1" outlineLevel="1" collapsed="1">
      <c r="A173" s="220">
        <v>1</v>
      </c>
      <c r="B173" s="315" t="s">
        <v>144</v>
      </c>
      <c r="C173" s="274"/>
      <c r="D173" s="315"/>
      <c r="E173" s="101">
        <v>0</v>
      </c>
      <c r="F173" s="101">
        <v>0</v>
      </c>
      <c r="G173" s="222">
        <f>SUM(G174:G200)</f>
        <v>3078638.906237741</v>
      </c>
      <c r="H173" s="101">
        <v>0</v>
      </c>
      <c r="I173" s="266"/>
      <c r="J173" s="222">
        <f>SUM(J174:J200)</f>
        <v>2705459.2762430441</v>
      </c>
      <c r="K173" s="101"/>
      <c r="L173" s="266"/>
      <c r="M173" s="222">
        <f>SUM(M174:M200)</f>
        <v>243689.14959069519</v>
      </c>
      <c r="N173" s="229"/>
      <c r="O173" s="229"/>
      <c r="P173" s="222">
        <f>SUM(P174:P200)</f>
        <v>0</v>
      </c>
      <c r="Q173" s="207"/>
      <c r="R173" s="266"/>
      <c r="S173" s="222">
        <f>SUM(S174:S200)</f>
        <v>1373994.6387112159</v>
      </c>
      <c r="T173" s="229"/>
      <c r="U173" s="229"/>
      <c r="V173" s="222">
        <f>SUM(V174:V200)</f>
        <v>0</v>
      </c>
      <c r="W173" s="137"/>
      <c r="X173" s="212"/>
      <c r="Y173" s="212"/>
      <c r="Z173" s="229"/>
      <c r="AA173" s="229"/>
      <c r="AB173" s="222">
        <v>0</v>
      </c>
    </row>
    <row r="174" spans="1:28" s="308" customFormat="1" ht="23.1" hidden="1" customHeight="1" outlineLevel="2">
      <c r="A174" s="223">
        <v>1.1000000000000001</v>
      </c>
      <c r="B174" s="260" t="s">
        <v>145</v>
      </c>
      <c r="C174" s="275" t="s">
        <v>171</v>
      </c>
      <c r="D174" s="275" t="s">
        <v>147</v>
      </c>
      <c r="E174" s="101">
        <v>3.5550000000000002</v>
      </c>
      <c r="F174" s="101">
        <v>4046.4819822385316</v>
      </c>
      <c r="G174" s="205">
        <f t="shared" ref="G174:G200" si="54">+F174*E174</f>
        <v>14385.243446857981</v>
      </c>
      <c r="H174" s="101">
        <v>3.5550000000000002</v>
      </c>
      <c r="I174" s="267">
        <v>3690.4778761061948</v>
      </c>
      <c r="J174" s="205">
        <f t="shared" ref="J174:J200" si="55">+I174*H174</f>
        <v>13119.648849557523</v>
      </c>
      <c r="K174" s="97">
        <f>+人工费!K174</f>
        <v>0</v>
      </c>
      <c r="L174" s="267">
        <f t="shared" ref="L174:L200" si="56">+R174</f>
        <v>4046.4819822385316</v>
      </c>
      <c r="M174" s="205">
        <f t="shared" ref="M174:M200" si="57">+L174*K174</f>
        <v>0</v>
      </c>
      <c r="N174" s="207"/>
      <c r="O174" s="207"/>
      <c r="P174" s="205">
        <f t="shared" ref="P174:P200" si="58">+O174*N174</f>
        <v>0</v>
      </c>
      <c r="Q174" s="207">
        <f>+人工费!Q174</f>
        <v>0</v>
      </c>
      <c r="R174" s="267">
        <v>4046.4819822385316</v>
      </c>
      <c r="S174" s="205">
        <f t="shared" ref="S174:S200" si="59">+R174*Q174</f>
        <v>0</v>
      </c>
      <c r="T174" s="207"/>
      <c r="U174" s="207"/>
      <c r="V174" s="205">
        <f t="shared" ref="V174:V200" si="60">+U174*T174</f>
        <v>0</v>
      </c>
      <c r="W174" s="123"/>
      <c r="X174" s="214"/>
      <c r="Y174" s="214"/>
      <c r="Z174" s="207"/>
      <c r="AA174" s="207"/>
      <c r="AB174" s="205">
        <v>0</v>
      </c>
    </row>
    <row r="175" spans="1:28" s="308" customFormat="1" ht="23.1" hidden="1" customHeight="1" outlineLevel="2">
      <c r="A175" s="223">
        <v>1.2</v>
      </c>
      <c r="B175" s="260" t="s">
        <v>145</v>
      </c>
      <c r="C175" s="275" t="s">
        <v>172</v>
      </c>
      <c r="D175" s="275" t="s">
        <v>147</v>
      </c>
      <c r="E175" s="101">
        <v>0.2</v>
      </c>
      <c r="F175" s="101">
        <v>4017.0132559266058</v>
      </c>
      <c r="G175" s="205">
        <f t="shared" si="54"/>
        <v>803.40265118532125</v>
      </c>
      <c r="H175" s="101">
        <v>0.2</v>
      </c>
      <c r="I175" s="267">
        <v>4116.7226061204346</v>
      </c>
      <c r="J175" s="205">
        <f t="shared" si="55"/>
        <v>823.34452122408698</v>
      </c>
      <c r="K175" s="97">
        <f>+人工费!K175</f>
        <v>0</v>
      </c>
      <c r="L175" s="267">
        <f t="shared" si="56"/>
        <v>4017.0132559266058</v>
      </c>
      <c r="M175" s="205">
        <f t="shared" si="57"/>
        <v>0</v>
      </c>
      <c r="N175" s="207"/>
      <c r="O175" s="207"/>
      <c r="P175" s="205">
        <f t="shared" si="58"/>
        <v>0</v>
      </c>
      <c r="Q175" s="207">
        <f>+人工费!Q175</f>
        <v>0</v>
      </c>
      <c r="R175" s="267">
        <v>4017.0132559266058</v>
      </c>
      <c r="S175" s="205">
        <f t="shared" si="59"/>
        <v>0</v>
      </c>
      <c r="T175" s="207"/>
      <c r="U175" s="207"/>
      <c r="V175" s="205">
        <f t="shared" si="60"/>
        <v>0</v>
      </c>
      <c r="W175" s="123"/>
      <c r="X175" s="214"/>
      <c r="Y175" s="214"/>
      <c r="Z175" s="207"/>
      <c r="AA175" s="207"/>
      <c r="AB175" s="205">
        <v>0</v>
      </c>
    </row>
    <row r="176" spans="1:28" s="308" customFormat="1" ht="23.1" hidden="1" customHeight="1" outlineLevel="2">
      <c r="A176" s="223">
        <v>1.2999999999999998</v>
      </c>
      <c r="B176" s="260" t="s">
        <v>145</v>
      </c>
      <c r="C176" s="275" t="s">
        <v>173</v>
      </c>
      <c r="D176" s="275" t="s">
        <v>147</v>
      </c>
      <c r="E176" s="101">
        <v>0.5</v>
      </c>
      <c r="F176" s="101">
        <v>4046.1784742752293</v>
      </c>
      <c r="G176" s="205">
        <f t="shared" si="54"/>
        <v>2023.0892371376146</v>
      </c>
      <c r="H176" s="101">
        <v>0.5</v>
      </c>
      <c r="I176" s="267">
        <v>3646.2300884955753</v>
      </c>
      <c r="J176" s="205">
        <f t="shared" si="55"/>
        <v>1823.1150442477876</v>
      </c>
      <c r="K176" s="97">
        <f>+人工费!K176</f>
        <v>0</v>
      </c>
      <c r="L176" s="267">
        <f t="shared" si="56"/>
        <v>4046.1784742752293</v>
      </c>
      <c r="M176" s="205">
        <f t="shared" si="57"/>
        <v>0</v>
      </c>
      <c r="N176" s="207"/>
      <c r="O176" s="207"/>
      <c r="P176" s="205">
        <f t="shared" si="58"/>
        <v>0</v>
      </c>
      <c r="Q176" s="207">
        <f>+人工费!Q176</f>
        <v>0</v>
      </c>
      <c r="R176" s="267">
        <v>4046.1784742752293</v>
      </c>
      <c r="S176" s="205">
        <f t="shared" si="59"/>
        <v>0</v>
      </c>
      <c r="T176" s="207"/>
      <c r="U176" s="207"/>
      <c r="V176" s="205">
        <f t="shared" si="60"/>
        <v>0</v>
      </c>
      <c r="W176" s="123"/>
      <c r="X176" s="214"/>
      <c r="Y176" s="214"/>
      <c r="Z176" s="207"/>
      <c r="AA176" s="207"/>
      <c r="AB176" s="205">
        <v>0</v>
      </c>
    </row>
    <row r="177" spans="1:28" s="308" customFormat="1" ht="23.1" hidden="1" customHeight="1" outlineLevel="2">
      <c r="A177" s="223">
        <v>1.3999999999999997</v>
      </c>
      <c r="B177" s="260" t="s">
        <v>145</v>
      </c>
      <c r="C177" s="275" t="s">
        <v>174</v>
      </c>
      <c r="D177" s="275" t="s">
        <v>147</v>
      </c>
      <c r="E177" s="101">
        <v>1.129</v>
      </c>
      <c r="F177" s="101">
        <v>4202.617860110091</v>
      </c>
      <c r="G177" s="205">
        <f t="shared" si="54"/>
        <v>4744.7555640642931</v>
      </c>
      <c r="H177" s="101">
        <v>1.129</v>
      </c>
      <c r="I177" s="267">
        <v>3839.4424778761063</v>
      </c>
      <c r="J177" s="205">
        <f t="shared" si="55"/>
        <v>4334.7305575221244</v>
      </c>
      <c r="K177" s="97">
        <f>+人工费!K177</f>
        <v>0</v>
      </c>
      <c r="L177" s="267">
        <f t="shared" si="56"/>
        <v>4202.617860110091</v>
      </c>
      <c r="M177" s="205">
        <f t="shared" si="57"/>
        <v>0</v>
      </c>
      <c r="N177" s="207"/>
      <c r="O177" s="207"/>
      <c r="P177" s="205">
        <f t="shared" si="58"/>
        <v>0</v>
      </c>
      <c r="Q177" s="207">
        <f>+人工费!Q177</f>
        <v>0</v>
      </c>
      <c r="R177" s="267">
        <v>4202.617860110091</v>
      </c>
      <c r="S177" s="205">
        <f t="shared" si="59"/>
        <v>0</v>
      </c>
      <c r="T177" s="207"/>
      <c r="U177" s="207"/>
      <c r="V177" s="205">
        <f t="shared" si="60"/>
        <v>0</v>
      </c>
      <c r="W177" s="123"/>
      <c r="X177" s="214"/>
      <c r="Y177" s="214"/>
      <c r="Z177" s="207"/>
      <c r="AA177" s="207"/>
      <c r="AB177" s="205">
        <v>0</v>
      </c>
    </row>
    <row r="178" spans="1:28" s="308" customFormat="1" ht="23.1" hidden="1" customHeight="1" outlineLevel="2">
      <c r="A178" s="223">
        <v>1.4999999999999996</v>
      </c>
      <c r="B178" s="260" t="s">
        <v>145</v>
      </c>
      <c r="C178" s="275" t="s">
        <v>175</v>
      </c>
      <c r="D178" s="275" t="s">
        <v>147</v>
      </c>
      <c r="E178" s="101">
        <v>179.268</v>
      </c>
      <c r="F178" s="101">
        <v>4002.0465194862386</v>
      </c>
      <c r="G178" s="205">
        <f t="shared" si="54"/>
        <v>717438.875455259</v>
      </c>
      <c r="H178" s="101">
        <v>179.268</v>
      </c>
      <c r="I178" s="267">
        <v>3582.8053097345132</v>
      </c>
      <c r="J178" s="205">
        <f t="shared" si="55"/>
        <v>642282.34226548672</v>
      </c>
      <c r="K178" s="97">
        <f>+人工费!K178</f>
        <v>13.422852999999989</v>
      </c>
      <c r="L178" s="267">
        <f t="shared" si="56"/>
        <v>4002.0465194862386</v>
      </c>
      <c r="M178" s="205">
        <f t="shared" si="57"/>
        <v>53718.882130225371</v>
      </c>
      <c r="N178" s="207"/>
      <c r="O178" s="207"/>
      <c r="P178" s="205">
        <f t="shared" si="58"/>
        <v>0</v>
      </c>
      <c r="Q178" s="207">
        <f>+人工费!Q178</f>
        <v>70.844999999999999</v>
      </c>
      <c r="R178" s="267">
        <v>4002.0465194862386</v>
      </c>
      <c r="S178" s="205">
        <f t="shared" si="59"/>
        <v>283524.98567300255</v>
      </c>
      <c r="T178" s="207"/>
      <c r="U178" s="207"/>
      <c r="V178" s="205">
        <f t="shared" si="60"/>
        <v>0</v>
      </c>
      <c r="W178" s="123"/>
      <c r="X178" s="214"/>
      <c r="Y178" s="214"/>
      <c r="Z178" s="207"/>
      <c r="AA178" s="207"/>
      <c r="AB178" s="205">
        <v>0</v>
      </c>
    </row>
    <row r="179" spans="1:28" s="308" customFormat="1" ht="23.1" hidden="1" customHeight="1" outlineLevel="2">
      <c r="A179" s="223">
        <v>1.5999999999999994</v>
      </c>
      <c r="B179" s="260" t="s">
        <v>145</v>
      </c>
      <c r="C179" s="275" t="s">
        <v>176</v>
      </c>
      <c r="D179" s="275" t="s">
        <v>147</v>
      </c>
      <c r="E179" s="101">
        <v>93.587999999999994</v>
      </c>
      <c r="F179" s="101">
        <v>4059.551793908257</v>
      </c>
      <c r="G179" s="205">
        <f t="shared" si="54"/>
        <v>379925.33328828594</v>
      </c>
      <c r="H179" s="101">
        <v>93.587999999999994</v>
      </c>
      <c r="I179" s="267">
        <v>3580.1504424778764</v>
      </c>
      <c r="J179" s="205">
        <f t="shared" si="55"/>
        <v>335059.1196106195</v>
      </c>
      <c r="K179" s="97">
        <f>+人工费!K179</f>
        <v>9.7091910000000041</v>
      </c>
      <c r="L179" s="267">
        <f t="shared" si="56"/>
        <v>4059.551793908257</v>
      </c>
      <c r="M179" s="205">
        <f t="shared" si="57"/>
        <v>39414.963741447922</v>
      </c>
      <c r="N179" s="207"/>
      <c r="O179" s="207"/>
      <c r="P179" s="205">
        <f t="shared" si="58"/>
        <v>0</v>
      </c>
      <c r="Q179" s="207">
        <f>+人工费!Q179</f>
        <v>38.010000000000005</v>
      </c>
      <c r="R179" s="267">
        <v>4059.551793908257</v>
      </c>
      <c r="S179" s="205">
        <f t="shared" si="59"/>
        <v>154303.56368645286</v>
      </c>
      <c r="T179" s="207"/>
      <c r="U179" s="207"/>
      <c r="V179" s="205">
        <f t="shared" si="60"/>
        <v>0</v>
      </c>
      <c r="W179" s="123"/>
      <c r="X179" s="214"/>
      <c r="Y179" s="214"/>
      <c r="Z179" s="207"/>
      <c r="AA179" s="207"/>
      <c r="AB179" s="205">
        <v>0</v>
      </c>
    </row>
    <row r="180" spans="1:28" s="308" customFormat="1" ht="23.1" hidden="1" customHeight="1" outlineLevel="2">
      <c r="A180" s="223">
        <v>1.6999999999999993</v>
      </c>
      <c r="B180" s="260" t="s">
        <v>145</v>
      </c>
      <c r="C180" s="275" t="s">
        <v>177</v>
      </c>
      <c r="D180" s="275" t="s">
        <v>147</v>
      </c>
      <c r="E180" s="101">
        <v>81.001000000000005</v>
      </c>
      <c r="F180" s="101">
        <v>4074.2908993761471</v>
      </c>
      <c r="G180" s="205">
        <f t="shared" si="54"/>
        <v>330021.6371403673</v>
      </c>
      <c r="H180" s="101">
        <v>81.001000000000005</v>
      </c>
      <c r="I180" s="267">
        <v>3518.3274336283189</v>
      </c>
      <c r="J180" s="205">
        <f t="shared" si="55"/>
        <v>284988.04045132746</v>
      </c>
      <c r="K180" s="97">
        <f>+人工费!K180</f>
        <v>7.4764710000000036</v>
      </c>
      <c r="L180" s="267">
        <f t="shared" si="56"/>
        <v>4074.2908993761471</v>
      </c>
      <c r="M180" s="205">
        <f t="shared" si="57"/>
        <v>30461.317754749696</v>
      </c>
      <c r="N180" s="207"/>
      <c r="O180" s="207"/>
      <c r="P180" s="205">
        <f t="shared" si="58"/>
        <v>0</v>
      </c>
      <c r="Q180" s="207">
        <f>+人工费!Q180</f>
        <v>33.247</v>
      </c>
      <c r="R180" s="267">
        <v>4074.2908993761471</v>
      </c>
      <c r="S180" s="205">
        <f t="shared" si="59"/>
        <v>135457.94953155876</v>
      </c>
      <c r="T180" s="207"/>
      <c r="U180" s="207"/>
      <c r="V180" s="205">
        <f t="shared" si="60"/>
        <v>0</v>
      </c>
      <c r="W180" s="123"/>
      <c r="X180" s="214"/>
      <c r="Y180" s="214"/>
      <c r="Z180" s="207"/>
      <c r="AA180" s="207"/>
      <c r="AB180" s="205">
        <v>0</v>
      </c>
    </row>
    <row r="181" spans="1:28" s="308" customFormat="1" ht="23.1" hidden="1" customHeight="1" outlineLevel="2">
      <c r="A181" s="223">
        <v>1.7999999999999992</v>
      </c>
      <c r="B181" s="260" t="s">
        <v>145</v>
      </c>
      <c r="C181" s="275" t="s">
        <v>178</v>
      </c>
      <c r="D181" s="275" t="s">
        <v>147</v>
      </c>
      <c r="E181" s="101">
        <v>23.734000000000002</v>
      </c>
      <c r="F181" s="101">
        <v>4040.0988303853214</v>
      </c>
      <c r="G181" s="205">
        <f t="shared" si="54"/>
        <v>95887.705640365224</v>
      </c>
      <c r="H181" s="101">
        <v>23.734000000000002</v>
      </c>
      <c r="I181" s="267">
        <v>3518.3274336283189</v>
      </c>
      <c r="J181" s="205">
        <f t="shared" si="55"/>
        <v>83503.983309734525</v>
      </c>
      <c r="K181" s="97">
        <f>+人工费!K181</f>
        <v>2.2718910000000001</v>
      </c>
      <c r="L181" s="267">
        <f t="shared" si="56"/>
        <v>4040.0988303853214</v>
      </c>
      <c r="M181" s="205">
        <f t="shared" si="57"/>
        <v>9178.664171862938</v>
      </c>
      <c r="N181" s="207"/>
      <c r="O181" s="207"/>
      <c r="P181" s="205">
        <f t="shared" si="58"/>
        <v>0</v>
      </c>
      <c r="Q181" s="207">
        <f>+人工费!Q181</f>
        <v>11.262</v>
      </c>
      <c r="R181" s="267">
        <v>4040.0988303853214</v>
      </c>
      <c r="S181" s="205">
        <f t="shared" si="59"/>
        <v>45499.593027799492</v>
      </c>
      <c r="T181" s="207"/>
      <c r="U181" s="207"/>
      <c r="V181" s="205">
        <f t="shared" si="60"/>
        <v>0</v>
      </c>
      <c r="W181" s="123"/>
      <c r="X181" s="214"/>
      <c r="Y181" s="214"/>
      <c r="Z181" s="207"/>
      <c r="AA181" s="207"/>
      <c r="AB181" s="205">
        <v>0</v>
      </c>
    </row>
    <row r="182" spans="1:28" s="308" customFormat="1" ht="23.1" hidden="1" customHeight="1" outlineLevel="2">
      <c r="A182" s="223">
        <v>1.899999999999999</v>
      </c>
      <c r="B182" s="260" t="s">
        <v>145</v>
      </c>
      <c r="C182" s="275" t="s">
        <v>179</v>
      </c>
      <c r="D182" s="275" t="s">
        <v>147</v>
      </c>
      <c r="E182" s="101">
        <v>44.265000000000001</v>
      </c>
      <c r="F182" s="101">
        <v>3988.3981457614673</v>
      </c>
      <c r="G182" s="205">
        <f t="shared" si="54"/>
        <v>176546.44392213135</v>
      </c>
      <c r="H182" s="101">
        <v>44.265000000000001</v>
      </c>
      <c r="I182" s="267">
        <v>3420.9823008849562</v>
      </c>
      <c r="J182" s="205">
        <f t="shared" si="55"/>
        <v>151429.78154867259</v>
      </c>
      <c r="K182" s="97">
        <f>+人工费!K182</f>
        <v>2.6515559999999994</v>
      </c>
      <c r="L182" s="267">
        <f t="shared" si="56"/>
        <v>3988.3981457614673</v>
      </c>
      <c r="M182" s="205">
        <f t="shared" si="57"/>
        <v>10575.461033782691</v>
      </c>
      <c r="N182" s="207"/>
      <c r="O182" s="207"/>
      <c r="P182" s="205">
        <f t="shared" si="58"/>
        <v>0</v>
      </c>
      <c r="Q182" s="207">
        <f>+人工费!Q182</f>
        <v>25.175999999999998</v>
      </c>
      <c r="R182" s="267">
        <v>3988.3981457614673</v>
      </c>
      <c r="S182" s="205">
        <f t="shared" si="59"/>
        <v>100411.91171769069</v>
      </c>
      <c r="T182" s="207"/>
      <c r="U182" s="207"/>
      <c r="V182" s="205">
        <f t="shared" si="60"/>
        <v>0</v>
      </c>
      <c r="W182" s="123"/>
      <c r="X182" s="214"/>
      <c r="Y182" s="214"/>
      <c r="Z182" s="207"/>
      <c r="AA182" s="207"/>
      <c r="AB182" s="205">
        <v>0</v>
      </c>
    </row>
    <row r="183" spans="1:28" s="308" customFormat="1" ht="23.1" hidden="1" customHeight="1" outlineLevel="2">
      <c r="A183" s="267">
        <v>1.1000000000000001</v>
      </c>
      <c r="B183" s="260" t="s">
        <v>145</v>
      </c>
      <c r="C183" s="275" t="s">
        <v>180</v>
      </c>
      <c r="D183" s="275" t="s">
        <v>147</v>
      </c>
      <c r="E183" s="101">
        <v>17.254000000000001</v>
      </c>
      <c r="F183" s="101">
        <v>3945.0154762568814</v>
      </c>
      <c r="G183" s="205">
        <f t="shared" si="54"/>
        <v>68067.29702733623</v>
      </c>
      <c r="H183" s="101">
        <v>17.254000000000001</v>
      </c>
      <c r="I183" s="267">
        <v>3359.035398230089</v>
      </c>
      <c r="J183" s="205">
        <f t="shared" si="55"/>
        <v>57956.79676106196</v>
      </c>
      <c r="K183" s="97">
        <f>+人工费!K183</f>
        <v>0.90820399999999868</v>
      </c>
      <c r="L183" s="267">
        <f t="shared" si="56"/>
        <v>3945.0154762568814</v>
      </c>
      <c r="M183" s="205">
        <f t="shared" si="57"/>
        <v>3582.8788355983993</v>
      </c>
      <c r="N183" s="207"/>
      <c r="O183" s="207"/>
      <c r="P183" s="205">
        <f t="shared" si="58"/>
        <v>0</v>
      </c>
      <c r="Q183" s="207">
        <f>+人工费!Q183</f>
        <v>5.5699999999999994</v>
      </c>
      <c r="R183" s="267">
        <v>3945.0154762568814</v>
      </c>
      <c r="S183" s="205">
        <f t="shared" si="59"/>
        <v>21973.736202750828</v>
      </c>
      <c r="T183" s="207"/>
      <c r="U183" s="207"/>
      <c r="V183" s="205">
        <f t="shared" si="60"/>
        <v>0</v>
      </c>
      <c r="W183" s="123"/>
      <c r="X183" s="214"/>
      <c r="Y183" s="214"/>
      <c r="Z183" s="207"/>
      <c r="AA183" s="207"/>
      <c r="AB183" s="205">
        <v>0</v>
      </c>
    </row>
    <row r="184" spans="1:28" s="308" customFormat="1" ht="23.1" hidden="1" customHeight="1" outlineLevel="2">
      <c r="A184" s="223">
        <v>1.1100000000000001</v>
      </c>
      <c r="B184" s="330" t="s">
        <v>145</v>
      </c>
      <c r="C184" s="330" t="s">
        <v>181</v>
      </c>
      <c r="D184" s="330" t="s">
        <v>147</v>
      </c>
      <c r="E184" s="101">
        <v>21.707000000000001</v>
      </c>
      <c r="F184" s="101">
        <v>3960.8737673394494</v>
      </c>
      <c r="G184" s="205">
        <f t="shared" si="54"/>
        <v>85978.686867637429</v>
      </c>
      <c r="H184" s="101">
        <v>21.707000000000001</v>
      </c>
      <c r="I184" s="267">
        <v>3376.7345132743367</v>
      </c>
      <c r="J184" s="205">
        <f t="shared" si="55"/>
        <v>73298.776079646035</v>
      </c>
      <c r="K184" s="97">
        <f>+人工费!K184</f>
        <v>1.2636469999999989</v>
      </c>
      <c r="L184" s="267">
        <f t="shared" si="56"/>
        <v>3960.8737673394494</v>
      </c>
      <c r="M184" s="205">
        <f t="shared" si="57"/>
        <v>5005.146253477189</v>
      </c>
      <c r="N184" s="207"/>
      <c r="O184" s="207"/>
      <c r="P184" s="205">
        <f t="shared" si="58"/>
        <v>0</v>
      </c>
      <c r="Q184" s="207">
        <f>+人工费!Q184</f>
        <v>8.4989999999999988</v>
      </c>
      <c r="R184" s="267">
        <v>3960.8737673394494</v>
      </c>
      <c r="S184" s="205">
        <f t="shared" si="59"/>
        <v>33663.466148617976</v>
      </c>
      <c r="T184" s="207"/>
      <c r="U184" s="207"/>
      <c r="V184" s="205">
        <f t="shared" si="60"/>
        <v>0</v>
      </c>
      <c r="W184" s="123"/>
      <c r="X184" s="214"/>
      <c r="Y184" s="214"/>
      <c r="Z184" s="207"/>
      <c r="AA184" s="207"/>
      <c r="AB184" s="205">
        <v>0</v>
      </c>
    </row>
    <row r="185" spans="1:28" s="308" customFormat="1" ht="23.1" hidden="1" customHeight="1" outlineLevel="2">
      <c r="A185" s="267">
        <v>1.1200000000000001</v>
      </c>
      <c r="B185" s="330" t="s">
        <v>145</v>
      </c>
      <c r="C185" s="330" t="s">
        <v>182</v>
      </c>
      <c r="D185" s="330" t="s">
        <v>147</v>
      </c>
      <c r="E185" s="101">
        <v>19.829000000000001</v>
      </c>
      <c r="F185" s="101">
        <v>3952.5178137247708</v>
      </c>
      <c r="G185" s="205">
        <f t="shared" si="54"/>
        <v>78374.47572834848</v>
      </c>
      <c r="H185" s="101">
        <v>19.829000000000001</v>
      </c>
      <c r="I185" s="267">
        <v>3376.7345132743367</v>
      </c>
      <c r="J185" s="205">
        <f t="shared" si="55"/>
        <v>66957.268663716823</v>
      </c>
      <c r="K185" s="97">
        <f>+人工费!K185</f>
        <v>1.1772159999999996</v>
      </c>
      <c r="L185" s="267">
        <f t="shared" si="56"/>
        <v>3952.5178137247708</v>
      </c>
      <c r="M185" s="205">
        <f t="shared" si="57"/>
        <v>4652.9672106018179</v>
      </c>
      <c r="N185" s="207"/>
      <c r="O185" s="207"/>
      <c r="P185" s="205">
        <f t="shared" si="58"/>
        <v>0</v>
      </c>
      <c r="Q185" s="207">
        <f>+人工费!Q185</f>
        <v>6.7279999999999998</v>
      </c>
      <c r="R185" s="267">
        <v>3952.5178137247708</v>
      </c>
      <c r="S185" s="205">
        <f t="shared" si="59"/>
        <v>26592.539850740257</v>
      </c>
      <c r="T185" s="207"/>
      <c r="U185" s="207"/>
      <c r="V185" s="205">
        <f t="shared" si="60"/>
        <v>0</v>
      </c>
      <c r="W185" s="123"/>
      <c r="X185" s="214"/>
      <c r="Y185" s="214"/>
      <c r="Z185" s="207"/>
      <c r="AA185" s="207"/>
      <c r="AB185" s="205">
        <v>0</v>
      </c>
    </row>
    <row r="186" spans="1:28" s="308" customFormat="1" ht="23.1" hidden="1" customHeight="1" outlineLevel="2">
      <c r="A186" s="223">
        <v>1.1300000000000001</v>
      </c>
      <c r="B186" s="330" t="s">
        <v>145</v>
      </c>
      <c r="C186" s="330" t="s">
        <v>183</v>
      </c>
      <c r="D186" s="330" t="s">
        <v>147</v>
      </c>
      <c r="E186" s="101">
        <v>65.873999999999995</v>
      </c>
      <c r="F186" s="101">
        <v>3966.7162956330271</v>
      </c>
      <c r="G186" s="205">
        <f t="shared" si="54"/>
        <v>261303.46925853001</v>
      </c>
      <c r="H186" s="101">
        <v>65.873999999999995</v>
      </c>
      <c r="I186" s="267">
        <v>3403.2831858407085</v>
      </c>
      <c r="J186" s="205">
        <f t="shared" si="55"/>
        <v>224187.87658407082</v>
      </c>
      <c r="K186" s="97">
        <f>+人工费!K186</f>
        <v>6.1823160000000001</v>
      </c>
      <c r="L186" s="267">
        <f t="shared" si="56"/>
        <v>3966.7162956330271</v>
      </c>
      <c r="M186" s="205">
        <f t="shared" si="57"/>
        <v>24523.493621952795</v>
      </c>
      <c r="N186" s="207"/>
      <c r="O186" s="207"/>
      <c r="P186" s="205">
        <f t="shared" si="58"/>
        <v>0</v>
      </c>
      <c r="Q186" s="207">
        <f>+人工费!Q186</f>
        <v>32.938000000000002</v>
      </c>
      <c r="R186" s="267">
        <v>3966.7162956330271</v>
      </c>
      <c r="S186" s="205">
        <f t="shared" si="59"/>
        <v>130655.70134556065</v>
      </c>
      <c r="T186" s="207"/>
      <c r="U186" s="207"/>
      <c r="V186" s="205">
        <f t="shared" si="60"/>
        <v>0</v>
      </c>
      <c r="W186" s="123"/>
      <c r="X186" s="214"/>
      <c r="Y186" s="214"/>
      <c r="Z186" s="207"/>
      <c r="AA186" s="207"/>
      <c r="AB186" s="205">
        <v>0</v>
      </c>
    </row>
    <row r="187" spans="1:28" s="308" customFormat="1" ht="23.1" hidden="1" customHeight="1" outlineLevel="2">
      <c r="A187" s="267">
        <v>1.1400000000000001</v>
      </c>
      <c r="B187" s="330" t="s">
        <v>145</v>
      </c>
      <c r="C187" s="330" t="s">
        <v>184</v>
      </c>
      <c r="D187" s="330" t="s">
        <v>147</v>
      </c>
      <c r="E187" s="101">
        <v>6.84</v>
      </c>
      <c r="F187" s="101">
        <v>4128.448101577982</v>
      </c>
      <c r="G187" s="205">
        <f t="shared" si="54"/>
        <v>28238.585014793396</v>
      </c>
      <c r="H187" s="101">
        <v>6.84</v>
      </c>
      <c r="I187" s="267">
        <v>3518.3274336283189</v>
      </c>
      <c r="J187" s="205">
        <f t="shared" si="55"/>
        <v>24065.3596460177</v>
      </c>
      <c r="K187" s="97">
        <f>+人工费!K187</f>
        <v>0.72791599999999956</v>
      </c>
      <c r="L187" s="267">
        <f t="shared" si="56"/>
        <v>4128.448101577982</v>
      </c>
      <c r="M187" s="205">
        <f t="shared" si="57"/>
        <v>3005.1634283082367</v>
      </c>
      <c r="N187" s="207"/>
      <c r="O187" s="207"/>
      <c r="P187" s="205">
        <f t="shared" si="58"/>
        <v>0</v>
      </c>
      <c r="Q187" s="207">
        <f>+人工费!Q187</f>
        <v>6.75</v>
      </c>
      <c r="R187" s="267">
        <v>4128.448101577982</v>
      </c>
      <c r="S187" s="205">
        <f t="shared" si="59"/>
        <v>27867.024685651377</v>
      </c>
      <c r="T187" s="207"/>
      <c r="U187" s="207"/>
      <c r="V187" s="205">
        <f t="shared" si="60"/>
        <v>0</v>
      </c>
      <c r="W187" s="123"/>
      <c r="X187" s="214"/>
      <c r="Y187" s="214"/>
      <c r="Z187" s="207"/>
      <c r="AA187" s="207"/>
      <c r="AB187" s="205">
        <v>0</v>
      </c>
    </row>
    <row r="188" spans="1:28" s="308" customFormat="1" ht="23.1" hidden="1" customHeight="1" outlineLevel="2">
      <c r="A188" s="223">
        <v>1.1500000000000001</v>
      </c>
      <c r="B188" s="330" t="s">
        <v>145</v>
      </c>
      <c r="C188" s="330" t="s">
        <v>185</v>
      </c>
      <c r="D188" s="330" t="s">
        <v>147</v>
      </c>
      <c r="E188" s="101">
        <v>1.2</v>
      </c>
      <c r="F188" s="101">
        <v>4278.3430969541278</v>
      </c>
      <c r="G188" s="205">
        <f t="shared" si="54"/>
        <v>5134.0117163449531</v>
      </c>
      <c r="H188" s="101">
        <v>1.2</v>
      </c>
      <c r="I188" s="267">
        <v>3677.6194690265493</v>
      </c>
      <c r="J188" s="205">
        <f t="shared" si="55"/>
        <v>4413.1433628318591</v>
      </c>
      <c r="K188" s="97">
        <f>+人工费!K188</f>
        <v>0</v>
      </c>
      <c r="L188" s="267">
        <f t="shared" si="56"/>
        <v>4278.3430969541278</v>
      </c>
      <c r="M188" s="205">
        <f t="shared" si="57"/>
        <v>0</v>
      </c>
      <c r="N188" s="207"/>
      <c r="O188" s="207"/>
      <c r="P188" s="205">
        <f t="shared" si="58"/>
        <v>0</v>
      </c>
      <c r="Q188" s="207">
        <f>+人工费!Q188</f>
        <v>0</v>
      </c>
      <c r="R188" s="267">
        <v>4278.3430969541278</v>
      </c>
      <c r="S188" s="205">
        <f t="shared" si="59"/>
        <v>0</v>
      </c>
      <c r="T188" s="207"/>
      <c r="U188" s="207"/>
      <c r="V188" s="205">
        <f t="shared" si="60"/>
        <v>0</v>
      </c>
      <c r="W188" s="123"/>
      <c r="X188" s="214"/>
      <c r="Y188" s="214"/>
      <c r="Z188" s="207"/>
      <c r="AA188" s="207"/>
      <c r="AB188" s="205">
        <v>0</v>
      </c>
    </row>
    <row r="189" spans="1:28" s="308" customFormat="1" ht="23.1" hidden="1" customHeight="1" outlineLevel="2">
      <c r="A189" s="267">
        <v>1.1600000000000001</v>
      </c>
      <c r="B189" s="223" t="s">
        <v>162</v>
      </c>
      <c r="C189" s="223" t="s">
        <v>172</v>
      </c>
      <c r="D189" s="223" t="s">
        <v>147</v>
      </c>
      <c r="E189" s="101">
        <v>1.651</v>
      </c>
      <c r="F189" s="101">
        <v>4075.9222546788988</v>
      </c>
      <c r="G189" s="205">
        <f t="shared" si="54"/>
        <v>6729.3476424748624</v>
      </c>
      <c r="H189" s="101">
        <v>1.651</v>
      </c>
      <c r="I189" s="267">
        <v>4116.7226061204346</v>
      </c>
      <c r="J189" s="205">
        <f t="shared" si="55"/>
        <v>6796.7090227048375</v>
      </c>
      <c r="K189" s="97">
        <f>+人工费!K189</f>
        <v>0</v>
      </c>
      <c r="L189" s="267">
        <f t="shared" si="56"/>
        <v>4075.9222546788988</v>
      </c>
      <c r="M189" s="205">
        <f t="shared" si="57"/>
        <v>0</v>
      </c>
      <c r="N189" s="207"/>
      <c r="O189" s="207"/>
      <c r="P189" s="205">
        <f t="shared" si="58"/>
        <v>0</v>
      </c>
      <c r="Q189" s="207">
        <f>+人工费!Q189</f>
        <v>0</v>
      </c>
      <c r="R189" s="267">
        <v>4075.9222546788988</v>
      </c>
      <c r="S189" s="205">
        <f t="shared" si="59"/>
        <v>0</v>
      </c>
      <c r="T189" s="207"/>
      <c r="U189" s="207"/>
      <c r="V189" s="205">
        <f t="shared" si="60"/>
        <v>0</v>
      </c>
      <c r="W189" s="123"/>
      <c r="X189" s="214"/>
      <c r="Y189" s="214"/>
      <c r="Z189" s="207"/>
      <c r="AA189" s="207"/>
      <c r="AB189" s="205">
        <v>0</v>
      </c>
    </row>
    <row r="190" spans="1:28" s="308" customFormat="1" ht="23.1" hidden="1" customHeight="1" outlineLevel="2">
      <c r="A190" s="223">
        <v>1.1700000000000002</v>
      </c>
      <c r="B190" s="223" t="s">
        <v>162</v>
      </c>
      <c r="C190" s="223" t="s">
        <v>173</v>
      </c>
      <c r="D190" s="223" t="s">
        <v>147</v>
      </c>
      <c r="E190" s="101">
        <v>2.0750000000000002</v>
      </c>
      <c r="F190" s="101">
        <v>4075.8938008073392</v>
      </c>
      <c r="G190" s="205">
        <f t="shared" si="54"/>
        <v>8457.4796366752289</v>
      </c>
      <c r="H190" s="101">
        <v>2.0750000000000002</v>
      </c>
      <c r="I190" s="267">
        <v>3646.2300884955753</v>
      </c>
      <c r="J190" s="205">
        <f t="shared" si="55"/>
        <v>7565.9274336283197</v>
      </c>
      <c r="K190" s="97">
        <f>+人工费!K190</f>
        <v>0</v>
      </c>
      <c r="L190" s="267">
        <f t="shared" si="56"/>
        <v>4075.8938008073392</v>
      </c>
      <c r="M190" s="205">
        <f t="shared" si="57"/>
        <v>0</v>
      </c>
      <c r="N190" s="207"/>
      <c r="O190" s="207"/>
      <c r="P190" s="205">
        <f t="shared" si="58"/>
        <v>0</v>
      </c>
      <c r="Q190" s="207">
        <f>+人工费!Q190</f>
        <v>0</v>
      </c>
      <c r="R190" s="267">
        <v>4075.8938008073392</v>
      </c>
      <c r="S190" s="205">
        <f t="shared" si="59"/>
        <v>0</v>
      </c>
      <c r="T190" s="207"/>
      <c r="U190" s="207"/>
      <c r="V190" s="205">
        <f t="shared" si="60"/>
        <v>0</v>
      </c>
      <c r="W190" s="123"/>
      <c r="X190" s="214"/>
      <c r="Y190" s="214"/>
      <c r="Z190" s="207"/>
      <c r="AA190" s="207"/>
      <c r="AB190" s="205">
        <v>0</v>
      </c>
    </row>
    <row r="191" spans="1:28" s="308" customFormat="1" ht="23.1" hidden="1" customHeight="1" outlineLevel="2">
      <c r="A191" s="267">
        <v>1.1800000000000002</v>
      </c>
      <c r="B191" s="223" t="s">
        <v>162</v>
      </c>
      <c r="C191" s="223" t="s">
        <v>174</v>
      </c>
      <c r="D191" s="223" t="s">
        <v>147</v>
      </c>
      <c r="E191" s="101">
        <v>9.2309999999999999</v>
      </c>
      <c r="F191" s="101">
        <v>4215.6971564036703</v>
      </c>
      <c r="G191" s="205">
        <f t="shared" si="54"/>
        <v>38915.100450762278</v>
      </c>
      <c r="H191" s="101">
        <v>9.2309999999999999</v>
      </c>
      <c r="I191" s="267">
        <v>3839.4424778761063</v>
      </c>
      <c r="J191" s="205">
        <f t="shared" si="55"/>
        <v>35441.893513274335</v>
      </c>
      <c r="K191" s="97">
        <f>+人工费!K191</f>
        <v>1.1936720000000003</v>
      </c>
      <c r="L191" s="267">
        <f t="shared" si="56"/>
        <v>4215.6971564036703</v>
      </c>
      <c r="M191" s="205">
        <f t="shared" si="57"/>
        <v>5032.1596560786829</v>
      </c>
      <c r="N191" s="207"/>
      <c r="O191" s="207"/>
      <c r="P191" s="205">
        <f t="shared" si="58"/>
        <v>0</v>
      </c>
      <c r="Q191" s="207">
        <f>+人工费!Q191</f>
        <v>3.4260000000000002</v>
      </c>
      <c r="R191" s="267">
        <v>4215.6971564036703</v>
      </c>
      <c r="S191" s="205">
        <f t="shared" si="59"/>
        <v>14442.978457838975</v>
      </c>
      <c r="T191" s="207"/>
      <c r="U191" s="207"/>
      <c r="V191" s="205">
        <f t="shared" si="60"/>
        <v>0</v>
      </c>
      <c r="W191" s="123"/>
      <c r="X191" s="214"/>
      <c r="Y191" s="214"/>
      <c r="Z191" s="207"/>
      <c r="AA191" s="207"/>
      <c r="AB191" s="205">
        <v>0</v>
      </c>
    </row>
    <row r="192" spans="1:28" s="308" customFormat="1" ht="23.1" hidden="1" customHeight="1" outlineLevel="2">
      <c r="A192" s="223">
        <v>1.1900000000000002</v>
      </c>
      <c r="B192" s="223" t="s">
        <v>162</v>
      </c>
      <c r="C192" s="223" t="s">
        <v>175</v>
      </c>
      <c r="D192" s="223" t="s">
        <v>147</v>
      </c>
      <c r="E192" s="101">
        <v>112.75</v>
      </c>
      <c r="F192" s="101">
        <v>4015.1163311559631</v>
      </c>
      <c r="G192" s="205">
        <f t="shared" si="54"/>
        <v>452704.36633783486</v>
      </c>
      <c r="H192" s="101">
        <v>112.75</v>
      </c>
      <c r="I192" s="267">
        <v>3582.8053097345132</v>
      </c>
      <c r="J192" s="205">
        <f t="shared" si="55"/>
        <v>403961.29867256636</v>
      </c>
      <c r="K192" s="97">
        <f>+人工费!K192</f>
        <v>10.230000000000004</v>
      </c>
      <c r="L192" s="267">
        <f t="shared" si="56"/>
        <v>4015.1163311559631</v>
      </c>
      <c r="M192" s="205">
        <f t="shared" si="57"/>
        <v>41074.640067725515</v>
      </c>
      <c r="N192" s="207"/>
      <c r="O192" s="207"/>
      <c r="P192" s="205">
        <f t="shared" si="58"/>
        <v>0</v>
      </c>
      <c r="Q192" s="207">
        <f>+人工费!Q192</f>
        <v>42.652000000000001</v>
      </c>
      <c r="R192" s="267">
        <v>4015.1163311559631</v>
      </c>
      <c r="S192" s="205">
        <f t="shared" si="59"/>
        <v>171252.74175646415</v>
      </c>
      <c r="T192" s="207"/>
      <c r="U192" s="207"/>
      <c r="V192" s="205">
        <f t="shared" si="60"/>
        <v>0</v>
      </c>
      <c r="W192" s="123"/>
      <c r="X192" s="214"/>
      <c r="Y192" s="214"/>
      <c r="Z192" s="207"/>
      <c r="AA192" s="207"/>
      <c r="AB192" s="205">
        <v>0</v>
      </c>
    </row>
    <row r="193" spans="1:28" s="308" customFormat="1" ht="23.1" hidden="1" customHeight="1" outlineLevel="2">
      <c r="A193" s="267">
        <v>1.2000000000000002</v>
      </c>
      <c r="B193" s="223" t="s">
        <v>162</v>
      </c>
      <c r="C193" s="223" t="s">
        <v>176</v>
      </c>
      <c r="D193" s="223" t="s">
        <v>147</v>
      </c>
      <c r="E193" s="101">
        <v>26.341999999999999</v>
      </c>
      <c r="F193" s="101">
        <v>4072.6216055779814</v>
      </c>
      <c r="G193" s="205">
        <f t="shared" si="54"/>
        <v>107280.99833413518</v>
      </c>
      <c r="H193" s="101">
        <v>26.341999999999999</v>
      </c>
      <c r="I193" s="267">
        <v>3580.1504424778764</v>
      </c>
      <c r="J193" s="205">
        <f t="shared" si="55"/>
        <v>94308.322955752214</v>
      </c>
      <c r="K193" s="97">
        <f>+人工费!K193</f>
        <v>0.56400000000000006</v>
      </c>
      <c r="L193" s="267">
        <f t="shared" si="56"/>
        <v>4072.6216055779814</v>
      </c>
      <c r="M193" s="205">
        <f t="shared" si="57"/>
        <v>2296.9585855459818</v>
      </c>
      <c r="N193" s="207"/>
      <c r="O193" s="207"/>
      <c r="P193" s="205">
        <f t="shared" si="58"/>
        <v>0</v>
      </c>
      <c r="Q193" s="207">
        <f>+人工费!Q193</f>
        <v>17.238</v>
      </c>
      <c r="R193" s="267">
        <v>4072.6216055779814</v>
      </c>
      <c r="S193" s="205">
        <f t="shared" si="59"/>
        <v>70203.85123695324</v>
      </c>
      <c r="T193" s="207"/>
      <c r="U193" s="207"/>
      <c r="V193" s="205">
        <f t="shared" si="60"/>
        <v>0</v>
      </c>
      <c r="W193" s="123"/>
      <c r="X193" s="214"/>
      <c r="Y193" s="214"/>
      <c r="Z193" s="207"/>
      <c r="AA193" s="207"/>
      <c r="AB193" s="205">
        <v>0</v>
      </c>
    </row>
    <row r="194" spans="1:28" s="308" customFormat="1" ht="23.1" hidden="1" customHeight="1" outlineLevel="2">
      <c r="A194" s="223">
        <v>1.2100000000000002</v>
      </c>
      <c r="B194" s="223" t="s">
        <v>162</v>
      </c>
      <c r="C194" s="223" t="s">
        <v>177</v>
      </c>
      <c r="D194" s="223" t="s">
        <v>147</v>
      </c>
      <c r="E194" s="101">
        <v>31.206</v>
      </c>
      <c r="F194" s="101">
        <v>4016.7097479633035</v>
      </c>
      <c r="G194" s="205">
        <f t="shared" si="54"/>
        <v>125345.44439494285</v>
      </c>
      <c r="H194" s="101">
        <v>31.206</v>
      </c>
      <c r="I194" s="267">
        <v>3518.3274336283189</v>
      </c>
      <c r="J194" s="205">
        <f t="shared" si="55"/>
        <v>109792.92589380532</v>
      </c>
      <c r="K194" s="97">
        <f>+人工费!K194</f>
        <v>2.7800000000000011</v>
      </c>
      <c r="L194" s="267">
        <f t="shared" si="56"/>
        <v>4016.7097479633035</v>
      </c>
      <c r="M194" s="205">
        <f t="shared" si="57"/>
        <v>11166.453099337989</v>
      </c>
      <c r="N194" s="207"/>
      <c r="O194" s="207"/>
      <c r="P194" s="205">
        <f t="shared" si="58"/>
        <v>0</v>
      </c>
      <c r="Q194" s="207">
        <f>+人工费!Q194</f>
        <v>37.255000000000003</v>
      </c>
      <c r="R194" s="267">
        <v>4016.7097479633035</v>
      </c>
      <c r="S194" s="205">
        <f t="shared" si="59"/>
        <v>149642.52166037288</v>
      </c>
      <c r="T194" s="207"/>
      <c r="U194" s="207"/>
      <c r="V194" s="205">
        <f t="shared" si="60"/>
        <v>0</v>
      </c>
      <c r="W194" s="123"/>
      <c r="X194" s="214"/>
      <c r="Y194" s="214"/>
      <c r="Z194" s="207"/>
      <c r="AA194" s="207"/>
      <c r="AB194" s="205">
        <v>0</v>
      </c>
    </row>
    <row r="195" spans="1:28" s="308" customFormat="1" ht="23.1" hidden="1" customHeight="1" outlineLevel="2">
      <c r="A195" s="267">
        <v>1.2200000000000002</v>
      </c>
      <c r="B195" s="223" t="s">
        <v>162</v>
      </c>
      <c r="C195" s="223" t="s">
        <v>178</v>
      </c>
      <c r="D195" s="223" t="s">
        <v>147</v>
      </c>
      <c r="E195" s="101">
        <v>2.746</v>
      </c>
      <c r="F195" s="101">
        <v>3982.5081943486234</v>
      </c>
      <c r="G195" s="205">
        <f t="shared" si="54"/>
        <v>10935.96750168132</v>
      </c>
      <c r="H195" s="101">
        <v>2.746</v>
      </c>
      <c r="I195" s="267">
        <v>3518.3274336283189</v>
      </c>
      <c r="J195" s="205">
        <f t="shared" si="55"/>
        <v>9661.3271327433631</v>
      </c>
      <c r="K195" s="97">
        <f>+人工费!K195</f>
        <v>0</v>
      </c>
      <c r="L195" s="267">
        <f t="shared" si="56"/>
        <v>3982.5081943486234</v>
      </c>
      <c r="M195" s="205">
        <f t="shared" si="57"/>
        <v>0</v>
      </c>
      <c r="N195" s="207"/>
      <c r="O195" s="207"/>
      <c r="P195" s="205">
        <f t="shared" si="58"/>
        <v>0</v>
      </c>
      <c r="Q195" s="207">
        <f>+人工费!Q195</f>
        <v>0</v>
      </c>
      <c r="R195" s="267">
        <v>3982.5081943486234</v>
      </c>
      <c r="S195" s="205">
        <f t="shared" si="59"/>
        <v>0</v>
      </c>
      <c r="T195" s="207"/>
      <c r="U195" s="207"/>
      <c r="V195" s="205">
        <f t="shared" si="60"/>
        <v>0</v>
      </c>
      <c r="W195" s="123"/>
      <c r="X195" s="214"/>
      <c r="Y195" s="214"/>
      <c r="Z195" s="207"/>
      <c r="AA195" s="207"/>
      <c r="AB195" s="205">
        <v>0</v>
      </c>
    </row>
    <row r="196" spans="1:28" s="308" customFormat="1" ht="23.1" hidden="1" customHeight="1" outlineLevel="2">
      <c r="A196" s="223">
        <v>1.2300000000000002</v>
      </c>
      <c r="B196" s="223" t="s">
        <v>162</v>
      </c>
      <c r="C196" s="223" t="s">
        <v>179</v>
      </c>
      <c r="D196" s="223" t="s">
        <v>147</v>
      </c>
      <c r="E196" s="101">
        <v>0.52800000000000002</v>
      </c>
      <c r="F196" s="101">
        <v>3930.8169943486237</v>
      </c>
      <c r="G196" s="205">
        <f t="shared" si="54"/>
        <v>2075.4713730160734</v>
      </c>
      <c r="H196" s="101">
        <v>0.52800000000000002</v>
      </c>
      <c r="I196" s="267">
        <v>3420.9823008849562</v>
      </c>
      <c r="J196" s="205">
        <f t="shared" si="55"/>
        <v>1806.278654867257</v>
      </c>
      <c r="K196" s="97">
        <f>+人工费!K196</f>
        <v>0</v>
      </c>
      <c r="L196" s="267">
        <f t="shared" si="56"/>
        <v>3930.8169943486237</v>
      </c>
      <c r="M196" s="205">
        <f t="shared" si="57"/>
        <v>0</v>
      </c>
      <c r="N196" s="207"/>
      <c r="O196" s="207"/>
      <c r="P196" s="205">
        <f t="shared" si="58"/>
        <v>0</v>
      </c>
      <c r="Q196" s="207">
        <f>+人工费!Q196</f>
        <v>0</v>
      </c>
      <c r="R196" s="267">
        <v>3930.8169943486237</v>
      </c>
      <c r="S196" s="205">
        <f t="shared" si="59"/>
        <v>0</v>
      </c>
      <c r="T196" s="207"/>
      <c r="U196" s="207"/>
      <c r="V196" s="205">
        <f t="shared" si="60"/>
        <v>0</v>
      </c>
      <c r="W196" s="123"/>
      <c r="X196" s="214"/>
      <c r="Y196" s="214"/>
      <c r="Z196" s="207"/>
      <c r="AA196" s="207"/>
      <c r="AB196" s="205">
        <v>0</v>
      </c>
    </row>
    <row r="197" spans="1:28" s="308" customFormat="1" ht="23.1" hidden="1" customHeight="1" outlineLevel="2">
      <c r="A197" s="267">
        <v>1.2400000000000002</v>
      </c>
      <c r="B197" s="223" t="s">
        <v>162</v>
      </c>
      <c r="C197" s="223" t="s">
        <v>180</v>
      </c>
      <c r="D197" s="223" t="s">
        <v>147</v>
      </c>
      <c r="E197" s="101">
        <v>15.275</v>
      </c>
      <c r="F197" s="101">
        <v>3887.4248402201829</v>
      </c>
      <c r="G197" s="205">
        <f t="shared" si="54"/>
        <v>59380.414434363294</v>
      </c>
      <c r="H197" s="101">
        <v>15.275</v>
      </c>
      <c r="I197" s="267">
        <v>3359.035398230089</v>
      </c>
      <c r="J197" s="205">
        <f t="shared" si="55"/>
        <v>51309.265707964609</v>
      </c>
      <c r="K197" s="97">
        <f>+人工费!K197</f>
        <v>0</v>
      </c>
      <c r="L197" s="267">
        <f t="shared" si="56"/>
        <v>3887.4248402201829</v>
      </c>
      <c r="M197" s="205">
        <f t="shared" si="57"/>
        <v>0</v>
      </c>
      <c r="N197" s="207"/>
      <c r="O197" s="207"/>
      <c r="P197" s="205">
        <f t="shared" si="58"/>
        <v>0</v>
      </c>
      <c r="Q197" s="207">
        <f>+人工费!Q197</f>
        <v>0</v>
      </c>
      <c r="R197" s="267">
        <v>3887.4248402201829</v>
      </c>
      <c r="S197" s="205">
        <f t="shared" si="59"/>
        <v>0</v>
      </c>
      <c r="T197" s="207"/>
      <c r="U197" s="207"/>
      <c r="V197" s="205">
        <f t="shared" si="60"/>
        <v>0</v>
      </c>
      <c r="W197" s="123"/>
      <c r="X197" s="214"/>
      <c r="Y197" s="214"/>
      <c r="Z197" s="207"/>
      <c r="AA197" s="207"/>
      <c r="AB197" s="205">
        <v>0</v>
      </c>
    </row>
    <row r="198" spans="1:28" s="308" customFormat="1" ht="23.1" hidden="1" customHeight="1" outlineLevel="2">
      <c r="A198" s="223">
        <v>1.2500000000000002</v>
      </c>
      <c r="B198" s="223" t="s">
        <v>164</v>
      </c>
      <c r="C198" s="223" t="s">
        <v>186</v>
      </c>
      <c r="D198" s="223" t="s">
        <v>166</v>
      </c>
      <c r="E198" s="101">
        <v>8270</v>
      </c>
      <c r="F198" s="101">
        <v>2.1530096146788988</v>
      </c>
      <c r="G198" s="205">
        <f t="shared" si="54"/>
        <v>17805.389513394493</v>
      </c>
      <c r="H198" s="101">
        <v>8270</v>
      </c>
      <c r="I198" s="267">
        <v>2</v>
      </c>
      <c r="J198" s="205">
        <f t="shared" si="55"/>
        <v>16540</v>
      </c>
      <c r="K198" s="97">
        <f>+人工费!K198</f>
        <v>0</v>
      </c>
      <c r="L198" s="267">
        <f t="shared" si="56"/>
        <v>2.1530096146788988</v>
      </c>
      <c r="M198" s="205">
        <f t="shared" si="57"/>
        <v>0</v>
      </c>
      <c r="N198" s="207"/>
      <c r="O198" s="207"/>
      <c r="P198" s="205">
        <f t="shared" si="58"/>
        <v>0</v>
      </c>
      <c r="Q198" s="207">
        <f>+人工费!Q198</f>
        <v>3762</v>
      </c>
      <c r="R198" s="267">
        <v>2.1530096146788988</v>
      </c>
      <c r="S198" s="205">
        <f t="shared" si="59"/>
        <v>8099.622170422017</v>
      </c>
      <c r="T198" s="207"/>
      <c r="U198" s="207"/>
      <c r="V198" s="205">
        <f t="shared" si="60"/>
        <v>0</v>
      </c>
      <c r="W198" s="123"/>
      <c r="X198" s="214"/>
      <c r="Y198" s="214"/>
      <c r="Z198" s="207"/>
      <c r="AA198" s="207"/>
      <c r="AB198" s="205">
        <v>0</v>
      </c>
    </row>
    <row r="199" spans="1:28" s="308" customFormat="1" ht="23.1" hidden="1" customHeight="1" outlineLevel="2">
      <c r="A199" s="267">
        <v>1.2600000000000002</v>
      </c>
      <c r="B199" s="223" t="s">
        <v>164</v>
      </c>
      <c r="C199" s="223" t="s">
        <v>187</v>
      </c>
      <c r="D199" s="223" t="s">
        <v>166</v>
      </c>
      <c r="E199" s="101">
        <v>15</v>
      </c>
      <c r="F199" s="101">
        <v>8.3844074862385316</v>
      </c>
      <c r="G199" s="205">
        <f t="shared" si="54"/>
        <v>125.76611229357798</v>
      </c>
      <c r="H199" s="101">
        <v>15</v>
      </c>
      <c r="I199" s="267">
        <v>2</v>
      </c>
      <c r="J199" s="205">
        <f t="shared" si="55"/>
        <v>30</v>
      </c>
      <c r="K199" s="97">
        <f>+人工费!K199</f>
        <v>0</v>
      </c>
      <c r="L199" s="267">
        <f t="shared" si="56"/>
        <v>8.3844074862385316</v>
      </c>
      <c r="M199" s="205">
        <f t="shared" si="57"/>
        <v>0</v>
      </c>
      <c r="N199" s="207"/>
      <c r="O199" s="207"/>
      <c r="P199" s="205">
        <f t="shared" si="58"/>
        <v>0</v>
      </c>
      <c r="Q199" s="207">
        <f>+人工费!Q199</f>
        <v>48</v>
      </c>
      <c r="R199" s="267">
        <v>8.3844074862385316</v>
      </c>
      <c r="S199" s="205">
        <f t="shared" si="59"/>
        <v>402.45155933944955</v>
      </c>
      <c r="T199" s="207"/>
      <c r="U199" s="207"/>
      <c r="V199" s="205">
        <f t="shared" si="60"/>
        <v>0</v>
      </c>
      <c r="W199" s="123"/>
      <c r="X199" s="214"/>
      <c r="Y199" s="214"/>
      <c r="Z199" s="207"/>
      <c r="AA199" s="207"/>
      <c r="AB199" s="205">
        <v>0</v>
      </c>
    </row>
    <row r="200" spans="1:28" s="308" customFormat="1" ht="23.1" hidden="1" customHeight="1" outlineLevel="2">
      <c r="A200" s="223">
        <v>1.2700000000000002</v>
      </c>
      <c r="B200" s="223" t="s">
        <v>164</v>
      </c>
      <c r="C200" s="223" t="s">
        <v>188</v>
      </c>
      <c r="D200" s="223" t="s">
        <v>166</v>
      </c>
      <c r="E200" s="101">
        <v>1</v>
      </c>
      <c r="F200" s="101">
        <v>10.148547522935779</v>
      </c>
      <c r="G200" s="205">
        <f t="shared" si="54"/>
        <v>10.148547522935779</v>
      </c>
      <c r="H200" s="101">
        <v>1</v>
      </c>
      <c r="I200" s="267">
        <v>2</v>
      </c>
      <c r="J200" s="205">
        <f t="shared" si="55"/>
        <v>2</v>
      </c>
      <c r="K200" s="97">
        <f>+人工费!K200</f>
        <v>0</v>
      </c>
      <c r="L200" s="267">
        <f t="shared" si="56"/>
        <v>10.148547522935779</v>
      </c>
      <c r="M200" s="205">
        <f t="shared" si="57"/>
        <v>0</v>
      </c>
      <c r="N200" s="207"/>
      <c r="O200" s="207"/>
      <c r="P200" s="205">
        <f t="shared" si="58"/>
        <v>0</v>
      </c>
      <c r="Q200" s="207">
        <f>+人工费!Q200</f>
        <v>0</v>
      </c>
      <c r="R200" s="267">
        <v>10.148547522935779</v>
      </c>
      <c r="S200" s="205">
        <f t="shared" si="59"/>
        <v>0</v>
      </c>
      <c r="T200" s="207"/>
      <c r="U200" s="207"/>
      <c r="V200" s="205">
        <f t="shared" si="60"/>
        <v>0</v>
      </c>
      <c r="W200" s="123"/>
      <c r="X200" s="214"/>
      <c r="Y200" s="214"/>
      <c r="Z200" s="207"/>
      <c r="AA200" s="207"/>
      <c r="AB200" s="205">
        <v>0</v>
      </c>
    </row>
    <row r="201" spans="1:28" s="308" customFormat="1" ht="23.1" hidden="1" customHeight="1" outlineLevel="1" collapsed="1">
      <c r="A201" s="220">
        <v>2</v>
      </c>
      <c r="B201" s="315" t="s">
        <v>189</v>
      </c>
      <c r="C201" s="274"/>
      <c r="D201" s="315"/>
      <c r="E201" s="101">
        <v>0</v>
      </c>
      <c r="F201" s="101">
        <v>0</v>
      </c>
      <c r="G201" s="222">
        <f>SUM(G202:G221)</f>
        <v>2556464.2918331628</v>
      </c>
      <c r="H201" s="101">
        <v>0</v>
      </c>
      <c r="I201" s="266"/>
      <c r="J201" s="222">
        <f>SUM(J202:J221)</f>
        <v>1767344.5006213591</v>
      </c>
      <c r="K201" s="101">
        <f>SUM(K202:K221)</f>
        <v>451.23509999999999</v>
      </c>
      <c r="L201" s="266"/>
      <c r="M201" s="222">
        <f>SUM(M202:M221)</f>
        <v>255385.26709872778</v>
      </c>
      <c r="N201" s="229"/>
      <c r="O201" s="229"/>
      <c r="P201" s="222">
        <f>SUM(P202:P221)</f>
        <v>0</v>
      </c>
      <c r="Q201" s="101">
        <f>SUM(Q202:Q221)</f>
        <v>2063.5896000000002</v>
      </c>
      <c r="R201" s="266"/>
      <c r="S201" s="222">
        <f>SUM(S202:S221)</f>
        <v>1217151.4556480667</v>
      </c>
      <c r="T201" s="229"/>
      <c r="U201" s="229"/>
      <c r="V201" s="222">
        <f>SUM(V202:V221)</f>
        <v>0</v>
      </c>
      <c r="W201" s="137"/>
      <c r="X201" s="212"/>
      <c r="Y201" s="212"/>
      <c r="Z201" s="229"/>
      <c r="AA201" s="229"/>
      <c r="AB201" s="222">
        <v>0</v>
      </c>
    </row>
    <row r="202" spans="1:28" s="308" customFormat="1" ht="23.1" hidden="1" customHeight="1" outlineLevel="2">
      <c r="A202" s="223">
        <v>2.1</v>
      </c>
      <c r="B202" s="223" t="s">
        <v>106</v>
      </c>
      <c r="C202" s="223" t="s">
        <v>190</v>
      </c>
      <c r="D202" s="223" t="s">
        <v>103</v>
      </c>
      <c r="E202" s="101">
        <v>387.96</v>
      </c>
      <c r="F202" s="101">
        <v>647.44887809174304</v>
      </c>
      <c r="G202" s="205">
        <f t="shared" ref="G202:G221" si="61">+F202*E202</f>
        <v>251184.26674447261</v>
      </c>
      <c r="H202" s="101">
        <v>387.96</v>
      </c>
      <c r="I202" s="267">
        <v>447.05485436893201</v>
      </c>
      <c r="J202" s="205">
        <f t="shared" ref="J202:J221" si="62">+I202*H202</f>
        <v>173439.40130097084</v>
      </c>
      <c r="K202" s="97">
        <f>+人工费!K202</f>
        <v>0</v>
      </c>
      <c r="L202" s="267">
        <f t="shared" ref="L202:L221" si="63">+R202</f>
        <v>647.44887809174304</v>
      </c>
      <c r="M202" s="205">
        <f t="shared" ref="M202:M221" si="64">+L202*K202</f>
        <v>0</v>
      </c>
      <c r="N202" s="207"/>
      <c r="O202" s="207"/>
      <c r="P202" s="205">
        <f t="shared" ref="P202:P221" si="65">+O202*N202</f>
        <v>0</v>
      </c>
      <c r="Q202" s="207">
        <f>+人工费!Q202</f>
        <v>407.8809</v>
      </c>
      <c r="R202" s="267">
        <v>647.44887809174304</v>
      </c>
      <c r="S202" s="205">
        <f t="shared" ref="S202:S221" si="66">+R202*Q202</f>
        <v>264082.03110005043</v>
      </c>
      <c r="T202" s="207"/>
      <c r="U202" s="207"/>
      <c r="V202" s="205">
        <f t="shared" ref="V202:V221" si="67">+U202*T202</f>
        <v>0</v>
      </c>
      <c r="W202" s="123"/>
      <c r="X202" s="214"/>
      <c r="Y202" s="214"/>
      <c r="Z202" s="207"/>
      <c r="AA202" s="207"/>
      <c r="AB202" s="205">
        <v>0</v>
      </c>
    </row>
    <row r="203" spans="1:28" s="308" customFormat="1" ht="23.1" hidden="1" customHeight="1" outlineLevel="2">
      <c r="A203" s="223">
        <v>2.2000000000000002</v>
      </c>
      <c r="B203" s="223" t="s">
        <v>208</v>
      </c>
      <c r="C203" s="223" t="s">
        <v>209</v>
      </c>
      <c r="D203" s="223" t="s">
        <v>103</v>
      </c>
      <c r="E203" s="101">
        <v>387.51</v>
      </c>
      <c r="F203" s="101">
        <v>630.71800161467888</v>
      </c>
      <c r="G203" s="205">
        <f t="shared" si="61"/>
        <v>244409.53280570422</v>
      </c>
      <c r="H203" s="101">
        <v>387.51</v>
      </c>
      <c r="I203" s="267">
        <v>427.72524271844657</v>
      </c>
      <c r="J203" s="205">
        <f t="shared" si="62"/>
        <v>165747.80880582522</v>
      </c>
      <c r="K203" s="97">
        <f>+人工费!K203</f>
        <v>0</v>
      </c>
      <c r="L203" s="267">
        <f t="shared" si="63"/>
        <v>630.71800161467888</v>
      </c>
      <c r="M203" s="205">
        <f t="shared" si="64"/>
        <v>0</v>
      </c>
      <c r="N203" s="207"/>
      <c r="O203" s="207"/>
      <c r="P203" s="205">
        <f t="shared" si="65"/>
        <v>0</v>
      </c>
      <c r="Q203" s="207">
        <f>+人工费!Q203</f>
        <v>416.54919999999998</v>
      </c>
      <c r="R203" s="267">
        <v>630.71800161467888</v>
      </c>
      <c r="S203" s="205">
        <f t="shared" si="66"/>
        <v>262725.0789981932</v>
      </c>
      <c r="T203" s="207"/>
      <c r="U203" s="207"/>
      <c r="V203" s="205">
        <f t="shared" si="67"/>
        <v>0</v>
      </c>
      <c r="W203" s="123"/>
      <c r="X203" s="214"/>
      <c r="Y203" s="214"/>
      <c r="Z203" s="207"/>
      <c r="AA203" s="207"/>
      <c r="AB203" s="205">
        <v>0</v>
      </c>
    </row>
    <row r="204" spans="1:28" s="308" customFormat="1" ht="23.1" hidden="1" customHeight="1" outlineLevel="2">
      <c r="A204" s="223">
        <v>2.3000000000000003</v>
      </c>
      <c r="B204" s="223" t="s">
        <v>210</v>
      </c>
      <c r="C204" s="223" t="s">
        <v>211</v>
      </c>
      <c r="D204" s="223" t="s">
        <v>103</v>
      </c>
      <c r="E204" s="101">
        <v>391.59</v>
      </c>
      <c r="F204" s="101">
        <v>616.11168088073407</v>
      </c>
      <c r="G204" s="205">
        <f t="shared" si="61"/>
        <v>241263.17311608663</v>
      </c>
      <c r="H204" s="101">
        <v>391.59</v>
      </c>
      <c r="I204" s="267">
        <v>417.16747572815535</v>
      </c>
      <c r="J204" s="205">
        <f t="shared" si="62"/>
        <v>163358.61182038835</v>
      </c>
      <c r="K204" s="97">
        <f>+人工费!K204</f>
        <v>167.06620000000001</v>
      </c>
      <c r="L204" s="267">
        <f t="shared" si="63"/>
        <v>616.11168088073407</v>
      </c>
      <c r="M204" s="205">
        <f t="shared" si="64"/>
        <v>102931.43730035691</v>
      </c>
      <c r="N204" s="207"/>
      <c r="O204" s="207"/>
      <c r="P204" s="205">
        <f t="shared" si="65"/>
        <v>0</v>
      </c>
      <c r="Q204" s="207">
        <f>+人工费!Q204</f>
        <v>417.7713</v>
      </c>
      <c r="R204" s="267">
        <v>616.11168088073407</v>
      </c>
      <c r="S204" s="205">
        <f t="shared" si="66"/>
        <v>257393.77786672942</v>
      </c>
      <c r="T204" s="207"/>
      <c r="U204" s="207"/>
      <c r="V204" s="205">
        <f t="shared" si="67"/>
        <v>0</v>
      </c>
      <c r="W204" s="123"/>
      <c r="X204" s="214"/>
      <c r="Y204" s="214"/>
      <c r="Z204" s="207"/>
      <c r="AA204" s="207"/>
      <c r="AB204" s="205">
        <v>0</v>
      </c>
    </row>
    <row r="205" spans="1:28" s="308" customFormat="1" ht="23.1" hidden="1" customHeight="1" outlineLevel="2">
      <c r="A205" s="223">
        <v>2.4000000000000004</v>
      </c>
      <c r="B205" s="223" t="s">
        <v>212</v>
      </c>
      <c r="C205" s="223" t="s">
        <v>213</v>
      </c>
      <c r="D205" s="223" t="s">
        <v>103</v>
      </c>
      <c r="E205" s="101">
        <v>415.31</v>
      </c>
      <c r="F205" s="101">
        <v>571.88487985321103</v>
      </c>
      <c r="G205" s="205">
        <f t="shared" si="61"/>
        <v>237509.50945183708</v>
      </c>
      <c r="H205" s="101">
        <v>415.31</v>
      </c>
      <c r="I205" s="267">
        <v>399.75</v>
      </c>
      <c r="J205" s="205">
        <f t="shared" si="62"/>
        <v>166020.17250000002</v>
      </c>
      <c r="K205" s="97">
        <f>+人工费!K205</f>
        <v>83.603399999999993</v>
      </c>
      <c r="L205" s="267">
        <f t="shared" si="63"/>
        <v>571.88487985321103</v>
      </c>
      <c r="M205" s="205">
        <f t="shared" si="64"/>
        <v>47811.520364319942</v>
      </c>
      <c r="N205" s="207"/>
      <c r="O205" s="207"/>
      <c r="P205" s="205">
        <f t="shared" si="65"/>
        <v>0</v>
      </c>
      <c r="Q205" s="207">
        <f>+人工费!Q205</f>
        <v>83.603399999999993</v>
      </c>
      <c r="R205" s="267">
        <v>571.88487985321103</v>
      </c>
      <c r="S205" s="205">
        <f t="shared" si="66"/>
        <v>47811.520364319942</v>
      </c>
      <c r="T205" s="207"/>
      <c r="U205" s="207"/>
      <c r="V205" s="205">
        <f t="shared" si="67"/>
        <v>0</v>
      </c>
      <c r="W205" s="123"/>
      <c r="X205" s="214"/>
      <c r="Y205" s="214"/>
      <c r="Z205" s="207"/>
      <c r="AA205" s="207"/>
      <c r="AB205" s="205">
        <v>0</v>
      </c>
    </row>
    <row r="206" spans="1:28" s="308" customFormat="1" ht="23.1" hidden="1" customHeight="1" outlineLevel="2">
      <c r="A206" s="223">
        <v>2.5000000000000004</v>
      </c>
      <c r="B206" s="223" t="s">
        <v>108</v>
      </c>
      <c r="C206" s="223" t="s">
        <v>214</v>
      </c>
      <c r="D206" s="223" t="s">
        <v>103</v>
      </c>
      <c r="E206" s="101">
        <v>300.61</v>
      </c>
      <c r="F206" s="101">
        <v>564.53429636697251</v>
      </c>
      <c r="G206" s="205">
        <f t="shared" si="61"/>
        <v>169704.6548308756</v>
      </c>
      <c r="H206" s="101">
        <v>300.61</v>
      </c>
      <c r="I206" s="267">
        <v>388.7063106796117</v>
      </c>
      <c r="J206" s="205">
        <f t="shared" si="62"/>
        <v>116849.00405339808</v>
      </c>
      <c r="K206" s="97">
        <f>+人工费!K206</f>
        <v>0</v>
      </c>
      <c r="L206" s="267">
        <f t="shared" si="63"/>
        <v>564.53429636697251</v>
      </c>
      <c r="M206" s="205">
        <f t="shared" si="64"/>
        <v>0</v>
      </c>
      <c r="N206" s="207"/>
      <c r="O206" s="207"/>
      <c r="P206" s="205">
        <f t="shared" si="65"/>
        <v>0</v>
      </c>
      <c r="Q206" s="207">
        <f>+人工费!Q206</f>
        <v>0</v>
      </c>
      <c r="R206" s="267">
        <v>564.53429636697251</v>
      </c>
      <c r="S206" s="205">
        <f t="shared" si="66"/>
        <v>0</v>
      </c>
      <c r="T206" s="207"/>
      <c r="U206" s="207"/>
      <c r="V206" s="205">
        <f t="shared" si="67"/>
        <v>0</v>
      </c>
      <c r="W206" s="123"/>
      <c r="X206" s="214"/>
      <c r="Y206" s="214"/>
      <c r="Z206" s="207"/>
      <c r="AA206" s="207"/>
      <c r="AB206" s="205">
        <v>0</v>
      </c>
    </row>
    <row r="207" spans="1:28" s="308" customFormat="1" ht="23.1" hidden="1" customHeight="1" outlineLevel="2">
      <c r="A207" s="223">
        <v>2.6000000000000005</v>
      </c>
      <c r="B207" s="223" t="s">
        <v>215</v>
      </c>
      <c r="C207" s="223" t="s">
        <v>216</v>
      </c>
      <c r="D207" s="223" t="s">
        <v>103</v>
      </c>
      <c r="E207" s="101">
        <v>374.97</v>
      </c>
      <c r="F207" s="101">
        <v>545.5840179082569</v>
      </c>
      <c r="G207" s="205">
        <f t="shared" si="61"/>
        <v>204577.63919505911</v>
      </c>
      <c r="H207" s="101">
        <v>374.97</v>
      </c>
      <c r="I207" s="267">
        <v>381.06407766990293</v>
      </c>
      <c r="J207" s="205">
        <f t="shared" si="62"/>
        <v>142887.59720388352</v>
      </c>
      <c r="K207" s="97">
        <f>+人工费!K207</f>
        <v>0</v>
      </c>
      <c r="L207" s="267">
        <f t="shared" si="63"/>
        <v>545.5840179082569</v>
      </c>
      <c r="M207" s="205">
        <f t="shared" si="64"/>
        <v>0</v>
      </c>
      <c r="N207" s="207"/>
      <c r="O207" s="207"/>
      <c r="P207" s="205">
        <f t="shared" si="65"/>
        <v>0</v>
      </c>
      <c r="Q207" s="207">
        <f>+人工费!Q207</f>
        <v>0</v>
      </c>
      <c r="R207" s="267">
        <v>545.5840179082569</v>
      </c>
      <c r="S207" s="205">
        <f t="shared" si="66"/>
        <v>0</v>
      </c>
      <c r="T207" s="207"/>
      <c r="U207" s="207"/>
      <c r="V207" s="205">
        <f t="shared" si="67"/>
        <v>0</v>
      </c>
      <c r="W207" s="123"/>
      <c r="X207" s="214"/>
      <c r="Y207" s="214"/>
      <c r="Z207" s="207"/>
      <c r="AA207" s="207"/>
      <c r="AB207" s="205">
        <v>0</v>
      </c>
    </row>
    <row r="208" spans="1:28" s="308" customFormat="1" ht="23.1" hidden="1" customHeight="1" outlineLevel="2">
      <c r="A208" s="223">
        <v>2.7000000000000006</v>
      </c>
      <c r="B208" s="223" t="s">
        <v>217</v>
      </c>
      <c r="C208" s="223" t="s">
        <v>192</v>
      </c>
      <c r="D208" s="223" t="s">
        <v>103</v>
      </c>
      <c r="E208" s="101">
        <v>339.66</v>
      </c>
      <c r="F208" s="101">
        <v>521.5784349357798</v>
      </c>
      <c r="G208" s="205">
        <f t="shared" si="61"/>
        <v>177159.33121028697</v>
      </c>
      <c r="H208" s="101">
        <v>339.66</v>
      </c>
      <c r="I208" s="267">
        <v>361.86067961165048</v>
      </c>
      <c r="J208" s="205">
        <f t="shared" si="62"/>
        <v>122909.59843689321</v>
      </c>
      <c r="K208" s="97">
        <f>+人工费!K208</f>
        <v>0</v>
      </c>
      <c r="L208" s="267">
        <f t="shared" si="63"/>
        <v>521.5784349357798</v>
      </c>
      <c r="M208" s="205">
        <f t="shared" si="64"/>
        <v>0</v>
      </c>
      <c r="N208" s="207"/>
      <c r="O208" s="207"/>
      <c r="P208" s="205">
        <f t="shared" si="65"/>
        <v>0</v>
      </c>
      <c r="Q208" s="207">
        <f>+人工费!Q208</f>
        <v>0</v>
      </c>
      <c r="R208" s="267">
        <v>521.5784349357798</v>
      </c>
      <c r="S208" s="205">
        <f t="shared" si="66"/>
        <v>0</v>
      </c>
      <c r="T208" s="207"/>
      <c r="U208" s="207"/>
      <c r="V208" s="205">
        <f t="shared" si="67"/>
        <v>0</v>
      </c>
      <c r="W208" s="123"/>
      <c r="X208" s="214"/>
      <c r="Y208" s="214"/>
      <c r="Z208" s="207"/>
      <c r="AA208" s="207"/>
      <c r="AB208" s="205">
        <v>0</v>
      </c>
    </row>
    <row r="209" spans="1:28" s="308" customFormat="1" ht="23.1" hidden="1" customHeight="1" outlineLevel="2">
      <c r="A209" s="223">
        <v>2.8000000000000007</v>
      </c>
      <c r="B209" s="223" t="s">
        <v>191</v>
      </c>
      <c r="C209" s="331" t="s">
        <v>192</v>
      </c>
      <c r="D209" s="223" t="s">
        <v>103</v>
      </c>
      <c r="E209" s="101">
        <v>1567.3</v>
      </c>
      <c r="F209" s="101">
        <v>521.5784349357798</v>
      </c>
      <c r="G209" s="205">
        <f t="shared" si="61"/>
        <v>817469.88107484765</v>
      </c>
      <c r="H209" s="101">
        <v>1567.3</v>
      </c>
      <c r="I209" s="267">
        <v>361.86067961165048</v>
      </c>
      <c r="J209" s="205">
        <f t="shared" si="62"/>
        <v>567144.24315533973</v>
      </c>
      <c r="K209" s="97">
        <f>+人工费!K209</f>
        <v>199.20150000000001</v>
      </c>
      <c r="L209" s="267">
        <f t="shared" si="63"/>
        <v>521.5784349357798</v>
      </c>
      <c r="M209" s="205">
        <f t="shared" si="64"/>
        <v>103899.20660685975</v>
      </c>
      <c r="N209" s="207"/>
      <c r="O209" s="207"/>
      <c r="P209" s="205">
        <f t="shared" si="65"/>
        <v>0</v>
      </c>
      <c r="Q209" s="207">
        <f>+人工费!Q209</f>
        <v>723.72670000000005</v>
      </c>
      <c r="R209" s="267">
        <v>521.5784349357798</v>
      </c>
      <c r="S209" s="205">
        <f t="shared" si="66"/>
        <v>377480.23950723663</v>
      </c>
      <c r="T209" s="207"/>
      <c r="U209" s="207"/>
      <c r="V209" s="205">
        <f t="shared" si="67"/>
        <v>0</v>
      </c>
      <c r="W209" s="123"/>
      <c r="X209" s="214"/>
      <c r="Y209" s="214"/>
      <c r="Z209" s="207"/>
      <c r="AA209" s="207"/>
      <c r="AB209" s="205">
        <v>0</v>
      </c>
    </row>
    <row r="210" spans="1:28" s="308" customFormat="1" ht="23.1" hidden="1" customHeight="1" outlineLevel="2">
      <c r="A210" s="223">
        <v>2.9000000000000008</v>
      </c>
      <c r="B210" s="223" t="s">
        <v>193</v>
      </c>
      <c r="C210" s="331" t="s">
        <v>194</v>
      </c>
      <c r="D210" s="223" t="s">
        <v>103</v>
      </c>
      <c r="E210" s="101">
        <v>107.13</v>
      </c>
      <c r="F210" s="101">
        <v>528.07540227522929</v>
      </c>
      <c r="G210" s="205">
        <f t="shared" si="61"/>
        <v>56572.717845745312</v>
      </c>
      <c r="H210" s="101">
        <v>107.13</v>
      </c>
      <c r="I210" s="267">
        <v>366.90922330097089</v>
      </c>
      <c r="J210" s="205">
        <f t="shared" si="62"/>
        <v>39306.985092233008</v>
      </c>
      <c r="K210" s="97">
        <f>+人工费!K210</f>
        <v>0</v>
      </c>
      <c r="L210" s="267">
        <f t="shared" si="63"/>
        <v>528.07540227522929</v>
      </c>
      <c r="M210" s="205">
        <f t="shared" si="64"/>
        <v>0</v>
      </c>
      <c r="N210" s="207"/>
      <c r="O210" s="207"/>
      <c r="P210" s="205">
        <f t="shared" si="65"/>
        <v>0</v>
      </c>
      <c r="Q210" s="207">
        <f>+人工费!Q210</f>
        <v>0</v>
      </c>
      <c r="R210" s="267">
        <v>528.07540227522929</v>
      </c>
      <c r="S210" s="205">
        <f t="shared" si="66"/>
        <v>0</v>
      </c>
      <c r="T210" s="207"/>
      <c r="U210" s="207"/>
      <c r="V210" s="205">
        <f t="shared" si="67"/>
        <v>0</v>
      </c>
      <c r="W210" s="123"/>
      <c r="X210" s="214"/>
      <c r="Y210" s="214"/>
      <c r="Z210" s="207"/>
      <c r="AA210" s="207"/>
      <c r="AB210" s="205">
        <v>0</v>
      </c>
    </row>
    <row r="211" spans="1:28" s="308" customFormat="1" ht="23.1" hidden="1" customHeight="1" outlineLevel="2">
      <c r="A211" s="267">
        <v>2.1</v>
      </c>
      <c r="B211" s="223" t="s">
        <v>219</v>
      </c>
      <c r="C211" s="331" t="s">
        <v>216</v>
      </c>
      <c r="D211" s="223" t="s">
        <v>103</v>
      </c>
      <c r="E211" s="101">
        <v>17</v>
      </c>
      <c r="F211" s="101">
        <v>544.7967941284403</v>
      </c>
      <c r="G211" s="205">
        <f t="shared" si="61"/>
        <v>9261.5455001834853</v>
      </c>
      <c r="H211" s="101">
        <v>17</v>
      </c>
      <c r="I211" s="267">
        <v>381.06407766990293</v>
      </c>
      <c r="J211" s="205">
        <f t="shared" si="62"/>
        <v>6478.0893203883497</v>
      </c>
      <c r="K211" s="97">
        <f>+人工费!K211</f>
        <v>1.363999999999999</v>
      </c>
      <c r="L211" s="267">
        <f t="shared" si="63"/>
        <v>544.7967941284403</v>
      </c>
      <c r="M211" s="205">
        <f t="shared" si="64"/>
        <v>743.10282719119198</v>
      </c>
      <c r="N211" s="207"/>
      <c r="O211" s="207"/>
      <c r="P211" s="205">
        <f t="shared" si="65"/>
        <v>0</v>
      </c>
      <c r="Q211" s="207">
        <f>+人工费!Q211</f>
        <v>14.0581</v>
      </c>
      <c r="R211" s="267">
        <v>544.7967941284403</v>
      </c>
      <c r="S211" s="205">
        <f t="shared" si="66"/>
        <v>7658.8078115370263</v>
      </c>
      <c r="T211" s="207"/>
      <c r="U211" s="207"/>
      <c r="V211" s="205">
        <f t="shared" si="67"/>
        <v>0</v>
      </c>
      <c r="W211" s="123"/>
      <c r="X211" s="214"/>
      <c r="Y211" s="214"/>
      <c r="Z211" s="207"/>
      <c r="AA211" s="207"/>
      <c r="AB211" s="205">
        <v>0</v>
      </c>
    </row>
    <row r="212" spans="1:28" s="308" customFormat="1" ht="23.1" hidden="1" customHeight="1" outlineLevel="2">
      <c r="A212" s="223">
        <v>2.11</v>
      </c>
      <c r="B212" s="223" t="s">
        <v>235</v>
      </c>
      <c r="C212" s="331" t="s">
        <v>221</v>
      </c>
      <c r="D212" s="223" t="s">
        <v>103</v>
      </c>
      <c r="E212" s="101">
        <v>4</v>
      </c>
      <c r="F212" s="101">
        <v>551.29376146788991</v>
      </c>
      <c r="G212" s="205">
        <f t="shared" si="61"/>
        <v>2205.1750458715596</v>
      </c>
      <c r="H212" s="101">
        <v>4</v>
      </c>
      <c r="I212" s="267">
        <v>386.11262135922334</v>
      </c>
      <c r="J212" s="205">
        <f t="shared" si="62"/>
        <v>1544.4504854368934</v>
      </c>
      <c r="K212" s="97">
        <f>+人工费!K212</f>
        <v>0</v>
      </c>
      <c r="L212" s="267">
        <f t="shared" si="63"/>
        <v>551.29376146788991</v>
      </c>
      <c r="M212" s="205">
        <f t="shared" si="64"/>
        <v>0</v>
      </c>
      <c r="N212" s="207"/>
      <c r="O212" s="207"/>
      <c r="P212" s="205">
        <f t="shared" si="65"/>
        <v>0</v>
      </c>
      <c r="Q212" s="207">
        <f>+人工费!Q212</f>
        <v>0</v>
      </c>
      <c r="R212" s="267">
        <v>551.29376146788991</v>
      </c>
      <c r="S212" s="205">
        <f t="shared" si="66"/>
        <v>0</v>
      </c>
      <c r="T212" s="207"/>
      <c r="U212" s="207"/>
      <c r="V212" s="205">
        <f t="shared" si="67"/>
        <v>0</v>
      </c>
      <c r="W212" s="123"/>
      <c r="X212" s="214"/>
      <c r="Y212" s="214"/>
      <c r="Z212" s="207"/>
      <c r="AA212" s="207"/>
      <c r="AB212" s="205">
        <v>0</v>
      </c>
    </row>
    <row r="213" spans="1:28" s="308" customFormat="1" ht="23.1" hidden="1" customHeight="1" outlineLevel="2">
      <c r="A213" s="267">
        <v>2.1199999999999997</v>
      </c>
      <c r="B213" s="223" t="s">
        <v>195</v>
      </c>
      <c r="C213" s="331" t="s">
        <v>192</v>
      </c>
      <c r="D213" s="223" t="s">
        <v>103</v>
      </c>
      <c r="E213" s="101">
        <v>6.35</v>
      </c>
      <c r="F213" s="101">
        <v>521.5784349357798</v>
      </c>
      <c r="G213" s="205">
        <f t="shared" si="61"/>
        <v>3312.0230618422015</v>
      </c>
      <c r="H213" s="101">
        <v>6.35</v>
      </c>
      <c r="I213" s="267">
        <v>361.86067961165048</v>
      </c>
      <c r="J213" s="205">
        <f t="shared" si="62"/>
        <v>2297.8153155339805</v>
      </c>
      <c r="K213" s="97">
        <f>+人工费!K213</f>
        <v>0</v>
      </c>
      <c r="L213" s="267">
        <f t="shared" si="63"/>
        <v>521.5784349357798</v>
      </c>
      <c r="M213" s="205">
        <f t="shared" si="64"/>
        <v>0</v>
      </c>
      <c r="N213" s="207"/>
      <c r="O213" s="207"/>
      <c r="P213" s="205">
        <f t="shared" si="65"/>
        <v>0</v>
      </c>
      <c r="Q213" s="207">
        <f>+人工费!Q213</f>
        <v>0</v>
      </c>
      <c r="R213" s="267">
        <v>521.5784349357798</v>
      </c>
      <c r="S213" s="205">
        <f t="shared" si="66"/>
        <v>0</v>
      </c>
      <c r="T213" s="207"/>
      <c r="U213" s="207"/>
      <c r="V213" s="205">
        <f t="shared" si="67"/>
        <v>0</v>
      </c>
      <c r="W213" s="123"/>
      <c r="X213" s="214"/>
      <c r="Y213" s="214"/>
      <c r="Z213" s="207"/>
      <c r="AA213" s="207"/>
      <c r="AB213" s="205">
        <v>0</v>
      </c>
    </row>
    <row r="214" spans="1:28" s="308" customFormat="1" ht="23.1" hidden="1" customHeight="1" outlineLevel="2">
      <c r="A214" s="223">
        <v>2.1299999999999994</v>
      </c>
      <c r="B214" s="223" t="s">
        <v>132</v>
      </c>
      <c r="C214" s="331" t="s">
        <v>196</v>
      </c>
      <c r="D214" s="223" t="s">
        <v>103</v>
      </c>
      <c r="E214" s="101">
        <v>192.9</v>
      </c>
      <c r="F214" s="101">
        <v>475.57800924770646</v>
      </c>
      <c r="G214" s="205">
        <f t="shared" si="61"/>
        <v>91738.997983882582</v>
      </c>
      <c r="H214" s="101">
        <v>192.9</v>
      </c>
      <c r="I214" s="267">
        <v>332.50970873786406</v>
      </c>
      <c r="J214" s="205">
        <f t="shared" si="62"/>
        <v>64141.122815533978</v>
      </c>
      <c r="K214" s="97">
        <f>+人工费!K214</f>
        <v>0</v>
      </c>
      <c r="L214" s="267">
        <f t="shared" si="63"/>
        <v>475.57800924770646</v>
      </c>
      <c r="M214" s="205">
        <f t="shared" si="64"/>
        <v>0</v>
      </c>
      <c r="N214" s="207"/>
      <c r="O214" s="207"/>
      <c r="P214" s="205">
        <f t="shared" si="65"/>
        <v>0</v>
      </c>
      <c r="Q214" s="207">
        <f>+人工费!Q214</f>
        <v>0</v>
      </c>
      <c r="R214" s="267">
        <v>475.57800924770646</v>
      </c>
      <c r="S214" s="205">
        <f t="shared" si="66"/>
        <v>0</v>
      </c>
      <c r="T214" s="207"/>
      <c r="U214" s="207"/>
      <c r="V214" s="205">
        <f t="shared" si="67"/>
        <v>0</v>
      </c>
      <c r="W214" s="123"/>
      <c r="X214" s="214"/>
      <c r="Y214" s="214"/>
      <c r="Z214" s="207"/>
      <c r="AA214" s="207"/>
      <c r="AB214" s="205">
        <v>0</v>
      </c>
    </row>
    <row r="215" spans="1:28" s="308" customFormat="1" ht="23.1" hidden="1" customHeight="1" outlineLevel="2">
      <c r="A215" s="267">
        <v>2.1399999999999992</v>
      </c>
      <c r="B215" s="223" t="s">
        <v>134</v>
      </c>
      <c r="C215" s="331" t="s">
        <v>196</v>
      </c>
      <c r="D215" s="223" t="s">
        <v>103</v>
      </c>
      <c r="E215" s="101">
        <v>3.33</v>
      </c>
      <c r="F215" s="101">
        <v>474.67696998165138</v>
      </c>
      <c r="G215" s="205">
        <f t="shared" si="61"/>
        <v>1580.6743100388992</v>
      </c>
      <c r="H215" s="101">
        <v>3.33</v>
      </c>
      <c r="I215" s="267">
        <v>332.50970873786406</v>
      </c>
      <c r="J215" s="205">
        <f t="shared" si="62"/>
        <v>1107.2573300970873</v>
      </c>
      <c r="K215" s="97">
        <f>+人工费!K215</f>
        <v>0</v>
      </c>
      <c r="L215" s="267">
        <f t="shared" si="63"/>
        <v>474.67696998165138</v>
      </c>
      <c r="M215" s="205">
        <f t="shared" si="64"/>
        <v>0</v>
      </c>
      <c r="N215" s="207"/>
      <c r="O215" s="207"/>
      <c r="P215" s="205">
        <f t="shared" si="65"/>
        <v>0</v>
      </c>
      <c r="Q215" s="207">
        <f>+人工费!Q215</f>
        <v>0</v>
      </c>
      <c r="R215" s="267">
        <v>474.67696998165138</v>
      </c>
      <c r="S215" s="205">
        <f t="shared" si="66"/>
        <v>0</v>
      </c>
      <c r="T215" s="207"/>
      <c r="U215" s="207"/>
      <c r="V215" s="205">
        <f t="shared" si="67"/>
        <v>0</v>
      </c>
      <c r="W215" s="123"/>
      <c r="X215" s="214"/>
      <c r="Y215" s="214"/>
      <c r="Z215" s="207"/>
      <c r="AA215" s="207"/>
      <c r="AB215" s="205">
        <v>0</v>
      </c>
    </row>
    <row r="216" spans="1:28" s="308" customFormat="1" ht="23.1" hidden="1" customHeight="1" outlineLevel="2">
      <c r="A216" s="223">
        <v>2.149999999999999</v>
      </c>
      <c r="B216" s="223" t="s">
        <v>135</v>
      </c>
      <c r="C216" s="331" t="s">
        <v>197</v>
      </c>
      <c r="D216" s="223" t="s">
        <v>103</v>
      </c>
      <c r="E216" s="101">
        <v>22</v>
      </c>
      <c r="F216" s="101">
        <v>493.94972565137613</v>
      </c>
      <c r="G216" s="205">
        <f t="shared" si="61"/>
        <v>10866.893964330275</v>
      </c>
      <c r="H216" s="101">
        <v>22</v>
      </c>
      <c r="I216" s="267">
        <v>346.75291262135926</v>
      </c>
      <c r="J216" s="205">
        <f t="shared" si="62"/>
        <v>7628.5640776699038</v>
      </c>
      <c r="K216" s="97">
        <f>+人工费!K216</f>
        <v>0</v>
      </c>
      <c r="L216" s="267">
        <f t="shared" si="63"/>
        <v>493.94972565137613</v>
      </c>
      <c r="M216" s="205">
        <f t="shared" si="64"/>
        <v>0</v>
      </c>
      <c r="N216" s="207"/>
      <c r="O216" s="207"/>
      <c r="P216" s="205">
        <f t="shared" si="65"/>
        <v>0</v>
      </c>
      <c r="Q216" s="207">
        <f>+人工费!Q216</f>
        <v>0</v>
      </c>
      <c r="R216" s="267">
        <v>493.94972565137613</v>
      </c>
      <c r="S216" s="205">
        <f t="shared" si="66"/>
        <v>0</v>
      </c>
      <c r="T216" s="207"/>
      <c r="U216" s="207"/>
      <c r="V216" s="205">
        <f t="shared" si="67"/>
        <v>0</v>
      </c>
      <c r="W216" s="123"/>
      <c r="X216" s="214"/>
      <c r="Y216" s="214"/>
      <c r="Z216" s="207"/>
      <c r="AA216" s="207"/>
      <c r="AB216" s="205">
        <v>0</v>
      </c>
    </row>
    <row r="217" spans="1:28" s="308" customFormat="1" ht="23.1" hidden="1" customHeight="1" outlineLevel="2">
      <c r="A217" s="267">
        <v>2.1599999999999988</v>
      </c>
      <c r="B217" s="223" t="s">
        <v>137</v>
      </c>
      <c r="C217" s="331" t="s">
        <v>196</v>
      </c>
      <c r="D217" s="223" t="s">
        <v>103</v>
      </c>
      <c r="E217" s="101">
        <v>2</v>
      </c>
      <c r="F217" s="101">
        <v>474.32603889908256</v>
      </c>
      <c r="G217" s="205">
        <f t="shared" si="61"/>
        <v>948.65207779816512</v>
      </c>
      <c r="H217" s="101">
        <v>2</v>
      </c>
      <c r="I217" s="267">
        <v>332.50970873786406</v>
      </c>
      <c r="J217" s="205">
        <f t="shared" si="62"/>
        <v>665.01941747572812</v>
      </c>
      <c r="K217" s="97">
        <f>+人工费!K217</f>
        <v>0</v>
      </c>
      <c r="L217" s="267">
        <f t="shared" si="63"/>
        <v>474.32603889908256</v>
      </c>
      <c r="M217" s="205">
        <f t="shared" si="64"/>
        <v>0</v>
      </c>
      <c r="N217" s="207"/>
      <c r="O217" s="207"/>
      <c r="P217" s="205">
        <f t="shared" si="65"/>
        <v>0</v>
      </c>
      <c r="Q217" s="207">
        <f>+人工费!Q217</f>
        <v>0</v>
      </c>
      <c r="R217" s="267">
        <v>474.32603889908256</v>
      </c>
      <c r="S217" s="205">
        <f t="shared" si="66"/>
        <v>0</v>
      </c>
      <c r="T217" s="207"/>
      <c r="U217" s="207"/>
      <c r="V217" s="205">
        <f t="shared" si="67"/>
        <v>0</v>
      </c>
      <c r="W217" s="123"/>
      <c r="X217" s="214"/>
      <c r="Y217" s="214"/>
      <c r="Z217" s="207"/>
      <c r="AA217" s="207"/>
      <c r="AB217" s="205">
        <v>0</v>
      </c>
    </row>
    <row r="218" spans="1:28" s="308" customFormat="1" ht="23.1" hidden="1" customHeight="1" outlineLevel="2">
      <c r="A218" s="223">
        <v>2.1699999999999986</v>
      </c>
      <c r="B218" s="223" t="s">
        <v>198</v>
      </c>
      <c r="C218" s="331" t="s">
        <v>199</v>
      </c>
      <c r="D218" s="223" t="s">
        <v>103</v>
      </c>
      <c r="E218" s="101">
        <v>1.5</v>
      </c>
      <c r="F218" s="101">
        <v>515.03404447706419</v>
      </c>
      <c r="G218" s="205">
        <f t="shared" si="61"/>
        <v>772.55106671559633</v>
      </c>
      <c r="H218" s="101">
        <v>1.5</v>
      </c>
      <c r="I218" s="267">
        <v>361.86067961165048</v>
      </c>
      <c r="J218" s="205">
        <f t="shared" si="62"/>
        <v>542.7910194174757</v>
      </c>
      <c r="K218" s="97">
        <f>+人工费!K218</f>
        <v>0</v>
      </c>
      <c r="L218" s="267">
        <f t="shared" si="63"/>
        <v>515.03404447706419</v>
      </c>
      <c r="M218" s="205">
        <f t="shared" si="64"/>
        <v>0</v>
      </c>
      <c r="N218" s="207"/>
      <c r="O218" s="207"/>
      <c r="P218" s="205">
        <f t="shared" si="65"/>
        <v>0</v>
      </c>
      <c r="Q218" s="207">
        <f>+人工费!Q218</f>
        <v>0</v>
      </c>
      <c r="R218" s="267">
        <v>515.03404447706419</v>
      </c>
      <c r="S218" s="205">
        <f t="shared" si="66"/>
        <v>0</v>
      </c>
      <c r="T218" s="207"/>
      <c r="U218" s="207"/>
      <c r="V218" s="205">
        <f t="shared" si="67"/>
        <v>0</v>
      </c>
      <c r="W218" s="123"/>
      <c r="X218" s="214"/>
      <c r="Y218" s="214"/>
      <c r="Z218" s="207"/>
      <c r="AA218" s="207"/>
      <c r="AB218" s="205">
        <v>0</v>
      </c>
    </row>
    <row r="219" spans="1:28" s="308" customFormat="1" ht="23.1" hidden="1" customHeight="1" outlineLevel="2">
      <c r="A219" s="267">
        <v>2.1799999999999984</v>
      </c>
      <c r="B219" s="223" t="s">
        <v>200</v>
      </c>
      <c r="C219" s="331" t="s">
        <v>199</v>
      </c>
      <c r="D219" s="223" t="s">
        <v>103</v>
      </c>
      <c r="E219" s="101">
        <v>50.97</v>
      </c>
      <c r="F219" s="101">
        <v>514.16145908256885</v>
      </c>
      <c r="G219" s="205">
        <f t="shared" si="61"/>
        <v>26206.809569438534</v>
      </c>
      <c r="H219" s="101">
        <v>50.97</v>
      </c>
      <c r="I219" s="267">
        <v>361.86067961165048</v>
      </c>
      <c r="J219" s="205">
        <f t="shared" si="62"/>
        <v>18444.038839805824</v>
      </c>
      <c r="K219" s="97">
        <f>+人工费!K219</f>
        <v>0</v>
      </c>
      <c r="L219" s="267">
        <f t="shared" si="63"/>
        <v>514.16145908256885</v>
      </c>
      <c r="M219" s="205">
        <f t="shared" si="64"/>
        <v>0</v>
      </c>
      <c r="N219" s="207"/>
      <c r="O219" s="207"/>
      <c r="P219" s="205">
        <f t="shared" si="65"/>
        <v>0</v>
      </c>
      <c r="Q219" s="207">
        <f>+人工费!Q219</f>
        <v>0</v>
      </c>
      <c r="R219" s="267">
        <v>514.16145908256885</v>
      </c>
      <c r="S219" s="205">
        <f t="shared" si="66"/>
        <v>0</v>
      </c>
      <c r="T219" s="207"/>
      <c r="U219" s="207"/>
      <c r="V219" s="205">
        <f t="shared" si="67"/>
        <v>0</v>
      </c>
      <c r="W219" s="123"/>
      <c r="X219" s="214"/>
      <c r="Y219" s="214"/>
      <c r="Z219" s="207"/>
      <c r="AA219" s="207"/>
      <c r="AB219" s="205">
        <v>0</v>
      </c>
    </row>
    <row r="220" spans="1:28" s="308" customFormat="1" ht="23.1" hidden="1" customHeight="1" outlineLevel="2">
      <c r="A220" s="223">
        <v>2.1899999999999982</v>
      </c>
      <c r="B220" s="223" t="s">
        <v>201</v>
      </c>
      <c r="C220" s="331" t="s">
        <v>199</v>
      </c>
      <c r="D220" s="223" t="s">
        <v>103</v>
      </c>
      <c r="E220" s="101">
        <v>9.89</v>
      </c>
      <c r="F220" s="101">
        <v>516.45673805504578</v>
      </c>
      <c r="G220" s="205">
        <f t="shared" si="61"/>
        <v>5107.757139364403</v>
      </c>
      <c r="H220" s="101">
        <v>9.89</v>
      </c>
      <c r="I220" s="267">
        <v>361.86067961165048</v>
      </c>
      <c r="J220" s="205">
        <f t="shared" si="62"/>
        <v>3578.8021213592233</v>
      </c>
      <c r="K220" s="97">
        <f>+人工费!K220</f>
        <v>0</v>
      </c>
      <c r="L220" s="267">
        <f t="shared" si="63"/>
        <v>516.45673805504578</v>
      </c>
      <c r="M220" s="205">
        <f t="shared" si="64"/>
        <v>0</v>
      </c>
      <c r="N220" s="207"/>
      <c r="O220" s="207"/>
      <c r="P220" s="205">
        <f t="shared" si="65"/>
        <v>0</v>
      </c>
      <c r="Q220" s="207">
        <f>+人工费!Q220</f>
        <v>0</v>
      </c>
      <c r="R220" s="267">
        <v>516.45673805504578</v>
      </c>
      <c r="S220" s="205">
        <f t="shared" si="66"/>
        <v>0</v>
      </c>
      <c r="T220" s="207"/>
      <c r="U220" s="207"/>
      <c r="V220" s="205">
        <f t="shared" si="67"/>
        <v>0</v>
      </c>
      <c r="W220" s="123"/>
      <c r="X220" s="214"/>
      <c r="Y220" s="214"/>
      <c r="Z220" s="207"/>
      <c r="AA220" s="207"/>
      <c r="AB220" s="205">
        <v>0</v>
      </c>
    </row>
    <row r="221" spans="1:28" s="308" customFormat="1" ht="23.1" hidden="1" customHeight="1" outlineLevel="2">
      <c r="A221" s="267">
        <v>2.199999999999998</v>
      </c>
      <c r="B221" s="223" t="s">
        <v>202</v>
      </c>
      <c r="C221" s="331" t="s">
        <v>199</v>
      </c>
      <c r="D221" s="223" t="s">
        <v>103</v>
      </c>
      <c r="E221" s="101">
        <v>8.99</v>
      </c>
      <c r="F221" s="101">
        <v>513.0707273394496</v>
      </c>
      <c r="G221" s="205">
        <f t="shared" si="61"/>
        <v>4612.5058387816516</v>
      </c>
      <c r="H221" s="101">
        <v>8.99</v>
      </c>
      <c r="I221" s="267">
        <v>361.86067961165048</v>
      </c>
      <c r="J221" s="205">
        <f t="shared" si="62"/>
        <v>3253.1275097087378</v>
      </c>
      <c r="K221" s="97">
        <f>+人工费!K221</f>
        <v>0</v>
      </c>
      <c r="L221" s="267">
        <f t="shared" si="63"/>
        <v>513.0707273394496</v>
      </c>
      <c r="M221" s="205">
        <f t="shared" si="64"/>
        <v>0</v>
      </c>
      <c r="N221" s="207"/>
      <c r="O221" s="207"/>
      <c r="P221" s="205">
        <f t="shared" si="65"/>
        <v>0</v>
      </c>
      <c r="Q221" s="207">
        <f>+人工费!Q221</f>
        <v>0</v>
      </c>
      <c r="R221" s="267">
        <v>513.0707273394496</v>
      </c>
      <c r="S221" s="205">
        <f t="shared" si="66"/>
        <v>0</v>
      </c>
      <c r="T221" s="207"/>
      <c r="U221" s="207"/>
      <c r="V221" s="205">
        <f t="shared" si="67"/>
        <v>0</v>
      </c>
      <c r="W221" s="123"/>
      <c r="X221" s="214"/>
      <c r="Y221" s="214"/>
      <c r="Z221" s="207"/>
      <c r="AA221" s="207"/>
      <c r="AB221" s="205">
        <v>0</v>
      </c>
    </row>
    <row r="222" spans="1:28" s="308" customFormat="1" ht="23.1" hidden="1" customHeight="1" outlineLevel="1" collapsed="1">
      <c r="A222" s="220">
        <v>3</v>
      </c>
      <c r="B222" s="315" t="s">
        <v>236</v>
      </c>
      <c r="C222" s="274"/>
      <c r="D222" s="315"/>
      <c r="E222" s="101">
        <v>0</v>
      </c>
      <c r="F222" s="101">
        <v>0</v>
      </c>
      <c r="G222" s="222">
        <f>SUM(G223:G237)</f>
        <v>295431.19490258198</v>
      </c>
      <c r="H222" s="101">
        <v>0</v>
      </c>
      <c r="I222" s="266"/>
      <c r="J222" s="222">
        <f>SUM(J223:J237)</f>
        <v>205293.61197572816</v>
      </c>
      <c r="K222" s="101">
        <f>SUM(K223:K237)</f>
        <v>0</v>
      </c>
      <c r="L222" s="266"/>
      <c r="M222" s="222">
        <f>SUM(M223:M237)</f>
        <v>0</v>
      </c>
      <c r="N222" s="229"/>
      <c r="O222" s="229"/>
      <c r="P222" s="222">
        <f>SUM(P223:P237)</f>
        <v>0</v>
      </c>
      <c r="Q222" s="101">
        <f>SUM(Q223:Q237)</f>
        <v>0</v>
      </c>
      <c r="R222" s="266"/>
      <c r="S222" s="222">
        <f>SUM(S223:S237)</f>
        <v>0</v>
      </c>
      <c r="T222" s="229"/>
      <c r="U222" s="229"/>
      <c r="V222" s="222">
        <f>SUM(V223:V237)</f>
        <v>0</v>
      </c>
      <c r="W222" s="137"/>
      <c r="X222" s="212"/>
      <c r="Y222" s="212"/>
      <c r="Z222" s="229"/>
      <c r="AA222" s="229"/>
      <c r="AB222" s="222">
        <v>0</v>
      </c>
    </row>
    <row r="223" spans="1:28" s="308" customFormat="1" ht="23.1" hidden="1" customHeight="1" outlineLevel="2">
      <c r="A223" s="223">
        <v>3.1</v>
      </c>
      <c r="B223" s="223" t="s">
        <v>217</v>
      </c>
      <c r="C223" s="331" t="s">
        <v>223</v>
      </c>
      <c r="D223" s="223" t="s">
        <v>103</v>
      </c>
      <c r="E223" s="101">
        <v>269.08999999999997</v>
      </c>
      <c r="F223" s="101">
        <v>521.5784349357798</v>
      </c>
      <c r="G223" s="205">
        <f t="shared" ref="G223:G237" si="68">+F223*E223</f>
        <v>140351.54105686897</v>
      </c>
      <c r="H223" s="101">
        <v>269.08999999999997</v>
      </c>
      <c r="I223" s="267">
        <v>361.86067961165048</v>
      </c>
      <c r="J223" s="205">
        <f t="shared" ref="J223:J237" si="69">+I223*H223</f>
        <v>97373.090276699018</v>
      </c>
      <c r="K223" s="97">
        <f>+人工费!K223</f>
        <v>0</v>
      </c>
      <c r="L223" s="267">
        <f t="shared" ref="L223:L237" si="70">+R223</f>
        <v>521.5784349357798</v>
      </c>
      <c r="M223" s="205">
        <f t="shared" ref="M223:M237" si="71">+L223*K223</f>
        <v>0</v>
      </c>
      <c r="N223" s="207"/>
      <c r="O223" s="207"/>
      <c r="P223" s="205">
        <f t="shared" ref="P223:P237" si="72">+O223*N223</f>
        <v>0</v>
      </c>
      <c r="Q223" s="207">
        <f>+人工费!Q223</f>
        <v>0</v>
      </c>
      <c r="R223" s="267">
        <v>521.5784349357798</v>
      </c>
      <c r="S223" s="205">
        <f t="shared" ref="S223:S237" si="73">+R223*Q223</f>
        <v>0</v>
      </c>
      <c r="T223" s="207"/>
      <c r="U223" s="207"/>
      <c r="V223" s="205">
        <f t="shared" ref="V223:V237" si="74">+U223*T223</f>
        <v>0</v>
      </c>
      <c r="W223" s="123"/>
      <c r="X223" s="214"/>
      <c r="Y223" s="214"/>
      <c r="Z223" s="207"/>
      <c r="AA223" s="207"/>
      <c r="AB223" s="205">
        <v>0</v>
      </c>
    </row>
    <row r="224" spans="1:28" s="308" customFormat="1" ht="23.1" hidden="1" customHeight="1" outlineLevel="2">
      <c r="A224" s="223">
        <v>3.3</v>
      </c>
      <c r="B224" s="223" t="s">
        <v>191</v>
      </c>
      <c r="C224" s="331" t="s">
        <v>224</v>
      </c>
      <c r="D224" s="223" t="s">
        <v>103</v>
      </c>
      <c r="E224" s="101">
        <v>154.27000000000001</v>
      </c>
      <c r="F224" s="101">
        <v>521.5784349357798</v>
      </c>
      <c r="G224" s="205">
        <f t="shared" si="68"/>
        <v>80463.905157542758</v>
      </c>
      <c r="H224" s="101">
        <v>154.27000000000001</v>
      </c>
      <c r="I224" s="267">
        <v>361.86067961165048</v>
      </c>
      <c r="J224" s="205">
        <f t="shared" si="69"/>
        <v>55824.247043689327</v>
      </c>
      <c r="K224" s="97">
        <f>+人工费!K224</f>
        <v>0</v>
      </c>
      <c r="L224" s="267">
        <f t="shared" si="70"/>
        <v>521.5784349357798</v>
      </c>
      <c r="M224" s="205">
        <f t="shared" si="71"/>
        <v>0</v>
      </c>
      <c r="N224" s="207"/>
      <c r="O224" s="207"/>
      <c r="P224" s="205">
        <f t="shared" si="72"/>
        <v>0</v>
      </c>
      <c r="Q224" s="207">
        <f>+人工费!Q224</f>
        <v>0</v>
      </c>
      <c r="R224" s="267">
        <v>521.5784349357798</v>
      </c>
      <c r="S224" s="205">
        <f t="shared" si="73"/>
        <v>0</v>
      </c>
      <c r="T224" s="207"/>
      <c r="U224" s="207"/>
      <c r="V224" s="205">
        <f t="shared" si="74"/>
        <v>0</v>
      </c>
      <c r="W224" s="123"/>
      <c r="X224" s="214"/>
      <c r="Y224" s="214"/>
      <c r="Z224" s="207"/>
      <c r="AA224" s="207"/>
      <c r="AB224" s="205">
        <v>0</v>
      </c>
    </row>
    <row r="225" spans="1:28" s="308" customFormat="1" ht="23.1" hidden="1" customHeight="1" outlineLevel="2">
      <c r="A225" s="223">
        <v>3.4000000000000004</v>
      </c>
      <c r="B225" s="223" t="s">
        <v>193</v>
      </c>
      <c r="C225" s="331" t="s">
        <v>225</v>
      </c>
      <c r="D225" s="223" t="s">
        <v>103</v>
      </c>
      <c r="E225" s="101">
        <v>29.17</v>
      </c>
      <c r="F225" s="101">
        <v>528.07540227522929</v>
      </c>
      <c r="G225" s="205">
        <f t="shared" si="68"/>
        <v>15403.959484368439</v>
      </c>
      <c r="H225" s="101">
        <v>29.17</v>
      </c>
      <c r="I225" s="267">
        <v>366.90922330097089</v>
      </c>
      <c r="J225" s="205">
        <f t="shared" si="69"/>
        <v>10702.742043689321</v>
      </c>
      <c r="K225" s="97">
        <f>+人工费!K225</f>
        <v>0</v>
      </c>
      <c r="L225" s="267">
        <f t="shared" si="70"/>
        <v>528.07540227522929</v>
      </c>
      <c r="M225" s="205">
        <f t="shared" si="71"/>
        <v>0</v>
      </c>
      <c r="N225" s="207"/>
      <c r="O225" s="207"/>
      <c r="P225" s="205">
        <f t="shared" si="72"/>
        <v>0</v>
      </c>
      <c r="Q225" s="207">
        <f>+人工费!Q225</f>
        <v>0</v>
      </c>
      <c r="R225" s="267">
        <v>528.07540227522929</v>
      </c>
      <c r="S225" s="205">
        <f t="shared" si="73"/>
        <v>0</v>
      </c>
      <c r="T225" s="207"/>
      <c r="U225" s="207"/>
      <c r="V225" s="205">
        <f t="shared" si="74"/>
        <v>0</v>
      </c>
      <c r="W225" s="123"/>
      <c r="X225" s="214"/>
      <c r="Y225" s="214"/>
      <c r="Z225" s="207"/>
      <c r="AA225" s="207"/>
      <c r="AB225" s="205">
        <v>0</v>
      </c>
    </row>
    <row r="226" spans="1:28" s="308" customFormat="1" ht="23.1" hidden="1" customHeight="1" outlineLevel="2">
      <c r="A226" s="223">
        <v>3.5000000000000004</v>
      </c>
      <c r="B226" s="223" t="s">
        <v>219</v>
      </c>
      <c r="C226" s="331" t="s">
        <v>226</v>
      </c>
      <c r="D226" s="223" t="s">
        <v>103</v>
      </c>
      <c r="E226" s="101">
        <v>1.04</v>
      </c>
      <c r="F226" s="101">
        <v>544.7967941284403</v>
      </c>
      <c r="G226" s="205">
        <f t="shared" si="68"/>
        <v>566.58866589357797</v>
      </c>
      <c r="H226" s="101">
        <v>1.04</v>
      </c>
      <c r="I226" s="267">
        <v>381.06407766990293</v>
      </c>
      <c r="J226" s="205">
        <f t="shared" si="69"/>
        <v>396.30664077669906</v>
      </c>
      <c r="K226" s="97">
        <f>+人工费!K226</f>
        <v>0</v>
      </c>
      <c r="L226" s="267">
        <f t="shared" si="70"/>
        <v>544.7967941284403</v>
      </c>
      <c r="M226" s="205">
        <f t="shared" si="71"/>
        <v>0</v>
      </c>
      <c r="N226" s="207"/>
      <c r="O226" s="207"/>
      <c r="P226" s="205">
        <f t="shared" si="72"/>
        <v>0</v>
      </c>
      <c r="Q226" s="207">
        <f>+人工费!Q226</f>
        <v>0</v>
      </c>
      <c r="R226" s="267">
        <v>544.7967941284403</v>
      </c>
      <c r="S226" s="205">
        <f t="shared" si="73"/>
        <v>0</v>
      </c>
      <c r="T226" s="207"/>
      <c r="U226" s="207"/>
      <c r="V226" s="205">
        <f t="shared" si="74"/>
        <v>0</v>
      </c>
      <c r="W226" s="123"/>
      <c r="X226" s="214"/>
      <c r="Y226" s="214"/>
      <c r="Z226" s="207"/>
      <c r="AA226" s="207"/>
      <c r="AB226" s="205">
        <v>0</v>
      </c>
    </row>
    <row r="227" spans="1:28" s="308" customFormat="1" ht="23.1" hidden="1" customHeight="1" outlineLevel="2">
      <c r="A227" s="223">
        <v>3.6000000000000005</v>
      </c>
      <c r="B227" s="223" t="s">
        <v>235</v>
      </c>
      <c r="C227" s="331" t="s">
        <v>227</v>
      </c>
      <c r="D227" s="223" t="s">
        <v>103</v>
      </c>
      <c r="E227" s="101">
        <v>0.66</v>
      </c>
      <c r="F227" s="101">
        <v>551.29376146788991</v>
      </c>
      <c r="G227" s="205">
        <f t="shared" si="68"/>
        <v>363.85388256880736</v>
      </c>
      <c r="H227" s="101">
        <v>0.66</v>
      </c>
      <c r="I227" s="267">
        <v>386.11262135922334</v>
      </c>
      <c r="J227" s="205">
        <f t="shared" si="69"/>
        <v>254.83433009708742</v>
      </c>
      <c r="K227" s="97">
        <f>+人工费!K227</f>
        <v>0</v>
      </c>
      <c r="L227" s="267">
        <f t="shared" si="70"/>
        <v>551.29376146788991</v>
      </c>
      <c r="M227" s="205">
        <f t="shared" si="71"/>
        <v>0</v>
      </c>
      <c r="N227" s="207"/>
      <c r="O227" s="207"/>
      <c r="P227" s="205">
        <f t="shared" si="72"/>
        <v>0</v>
      </c>
      <c r="Q227" s="207">
        <f>+人工费!Q227</f>
        <v>0</v>
      </c>
      <c r="R227" s="267">
        <v>551.29376146788991</v>
      </c>
      <c r="S227" s="205">
        <f t="shared" si="73"/>
        <v>0</v>
      </c>
      <c r="T227" s="207"/>
      <c r="U227" s="207"/>
      <c r="V227" s="205">
        <f t="shared" si="74"/>
        <v>0</v>
      </c>
      <c r="W227" s="123"/>
      <c r="X227" s="214"/>
      <c r="Y227" s="214"/>
      <c r="Z227" s="207"/>
      <c r="AA227" s="207"/>
      <c r="AB227" s="205">
        <v>0</v>
      </c>
    </row>
    <row r="228" spans="1:28" s="308" customFormat="1" ht="23.1" hidden="1" customHeight="1" outlineLevel="2">
      <c r="A228" s="223">
        <v>3.7000000000000006</v>
      </c>
      <c r="B228" s="223" t="s">
        <v>228</v>
      </c>
      <c r="C228" s="331" t="s">
        <v>223</v>
      </c>
      <c r="D228" s="223" t="s">
        <v>103</v>
      </c>
      <c r="E228" s="101">
        <v>3.37</v>
      </c>
      <c r="F228" s="101">
        <v>521.5784349357798</v>
      </c>
      <c r="G228" s="205">
        <f t="shared" si="68"/>
        <v>1757.719325733578</v>
      </c>
      <c r="H228" s="101">
        <v>3.37</v>
      </c>
      <c r="I228" s="267">
        <v>361.86067961165048</v>
      </c>
      <c r="J228" s="205">
        <f t="shared" si="69"/>
        <v>1219.4704902912622</v>
      </c>
      <c r="K228" s="97">
        <f>+人工费!K228</f>
        <v>0</v>
      </c>
      <c r="L228" s="267">
        <f t="shared" si="70"/>
        <v>521.5784349357798</v>
      </c>
      <c r="M228" s="205">
        <f t="shared" si="71"/>
        <v>0</v>
      </c>
      <c r="N228" s="207"/>
      <c r="O228" s="207"/>
      <c r="P228" s="205">
        <f t="shared" si="72"/>
        <v>0</v>
      </c>
      <c r="Q228" s="207">
        <f>+人工费!Q228</f>
        <v>0</v>
      </c>
      <c r="R228" s="267">
        <v>521.5784349357798</v>
      </c>
      <c r="S228" s="205">
        <f t="shared" si="73"/>
        <v>0</v>
      </c>
      <c r="T228" s="207"/>
      <c r="U228" s="207"/>
      <c r="V228" s="205">
        <f t="shared" si="74"/>
        <v>0</v>
      </c>
      <c r="W228" s="123"/>
      <c r="X228" s="214"/>
      <c r="Y228" s="214"/>
      <c r="Z228" s="207"/>
      <c r="AA228" s="207"/>
      <c r="AB228" s="205">
        <v>0</v>
      </c>
    </row>
    <row r="229" spans="1:28" s="308" customFormat="1" ht="23.1" hidden="1" customHeight="1" outlineLevel="2">
      <c r="A229" s="223">
        <v>3.8000000000000007</v>
      </c>
      <c r="B229" s="223" t="s">
        <v>132</v>
      </c>
      <c r="C229" s="331" t="s">
        <v>196</v>
      </c>
      <c r="D229" s="223" t="s">
        <v>103</v>
      </c>
      <c r="E229" s="101">
        <v>18.11</v>
      </c>
      <c r="F229" s="101">
        <v>475.57800924770646</v>
      </c>
      <c r="G229" s="205">
        <f t="shared" si="68"/>
        <v>8612.7177474759646</v>
      </c>
      <c r="H229" s="101">
        <v>18.11</v>
      </c>
      <c r="I229" s="267">
        <v>332.50970873786406</v>
      </c>
      <c r="J229" s="205">
        <f t="shared" si="69"/>
        <v>6021.7508252427178</v>
      </c>
      <c r="K229" s="97">
        <f>+人工费!K229</f>
        <v>0</v>
      </c>
      <c r="L229" s="267">
        <f t="shared" si="70"/>
        <v>475.57800924770646</v>
      </c>
      <c r="M229" s="205">
        <f t="shared" si="71"/>
        <v>0</v>
      </c>
      <c r="N229" s="207"/>
      <c r="O229" s="207"/>
      <c r="P229" s="205">
        <f t="shared" si="72"/>
        <v>0</v>
      </c>
      <c r="Q229" s="207">
        <f>+人工费!Q229</f>
        <v>0</v>
      </c>
      <c r="R229" s="267">
        <v>475.57800924770646</v>
      </c>
      <c r="S229" s="205">
        <f t="shared" si="73"/>
        <v>0</v>
      </c>
      <c r="T229" s="207"/>
      <c r="U229" s="207"/>
      <c r="V229" s="205">
        <f t="shared" si="74"/>
        <v>0</v>
      </c>
      <c r="W229" s="123"/>
      <c r="X229" s="214"/>
      <c r="Y229" s="214"/>
      <c r="Z229" s="207"/>
      <c r="AA229" s="207"/>
      <c r="AB229" s="205">
        <v>0</v>
      </c>
    </row>
    <row r="230" spans="1:28" s="308" customFormat="1" ht="23.1" hidden="1" customHeight="1" outlineLevel="2">
      <c r="A230" s="223">
        <v>3.9000000000000008</v>
      </c>
      <c r="B230" s="223" t="s">
        <v>134</v>
      </c>
      <c r="C230" s="331" t="s">
        <v>196</v>
      </c>
      <c r="D230" s="223" t="s">
        <v>103</v>
      </c>
      <c r="E230" s="101">
        <v>0.19</v>
      </c>
      <c r="F230" s="101">
        <v>474.67696998165138</v>
      </c>
      <c r="G230" s="205">
        <f t="shared" si="68"/>
        <v>90.188624296513765</v>
      </c>
      <c r="H230" s="101">
        <v>0.19</v>
      </c>
      <c r="I230" s="267">
        <v>332.50970873786406</v>
      </c>
      <c r="J230" s="205">
        <f t="shared" si="69"/>
        <v>63.17684466019417</v>
      </c>
      <c r="K230" s="97">
        <f>+人工费!K230</f>
        <v>0</v>
      </c>
      <c r="L230" s="267">
        <f t="shared" si="70"/>
        <v>474.67696998165138</v>
      </c>
      <c r="M230" s="205">
        <f t="shared" si="71"/>
        <v>0</v>
      </c>
      <c r="N230" s="207"/>
      <c r="O230" s="207"/>
      <c r="P230" s="205">
        <f t="shared" si="72"/>
        <v>0</v>
      </c>
      <c r="Q230" s="207">
        <f>+人工费!Q230</f>
        <v>0</v>
      </c>
      <c r="R230" s="267">
        <v>474.67696998165138</v>
      </c>
      <c r="S230" s="205">
        <f t="shared" si="73"/>
        <v>0</v>
      </c>
      <c r="T230" s="207"/>
      <c r="U230" s="207"/>
      <c r="V230" s="205">
        <f t="shared" si="74"/>
        <v>0</v>
      </c>
      <c r="W230" s="123"/>
      <c r="X230" s="214"/>
      <c r="Y230" s="214"/>
      <c r="Z230" s="207"/>
      <c r="AA230" s="207"/>
      <c r="AB230" s="205">
        <v>0</v>
      </c>
    </row>
    <row r="231" spans="1:28" s="308" customFormat="1" ht="23.1" hidden="1" customHeight="1" outlineLevel="2">
      <c r="A231" s="267">
        <v>3.1</v>
      </c>
      <c r="B231" s="223" t="s">
        <v>135</v>
      </c>
      <c r="C231" s="331" t="s">
        <v>197</v>
      </c>
      <c r="D231" s="223" t="s">
        <v>103</v>
      </c>
      <c r="E231" s="101">
        <v>13</v>
      </c>
      <c r="F231" s="101">
        <v>493.94972565137613</v>
      </c>
      <c r="G231" s="205">
        <f t="shared" si="68"/>
        <v>6421.3464334678893</v>
      </c>
      <c r="H231" s="101">
        <v>13</v>
      </c>
      <c r="I231" s="267">
        <v>346.75291262135926</v>
      </c>
      <c r="J231" s="205">
        <f t="shared" si="69"/>
        <v>4507.7878640776707</v>
      </c>
      <c r="K231" s="97">
        <f>+人工费!K231</f>
        <v>0</v>
      </c>
      <c r="L231" s="267">
        <f t="shared" si="70"/>
        <v>493.94972565137613</v>
      </c>
      <c r="M231" s="205">
        <f t="shared" si="71"/>
        <v>0</v>
      </c>
      <c r="N231" s="207"/>
      <c r="O231" s="207"/>
      <c r="P231" s="205">
        <f t="shared" si="72"/>
        <v>0</v>
      </c>
      <c r="Q231" s="207">
        <f>+人工费!Q231</f>
        <v>0</v>
      </c>
      <c r="R231" s="267">
        <v>493.94972565137613</v>
      </c>
      <c r="S231" s="205">
        <f t="shared" si="73"/>
        <v>0</v>
      </c>
      <c r="T231" s="207"/>
      <c r="U231" s="207"/>
      <c r="V231" s="205">
        <f t="shared" si="74"/>
        <v>0</v>
      </c>
      <c r="W231" s="123"/>
      <c r="X231" s="214"/>
      <c r="Y231" s="214"/>
      <c r="Z231" s="207"/>
      <c r="AA231" s="207"/>
      <c r="AB231" s="205">
        <v>0</v>
      </c>
    </row>
    <row r="232" spans="1:28" s="308" customFormat="1" ht="23.1" hidden="1" customHeight="1" outlineLevel="2">
      <c r="A232" s="223">
        <v>3.11</v>
      </c>
      <c r="B232" s="223" t="s">
        <v>137</v>
      </c>
      <c r="C232" s="331" t="s">
        <v>196</v>
      </c>
      <c r="D232" s="223" t="s">
        <v>103</v>
      </c>
      <c r="E232" s="101">
        <v>5.8</v>
      </c>
      <c r="F232" s="101">
        <v>474.32603889908256</v>
      </c>
      <c r="G232" s="205">
        <f t="shared" si="68"/>
        <v>2751.091025614679</v>
      </c>
      <c r="H232" s="101">
        <v>5.8</v>
      </c>
      <c r="I232" s="267">
        <v>332.50970873786406</v>
      </c>
      <c r="J232" s="205">
        <f t="shared" si="69"/>
        <v>1928.5563106796114</v>
      </c>
      <c r="K232" s="97">
        <f>+人工费!K232</f>
        <v>0</v>
      </c>
      <c r="L232" s="267">
        <f t="shared" si="70"/>
        <v>474.32603889908256</v>
      </c>
      <c r="M232" s="205">
        <f t="shared" si="71"/>
        <v>0</v>
      </c>
      <c r="N232" s="207"/>
      <c r="O232" s="207"/>
      <c r="P232" s="205">
        <f t="shared" si="72"/>
        <v>0</v>
      </c>
      <c r="Q232" s="207">
        <f>+人工费!Q232</f>
        <v>0</v>
      </c>
      <c r="R232" s="267">
        <v>474.32603889908256</v>
      </c>
      <c r="S232" s="205">
        <f t="shared" si="73"/>
        <v>0</v>
      </c>
      <c r="T232" s="207"/>
      <c r="U232" s="207"/>
      <c r="V232" s="205">
        <f t="shared" si="74"/>
        <v>0</v>
      </c>
      <c r="W232" s="123"/>
      <c r="X232" s="214"/>
      <c r="Y232" s="214"/>
      <c r="Z232" s="207"/>
      <c r="AA232" s="207"/>
      <c r="AB232" s="205">
        <v>0</v>
      </c>
    </row>
    <row r="233" spans="1:28" s="308" customFormat="1" ht="23.1" hidden="1" customHeight="1" outlineLevel="2">
      <c r="A233" s="267">
        <v>3.1199999999999997</v>
      </c>
      <c r="B233" s="223" t="s">
        <v>229</v>
      </c>
      <c r="C233" s="331" t="s">
        <v>197</v>
      </c>
      <c r="D233" s="223" t="s">
        <v>103</v>
      </c>
      <c r="E233" s="101">
        <v>50</v>
      </c>
      <c r="F233" s="101">
        <v>496.75717431192658</v>
      </c>
      <c r="G233" s="205">
        <f t="shared" si="68"/>
        <v>24837.858715596329</v>
      </c>
      <c r="H233" s="101">
        <v>50</v>
      </c>
      <c r="I233" s="267">
        <v>346.75291262135926</v>
      </c>
      <c r="J233" s="205">
        <f t="shared" si="69"/>
        <v>17337.645631067964</v>
      </c>
      <c r="K233" s="97">
        <f>+人工费!K233</f>
        <v>0</v>
      </c>
      <c r="L233" s="267">
        <f t="shared" si="70"/>
        <v>496.75717431192658</v>
      </c>
      <c r="M233" s="205">
        <f t="shared" si="71"/>
        <v>0</v>
      </c>
      <c r="N233" s="207"/>
      <c r="O233" s="207"/>
      <c r="P233" s="205">
        <f t="shared" si="72"/>
        <v>0</v>
      </c>
      <c r="Q233" s="207">
        <f>+人工费!Q233</f>
        <v>0</v>
      </c>
      <c r="R233" s="267">
        <v>496.75717431192658</v>
      </c>
      <c r="S233" s="205">
        <f t="shared" si="73"/>
        <v>0</v>
      </c>
      <c r="T233" s="207"/>
      <c r="U233" s="207"/>
      <c r="V233" s="205">
        <f t="shared" si="74"/>
        <v>0</v>
      </c>
      <c r="W233" s="123"/>
      <c r="X233" s="214"/>
      <c r="Y233" s="214"/>
      <c r="Z233" s="207"/>
      <c r="AA233" s="207"/>
      <c r="AB233" s="205">
        <v>0</v>
      </c>
    </row>
    <row r="234" spans="1:28" s="308" customFormat="1" ht="23.1" hidden="1" customHeight="1" outlineLevel="2">
      <c r="A234" s="223">
        <v>3.1299999999999994</v>
      </c>
      <c r="B234" s="223" t="s">
        <v>230</v>
      </c>
      <c r="C234" s="331" t="s">
        <v>197</v>
      </c>
      <c r="D234" s="223" t="s">
        <v>103</v>
      </c>
      <c r="E234" s="101">
        <v>9.5</v>
      </c>
      <c r="F234" s="101">
        <v>495.88458891743124</v>
      </c>
      <c r="G234" s="205">
        <f t="shared" si="68"/>
        <v>4710.9035947155971</v>
      </c>
      <c r="H234" s="101">
        <v>9.5</v>
      </c>
      <c r="I234" s="267">
        <v>346.75291262135926</v>
      </c>
      <c r="J234" s="205">
        <f t="shared" si="69"/>
        <v>3294.1526699029127</v>
      </c>
      <c r="K234" s="97">
        <f>+人工费!K234</f>
        <v>0</v>
      </c>
      <c r="L234" s="267">
        <f t="shared" si="70"/>
        <v>495.88458891743124</v>
      </c>
      <c r="M234" s="205">
        <f t="shared" si="71"/>
        <v>0</v>
      </c>
      <c r="N234" s="207"/>
      <c r="O234" s="207"/>
      <c r="P234" s="205">
        <f t="shared" si="72"/>
        <v>0</v>
      </c>
      <c r="Q234" s="207">
        <f>+人工费!Q234</f>
        <v>0</v>
      </c>
      <c r="R234" s="267">
        <v>495.88458891743124</v>
      </c>
      <c r="S234" s="205">
        <f t="shared" si="73"/>
        <v>0</v>
      </c>
      <c r="T234" s="207"/>
      <c r="U234" s="207"/>
      <c r="V234" s="205">
        <f t="shared" si="74"/>
        <v>0</v>
      </c>
      <c r="W234" s="123"/>
      <c r="X234" s="214"/>
      <c r="Y234" s="214"/>
      <c r="Z234" s="207"/>
      <c r="AA234" s="207"/>
      <c r="AB234" s="205">
        <v>0</v>
      </c>
    </row>
    <row r="235" spans="1:28" s="308" customFormat="1" ht="23.1" hidden="1" customHeight="1" outlineLevel="2">
      <c r="A235" s="267">
        <v>3.1399999999999992</v>
      </c>
      <c r="B235" s="223" t="s">
        <v>231</v>
      </c>
      <c r="C235" s="331" t="s">
        <v>197</v>
      </c>
      <c r="D235" s="223" t="s">
        <v>103</v>
      </c>
      <c r="E235" s="101">
        <v>3</v>
      </c>
      <c r="F235" s="101">
        <v>498.17986788990828</v>
      </c>
      <c r="G235" s="205">
        <f t="shared" si="68"/>
        <v>1494.5396036697248</v>
      </c>
      <c r="H235" s="101">
        <v>3</v>
      </c>
      <c r="I235" s="267">
        <v>346.75291262135926</v>
      </c>
      <c r="J235" s="205">
        <f t="shared" si="69"/>
        <v>1040.2587378640778</v>
      </c>
      <c r="K235" s="97">
        <f>+人工费!K235</f>
        <v>0</v>
      </c>
      <c r="L235" s="267">
        <f t="shared" si="70"/>
        <v>498.17986788990828</v>
      </c>
      <c r="M235" s="205">
        <f t="shared" si="71"/>
        <v>0</v>
      </c>
      <c r="N235" s="207"/>
      <c r="O235" s="207"/>
      <c r="P235" s="205">
        <f t="shared" si="72"/>
        <v>0</v>
      </c>
      <c r="Q235" s="207">
        <f>+人工费!Q235</f>
        <v>0</v>
      </c>
      <c r="R235" s="267">
        <v>498.17986788990828</v>
      </c>
      <c r="S235" s="205">
        <f t="shared" si="73"/>
        <v>0</v>
      </c>
      <c r="T235" s="207"/>
      <c r="U235" s="207"/>
      <c r="V235" s="205">
        <f t="shared" si="74"/>
        <v>0</v>
      </c>
      <c r="W235" s="123"/>
      <c r="X235" s="214"/>
      <c r="Y235" s="214"/>
      <c r="Z235" s="207"/>
      <c r="AA235" s="207"/>
      <c r="AB235" s="205">
        <v>0</v>
      </c>
    </row>
    <row r="236" spans="1:28" s="308" customFormat="1" ht="23.1" hidden="1" customHeight="1" outlineLevel="2">
      <c r="A236" s="223">
        <v>3.149999999999999</v>
      </c>
      <c r="B236" s="260" t="s">
        <v>232</v>
      </c>
      <c r="C236" s="275" t="s">
        <v>197</v>
      </c>
      <c r="D236" s="260" t="s">
        <v>103</v>
      </c>
      <c r="E236" s="101">
        <v>15.37</v>
      </c>
      <c r="F236" s="101">
        <v>494.79385717431188</v>
      </c>
      <c r="G236" s="205">
        <f t="shared" si="68"/>
        <v>7604.9815847691734</v>
      </c>
      <c r="H236" s="101">
        <v>15.37</v>
      </c>
      <c r="I236" s="267">
        <v>346.75291262135926</v>
      </c>
      <c r="J236" s="205">
        <f t="shared" si="69"/>
        <v>5329.5922669902911</v>
      </c>
      <c r="K236" s="97">
        <f>+人工费!K236</f>
        <v>0</v>
      </c>
      <c r="L236" s="267">
        <f t="shared" si="70"/>
        <v>494.79385717431188</v>
      </c>
      <c r="M236" s="205">
        <f t="shared" si="71"/>
        <v>0</v>
      </c>
      <c r="N236" s="207"/>
      <c r="O236" s="207"/>
      <c r="P236" s="205">
        <f t="shared" si="72"/>
        <v>0</v>
      </c>
      <c r="Q236" s="207">
        <f>+人工费!Q236</f>
        <v>0</v>
      </c>
      <c r="R236" s="267">
        <v>494.79385717431188</v>
      </c>
      <c r="S236" s="205">
        <f t="shared" si="73"/>
        <v>0</v>
      </c>
      <c r="T236" s="207"/>
      <c r="U236" s="207"/>
      <c r="V236" s="205">
        <f t="shared" si="74"/>
        <v>0</v>
      </c>
      <c r="W236" s="123"/>
      <c r="X236" s="214"/>
      <c r="Y236" s="214"/>
      <c r="Z236" s="207"/>
      <c r="AA236" s="207"/>
      <c r="AB236" s="205">
        <v>0</v>
      </c>
    </row>
    <row r="237" spans="1:28" s="308" customFormat="1" ht="23.1" hidden="1" customHeight="1" outlineLevel="2">
      <c r="A237" s="267">
        <v>3.1599999999999988</v>
      </c>
      <c r="B237" s="223" t="s">
        <v>142</v>
      </c>
      <c r="C237" s="223"/>
      <c r="D237" s="223" t="s">
        <v>143</v>
      </c>
      <c r="E237" s="101">
        <v>1</v>
      </c>
      <c r="F237" s="101">
        <v>0</v>
      </c>
      <c r="G237" s="205">
        <f t="shared" si="68"/>
        <v>0</v>
      </c>
      <c r="H237" s="101">
        <v>1</v>
      </c>
      <c r="I237" s="267"/>
      <c r="J237" s="205">
        <f t="shared" si="69"/>
        <v>0</v>
      </c>
      <c r="K237" s="97">
        <f>+人工费!K237</f>
        <v>0</v>
      </c>
      <c r="L237" s="267">
        <f t="shared" si="70"/>
        <v>0</v>
      </c>
      <c r="M237" s="205">
        <f t="shared" si="71"/>
        <v>0</v>
      </c>
      <c r="N237" s="207"/>
      <c r="O237" s="207"/>
      <c r="P237" s="205">
        <f t="shared" si="72"/>
        <v>0</v>
      </c>
      <c r="Q237" s="207">
        <f>+人工费!Q237</f>
        <v>0</v>
      </c>
      <c r="R237" s="267">
        <v>0</v>
      </c>
      <c r="S237" s="205">
        <f t="shared" si="73"/>
        <v>0</v>
      </c>
      <c r="T237" s="207"/>
      <c r="U237" s="207"/>
      <c r="V237" s="205">
        <f t="shared" si="74"/>
        <v>0</v>
      </c>
      <c r="W237" s="123"/>
      <c r="X237" s="214"/>
      <c r="Y237" s="214"/>
      <c r="Z237" s="207"/>
      <c r="AA237" s="207"/>
      <c r="AB237" s="205">
        <v>0</v>
      </c>
    </row>
    <row r="238" spans="1:28" s="308" customFormat="1" ht="23.1" customHeight="1">
      <c r="A238" s="220" t="s">
        <v>237</v>
      </c>
      <c r="B238" s="220" t="s">
        <v>238</v>
      </c>
      <c r="C238" s="220"/>
      <c r="D238" s="220"/>
      <c r="E238" s="101">
        <v>0</v>
      </c>
      <c r="F238" s="101">
        <v>0</v>
      </c>
      <c r="G238" s="222">
        <f>+G239+G246</f>
        <v>736743.63581208303</v>
      </c>
      <c r="H238" s="101">
        <v>0</v>
      </c>
      <c r="I238" s="266"/>
      <c r="J238" s="222">
        <f>+J239+J246</f>
        <v>638530.60568835819</v>
      </c>
      <c r="K238" s="101"/>
      <c r="L238" s="266"/>
      <c r="M238" s="222">
        <f>+M239+M246</f>
        <v>50497.944003452954</v>
      </c>
      <c r="N238" s="229"/>
      <c r="O238" s="229"/>
      <c r="P238" s="222">
        <f>+P239+P246</f>
        <v>58202.734513274343</v>
      </c>
      <c r="Q238" s="207"/>
      <c r="R238" s="266"/>
      <c r="S238" s="222">
        <f>+S239+S246</f>
        <v>206681.04209199685</v>
      </c>
      <c r="T238" s="229"/>
      <c r="U238" s="229"/>
      <c r="V238" s="222">
        <f>+V239+V246</f>
        <v>301437.44247787615</v>
      </c>
      <c r="W238" s="137"/>
      <c r="X238" s="212"/>
      <c r="Y238" s="212"/>
      <c r="Z238" s="229"/>
      <c r="AA238" s="229"/>
      <c r="AB238" s="222">
        <v>243234.70796460178</v>
      </c>
    </row>
    <row r="239" spans="1:28" s="308" customFormat="1" ht="23.1" customHeight="1" outlineLevel="1" collapsed="1">
      <c r="A239" s="220">
        <v>1</v>
      </c>
      <c r="B239" s="315" t="s">
        <v>239</v>
      </c>
      <c r="C239" s="274"/>
      <c r="D239" s="315"/>
      <c r="E239" s="101">
        <v>0</v>
      </c>
      <c r="F239" s="101">
        <v>0</v>
      </c>
      <c r="G239" s="222">
        <f>SUM(G240:G245)</f>
        <v>109728.68673267963</v>
      </c>
      <c r="H239" s="101">
        <v>0</v>
      </c>
      <c r="I239" s="266"/>
      <c r="J239" s="222">
        <f>SUM(J240:J245)</f>
        <v>99133.510343222268</v>
      </c>
      <c r="K239" s="101"/>
      <c r="L239" s="266"/>
      <c r="M239" s="222">
        <f>SUM(M240:M245)</f>
        <v>50497.944003452954</v>
      </c>
      <c r="N239" s="229"/>
      <c r="O239" s="229"/>
      <c r="P239" s="222">
        <f>SUM(P240:P245)</f>
        <v>58202.734513274343</v>
      </c>
      <c r="Q239" s="207"/>
      <c r="R239" s="266"/>
      <c r="S239" s="222">
        <f>SUM(S240:S245)</f>
        <v>206681.04209199685</v>
      </c>
      <c r="T239" s="229"/>
      <c r="U239" s="229"/>
      <c r="V239" s="222">
        <f>SUM(V240:V245)</f>
        <v>301437.44247787615</v>
      </c>
      <c r="W239" s="137"/>
      <c r="X239" s="212"/>
      <c r="Y239" s="212"/>
      <c r="Z239" s="229"/>
      <c r="AA239" s="229"/>
      <c r="AB239" s="222">
        <v>243234.70796460178</v>
      </c>
    </row>
    <row r="240" spans="1:28" s="308" customFormat="1" ht="23.1" hidden="1" customHeight="1" outlineLevel="2">
      <c r="A240" s="223">
        <v>1.1000000000000001</v>
      </c>
      <c r="B240" s="223" t="s">
        <v>240</v>
      </c>
      <c r="C240" s="223" t="s">
        <v>241</v>
      </c>
      <c r="D240" s="223" t="s">
        <v>103</v>
      </c>
      <c r="E240" s="101">
        <v>315.61</v>
      </c>
      <c r="F240" s="101">
        <v>315.23095838532112</v>
      </c>
      <c r="G240" s="205">
        <f t="shared" ref="G240:G245" si="75">+F240*E240</f>
        <v>99490.042775991198</v>
      </c>
      <c r="H240" s="101">
        <v>315.61</v>
      </c>
      <c r="I240" s="267">
        <v>296.02602199329903</v>
      </c>
      <c r="J240" s="205">
        <f t="shared" ref="J240:J245" si="76">+I240*H240</f>
        <v>93428.772801305109</v>
      </c>
      <c r="K240" s="97">
        <f>+人工费!K240</f>
        <v>0</v>
      </c>
      <c r="L240" s="267">
        <f t="shared" ref="L240:L245" si="77">+R240</f>
        <v>315.23095838532112</v>
      </c>
      <c r="M240" s="205">
        <f t="shared" ref="M240:M245" si="78">+L240*K240</f>
        <v>0</v>
      </c>
      <c r="N240" s="97">
        <f t="shared" ref="N240:N245" si="79">+T240-Z240</f>
        <v>0</v>
      </c>
      <c r="O240" s="207"/>
      <c r="P240" s="205">
        <f>+V240-AB240</f>
        <v>6502.345132743365</v>
      </c>
      <c r="Q240" s="207">
        <f>+人工费!Q240</f>
        <v>276.88549999999998</v>
      </c>
      <c r="R240" s="267">
        <v>315.23095838532112</v>
      </c>
      <c r="S240" s="205">
        <f t="shared" ref="S240:S245" si="80">+R240*Q240</f>
        <v>87282.881527998819</v>
      </c>
      <c r="T240" s="207"/>
      <c r="U240" s="207"/>
      <c r="V240" s="322">
        <v>65580.35398230089</v>
      </c>
      <c r="W240" s="318" t="s">
        <v>337</v>
      </c>
      <c r="X240" s="214"/>
      <c r="Y240" s="214"/>
      <c r="Z240" s="207"/>
      <c r="AA240" s="207"/>
      <c r="AB240" s="205">
        <v>59078.008849557526</v>
      </c>
    </row>
    <row r="241" spans="1:28" s="308" customFormat="1" ht="23.1" hidden="1" customHeight="1" outlineLevel="2">
      <c r="A241" s="223">
        <v>1.2</v>
      </c>
      <c r="B241" s="223" t="s">
        <v>240</v>
      </c>
      <c r="C241" s="223" t="s">
        <v>242</v>
      </c>
      <c r="D241" s="223" t="s">
        <v>103</v>
      </c>
      <c r="E241" s="101">
        <v>5.0999999999999996</v>
      </c>
      <c r="F241" s="101">
        <v>315.23095838532112</v>
      </c>
      <c r="G241" s="205">
        <f t="shared" si="75"/>
        <v>1607.6778877651375</v>
      </c>
      <c r="H241" s="101">
        <v>5.0999999999999996</v>
      </c>
      <c r="I241" s="267">
        <v>296.02602199329903</v>
      </c>
      <c r="J241" s="205">
        <f t="shared" si="76"/>
        <v>1509.732712165825</v>
      </c>
      <c r="K241" s="97">
        <f>+人工费!K241</f>
        <v>136.30941000000001</v>
      </c>
      <c r="L241" s="267">
        <f t="shared" si="77"/>
        <v>315.23095838532112</v>
      </c>
      <c r="M241" s="205">
        <f t="shared" si="78"/>
        <v>42968.945951237678</v>
      </c>
      <c r="N241" s="97">
        <f t="shared" si="79"/>
        <v>0</v>
      </c>
      <c r="O241" s="207"/>
      <c r="P241" s="205">
        <f>+V241-AB241</f>
        <v>51700.389380530978</v>
      </c>
      <c r="Q241" s="207">
        <f>+人工费!Q241</f>
        <v>354.88</v>
      </c>
      <c r="R241" s="267">
        <v>315.23095838532112</v>
      </c>
      <c r="S241" s="205">
        <f t="shared" si="80"/>
        <v>111869.16251178275</v>
      </c>
      <c r="T241" s="207"/>
      <c r="U241" s="207"/>
      <c r="V241" s="322">
        <v>235857.08849557524</v>
      </c>
      <c r="W241" s="318" t="s">
        <v>338</v>
      </c>
      <c r="X241" s="214"/>
      <c r="Y241" s="214"/>
      <c r="Z241" s="207"/>
      <c r="AA241" s="207"/>
      <c r="AB241" s="205">
        <v>184156.69911504426</v>
      </c>
    </row>
    <row r="242" spans="1:28" s="308" customFormat="1" ht="23.1" hidden="1" customHeight="1" outlineLevel="2">
      <c r="A242" s="223">
        <v>1.2999999999999998</v>
      </c>
      <c r="B242" s="223" t="s">
        <v>240</v>
      </c>
      <c r="C242" s="223" t="s">
        <v>243</v>
      </c>
      <c r="D242" s="223" t="s">
        <v>103</v>
      </c>
      <c r="E242" s="101">
        <v>8.5399999999999991</v>
      </c>
      <c r="F242" s="101">
        <v>314.12125739449539</v>
      </c>
      <c r="G242" s="205">
        <f t="shared" si="75"/>
        <v>2682.5955381489903</v>
      </c>
      <c r="H242" s="101">
        <v>8.5399999999999991</v>
      </c>
      <c r="I242" s="267">
        <v>295.63106622630897</v>
      </c>
      <c r="J242" s="205">
        <f t="shared" si="76"/>
        <v>2524.6893055726782</v>
      </c>
      <c r="K242" s="97">
        <f>+人工费!K242</f>
        <v>0</v>
      </c>
      <c r="L242" s="267">
        <f t="shared" si="77"/>
        <v>314.12125739449539</v>
      </c>
      <c r="M242" s="205">
        <f t="shared" si="78"/>
        <v>0</v>
      </c>
      <c r="N242" s="97">
        <f t="shared" si="79"/>
        <v>0</v>
      </c>
      <c r="O242" s="207"/>
      <c r="P242" s="205">
        <f>+O242*N242</f>
        <v>0</v>
      </c>
      <c r="Q242" s="207">
        <f>+人工费!Q242</f>
        <v>0</v>
      </c>
      <c r="R242" s="267">
        <v>314.12125739449539</v>
      </c>
      <c r="S242" s="205">
        <f t="shared" si="80"/>
        <v>0</v>
      </c>
      <c r="T242" s="207"/>
      <c r="U242" s="207"/>
      <c r="V242" s="205">
        <f>+U242*T242</f>
        <v>0</v>
      </c>
      <c r="W242" s="123"/>
      <c r="X242" s="214"/>
      <c r="Y242" s="214"/>
      <c r="Z242" s="207"/>
      <c r="AA242" s="207"/>
      <c r="AB242" s="205">
        <v>0</v>
      </c>
    </row>
    <row r="243" spans="1:28" s="308" customFormat="1" ht="23.1" hidden="1" customHeight="1" outlineLevel="2">
      <c r="A243" s="223">
        <v>1.3999999999999997</v>
      </c>
      <c r="B243" s="223" t="s">
        <v>240</v>
      </c>
      <c r="C243" s="223" t="s">
        <v>244</v>
      </c>
      <c r="D243" s="223" t="s">
        <v>103</v>
      </c>
      <c r="E243" s="101">
        <v>5.65</v>
      </c>
      <c r="F243" s="101">
        <v>314.12125739449539</v>
      </c>
      <c r="G243" s="205">
        <f t="shared" si="75"/>
        <v>1774.7851042788991</v>
      </c>
      <c r="H243" s="101">
        <v>5.65</v>
      </c>
      <c r="I243" s="267">
        <v>295.63106622630897</v>
      </c>
      <c r="J243" s="205">
        <f t="shared" si="76"/>
        <v>1670.3155241786458</v>
      </c>
      <c r="K243" s="97">
        <f>+人工费!K243</f>
        <v>14.1851</v>
      </c>
      <c r="L243" s="267">
        <f t="shared" si="77"/>
        <v>314.12125739449539</v>
      </c>
      <c r="M243" s="205">
        <f t="shared" si="78"/>
        <v>4455.8414482666567</v>
      </c>
      <c r="N243" s="97">
        <f t="shared" si="79"/>
        <v>0</v>
      </c>
      <c r="O243" s="207"/>
      <c r="P243" s="205">
        <f>+O243*N243</f>
        <v>0</v>
      </c>
      <c r="Q243" s="207">
        <f>+人工费!Q243</f>
        <v>14.1851</v>
      </c>
      <c r="R243" s="267">
        <v>314.12125739449539</v>
      </c>
      <c r="S243" s="205">
        <f t="shared" si="80"/>
        <v>4455.8414482666567</v>
      </c>
      <c r="T243" s="207"/>
      <c r="U243" s="207"/>
      <c r="V243" s="205">
        <f>+U243*T243</f>
        <v>0</v>
      </c>
      <c r="W243" s="123"/>
      <c r="X243" s="214"/>
      <c r="Y243" s="214"/>
      <c r="Z243" s="207"/>
      <c r="AA243" s="207"/>
      <c r="AB243" s="205">
        <v>0</v>
      </c>
    </row>
    <row r="244" spans="1:28" s="308" customFormat="1" ht="23.1" hidden="1" customHeight="1" outlineLevel="2">
      <c r="A244" s="223">
        <v>1.4999999999999996</v>
      </c>
      <c r="B244" s="223" t="s">
        <v>245</v>
      </c>
      <c r="C244" s="223" t="s">
        <v>246</v>
      </c>
      <c r="D244" s="223" t="s">
        <v>247</v>
      </c>
      <c r="E244" s="101">
        <v>655.9</v>
      </c>
      <c r="F244" s="101">
        <v>4.6854041834862388</v>
      </c>
      <c r="G244" s="205">
        <f t="shared" si="75"/>
        <v>3073.1566039486238</v>
      </c>
      <c r="H244" s="101">
        <v>655.9</v>
      </c>
      <c r="I244" s="267"/>
      <c r="J244" s="205">
        <f t="shared" si="76"/>
        <v>0</v>
      </c>
      <c r="K244" s="97">
        <f>+人工费!K244</f>
        <v>655.9</v>
      </c>
      <c r="L244" s="267">
        <f t="shared" si="77"/>
        <v>4.6854041834862388</v>
      </c>
      <c r="M244" s="205">
        <f t="shared" si="78"/>
        <v>3073.1566039486238</v>
      </c>
      <c r="N244" s="97">
        <f t="shared" si="79"/>
        <v>0</v>
      </c>
      <c r="O244" s="207"/>
      <c r="P244" s="205">
        <f>+O244*N244</f>
        <v>0</v>
      </c>
      <c r="Q244" s="207">
        <f>+人工费!Q244</f>
        <v>655.9</v>
      </c>
      <c r="R244" s="267">
        <v>4.6854041834862388</v>
      </c>
      <c r="S244" s="205">
        <f t="shared" si="80"/>
        <v>3073.1566039486238</v>
      </c>
      <c r="T244" s="207"/>
      <c r="U244" s="207"/>
      <c r="V244" s="205">
        <f>+U244*T244</f>
        <v>0</v>
      </c>
      <c r="W244" s="123"/>
      <c r="X244" s="214"/>
      <c r="Y244" s="214"/>
      <c r="Z244" s="207"/>
      <c r="AA244" s="207"/>
      <c r="AB244" s="205">
        <v>0</v>
      </c>
    </row>
    <row r="245" spans="1:28" s="308" customFormat="1" ht="23.1" hidden="1" customHeight="1" outlineLevel="2">
      <c r="A245" s="223">
        <v>1.5999999999999994</v>
      </c>
      <c r="B245" s="196" t="s">
        <v>248</v>
      </c>
      <c r="C245" s="196" t="s">
        <v>249</v>
      </c>
      <c r="D245" s="314" t="s">
        <v>247</v>
      </c>
      <c r="E245" s="101">
        <v>278.89999999999998</v>
      </c>
      <c r="F245" s="101">
        <v>3.9456035229357798</v>
      </c>
      <c r="G245" s="205">
        <f t="shared" si="75"/>
        <v>1100.428822546789</v>
      </c>
      <c r="H245" s="101">
        <v>278.89999999999998</v>
      </c>
      <c r="I245" s="267"/>
      <c r="J245" s="205">
        <f t="shared" si="76"/>
        <v>0</v>
      </c>
      <c r="K245" s="97">
        <f>+人工费!K245</f>
        <v>0</v>
      </c>
      <c r="L245" s="267">
        <f t="shared" si="77"/>
        <v>3.9456035229357798</v>
      </c>
      <c r="M245" s="205">
        <f t="shared" si="78"/>
        <v>0</v>
      </c>
      <c r="N245" s="97">
        <f t="shared" si="79"/>
        <v>0</v>
      </c>
      <c r="O245" s="207"/>
      <c r="P245" s="205">
        <f>+O245*N245</f>
        <v>0</v>
      </c>
      <c r="Q245" s="207">
        <f>+人工费!Q245</f>
        <v>0</v>
      </c>
      <c r="R245" s="267">
        <v>3.9456035229357798</v>
      </c>
      <c r="S245" s="205">
        <f t="shared" si="80"/>
        <v>0</v>
      </c>
      <c r="T245" s="207"/>
      <c r="U245" s="207"/>
      <c r="V245" s="205">
        <f>+U245*T245</f>
        <v>0</v>
      </c>
      <c r="W245" s="123"/>
      <c r="X245" s="214"/>
      <c r="Y245" s="214"/>
      <c r="Z245" s="207"/>
      <c r="AA245" s="207"/>
      <c r="AB245" s="205">
        <v>0</v>
      </c>
    </row>
    <row r="246" spans="1:28" s="308" customFormat="1" ht="23.1" customHeight="1" outlineLevel="1" collapsed="1">
      <c r="A246" s="220">
        <v>2</v>
      </c>
      <c r="B246" s="315" t="s">
        <v>250</v>
      </c>
      <c r="C246" s="274"/>
      <c r="D246" s="315"/>
      <c r="E246" s="101">
        <v>0</v>
      </c>
      <c r="F246" s="101">
        <v>0</v>
      </c>
      <c r="G246" s="222">
        <f>SUM(G247:G256)</f>
        <v>627014.94907940342</v>
      </c>
      <c r="H246" s="101">
        <v>0</v>
      </c>
      <c r="I246" s="266"/>
      <c r="J246" s="222">
        <f>SUM(J247:J256)</f>
        <v>539397.09534513589</v>
      </c>
      <c r="K246" s="101"/>
      <c r="L246" s="266"/>
      <c r="M246" s="222">
        <f>SUM(M247:M256)</f>
        <v>0</v>
      </c>
      <c r="N246" s="229"/>
      <c r="O246" s="229"/>
      <c r="P246" s="222">
        <f>SUM(P247:P256)</f>
        <v>0</v>
      </c>
      <c r="Q246" s="207"/>
      <c r="R246" s="266"/>
      <c r="S246" s="222">
        <f>SUM(S247:S256)</f>
        <v>0</v>
      </c>
      <c r="T246" s="229"/>
      <c r="U246" s="229"/>
      <c r="V246" s="222">
        <f>SUM(V247:V256)</f>
        <v>0</v>
      </c>
      <c r="W246" s="137"/>
      <c r="X246" s="212"/>
      <c r="Y246" s="212"/>
      <c r="Z246" s="229"/>
      <c r="AA246" s="229"/>
      <c r="AB246" s="222">
        <v>0</v>
      </c>
    </row>
    <row r="247" spans="1:28" s="308" customFormat="1" ht="23.1" hidden="1" customHeight="1" outlineLevel="2">
      <c r="A247" s="223">
        <v>2.1</v>
      </c>
      <c r="B247" s="223" t="s">
        <v>251</v>
      </c>
      <c r="C247" s="223" t="s">
        <v>252</v>
      </c>
      <c r="D247" s="223" t="s">
        <v>247</v>
      </c>
      <c r="E247" s="101">
        <v>3413.14</v>
      </c>
      <c r="F247" s="101">
        <v>56.272273321100919</v>
      </c>
      <c r="G247" s="205">
        <f t="shared" ref="G247:G256" si="81">+F247*E247</f>
        <v>192065.14696318237</v>
      </c>
      <c r="H247" s="101">
        <v>3413.14</v>
      </c>
      <c r="I247" s="267">
        <v>45.354299514563102</v>
      </c>
      <c r="J247" s="205">
        <f t="shared" ref="J247:J256" si="82">+I247*H247</f>
        <v>154800.57384513589</v>
      </c>
      <c r="K247" s="97">
        <f>+人工费!K247</f>
        <v>0</v>
      </c>
      <c r="L247" s="267">
        <f t="shared" ref="L247:L256" si="83">+R247</f>
        <v>56.272273321100919</v>
      </c>
      <c r="M247" s="205">
        <f t="shared" ref="M247:M256" si="84">+L247*K247</f>
        <v>0</v>
      </c>
      <c r="N247" s="207"/>
      <c r="O247" s="207"/>
      <c r="P247" s="205">
        <f t="shared" ref="P247:P256" si="85">+O247*N247</f>
        <v>0</v>
      </c>
      <c r="Q247" s="207">
        <f>+人工费!Q247</f>
        <v>0</v>
      </c>
      <c r="R247" s="267">
        <v>56.272273321100919</v>
      </c>
      <c r="S247" s="205">
        <f t="shared" ref="S247:S256" si="86">+R247*Q247</f>
        <v>0</v>
      </c>
      <c r="T247" s="207"/>
      <c r="U247" s="207"/>
      <c r="V247" s="205">
        <f t="shared" ref="V247:V256" si="87">+U247*T247</f>
        <v>0</v>
      </c>
      <c r="W247" s="123"/>
      <c r="X247" s="214"/>
      <c r="Y247" s="214"/>
      <c r="Z247" s="207"/>
      <c r="AA247" s="207"/>
      <c r="AB247" s="205">
        <v>0</v>
      </c>
    </row>
    <row r="248" spans="1:28" s="308" customFormat="1" ht="23.1" hidden="1" customHeight="1" outlineLevel="2">
      <c r="A248" s="223">
        <v>2.2000000000000002</v>
      </c>
      <c r="B248" s="223" t="s">
        <v>253</v>
      </c>
      <c r="C248" s="223" t="s">
        <v>254</v>
      </c>
      <c r="D248" s="223" t="s">
        <v>247</v>
      </c>
      <c r="E248" s="101">
        <v>3413.14</v>
      </c>
      <c r="F248" s="101">
        <v>11.785446976453063</v>
      </c>
      <c r="G248" s="205">
        <f t="shared" si="81"/>
        <v>40225.380493211007</v>
      </c>
      <c r="H248" s="101">
        <v>3413.14</v>
      </c>
      <c r="I248" s="267">
        <v>15</v>
      </c>
      <c r="J248" s="205">
        <f t="shared" si="82"/>
        <v>51197.1</v>
      </c>
      <c r="K248" s="97">
        <f>+人工费!K248</f>
        <v>0</v>
      </c>
      <c r="L248" s="267">
        <f t="shared" si="83"/>
        <v>11.785446976453063</v>
      </c>
      <c r="M248" s="205">
        <f t="shared" si="84"/>
        <v>0</v>
      </c>
      <c r="N248" s="207"/>
      <c r="O248" s="207"/>
      <c r="P248" s="205">
        <f t="shared" si="85"/>
        <v>0</v>
      </c>
      <c r="Q248" s="207">
        <f>+人工费!Q248</f>
        <v>0</v>
      </c>
      <c r="R248" s="267">
        <v>11.785446976453063</v>
      </c>
      <c r="S248" s="205">
        <f t="shared" si="86"/>
        <v>0</v>
      </c>
      <c r="T248" s="207"/>
      <c r="U248" s="207"/>
      <c r="V248" s="205">
        <f t="shared" si="87"/>
        <v>0</v>
      </c>
      <c r="W248" s="123"/>
      <c r="X248" s="214"/>
      <c r="Y248" s="214"/>
      <c r="Z248" s="207"/>
      <c r="AA248" s="207"/>
      <c r="AB248" s="205">
        <v>0</v>
      </c>
    </row>
    <row r="249" spans="1:28" s="308" customFormat="1" ht="23.1" hidden="1" customHeight="1" outlineLevel="2">
      <c r="A249" s="223">
        <v>2.3000000000000003</v>
      </c>
      <c r="B249" s="223" t="s">
        <v>255</v>
      </c>
      <c r="C249" s="223" t="s">
        <v>256</v>
      </c>
      <c r="D249" s="223" t="s">
        <v>247</v>
      </c>
      <c r="E249" s="101">
        <v>6466.91</v>
      </c>
      <c r="F249" s="101">
        <v>24.538452293210547</v>
      </c>
      <c r="G249" s="205">
        <f t="shared" si="81"/>
        <v>158687.9625194862</v>
      </c>
      <c r="H249" s="101">
        <v>6466.91</v>
      </c>
      <c r="I249" s="267">
        <v>17.7</v>
      </c>
      <c r="J249" s="205">
        <f t="shared" si="82"/>
        <v>114464.30699999999</v>
      </c>
      <c r="K249" s="97">
        <f>+人工费!K249</f>
        <v>0</v>
      </c>
      <c r="L249" s="267">
        <f t="shared" si="83"/>
        <v>24.538452293210547</v>
      </c>
      <c r="M249" s="205">
        <f t="shared" si="84"/>
        <v>0</v>
      </c>
      <c r="N249" s="207"/>
      <c r="O249" s="207"/>
      <c r="P249" s="205">
        <f t="shared" si="85"/>
        <v>0</v>
      </c>
      <c r="Q249" s="207">
        <f>+人工费!Q249</f>
        <v>0</v>
      </c>
      <c r="R249" s="267">
        <v>24.538452293210547</v>
      </c>
      <c r="S249" s="205">
        <f t="shared" si="86"/>
        <v>0</v>
      </c>
      <c r="T249" s="207"/>
      <c r="U249" s="207"/>
      <c r="V249" s="205">
        <f t="shared" si="87"/>
        <v>0</v>
      </c>
      <c r="W249" s="123"/>
      <c r="X249" s="214"/>
      <c r="Y249" s="214"/>
      <c r="Z249" s="207"/>
      <c r="AA249" s="207"/>
      <c r="AB249" s="205">
        <v>0</v>
      </c>
    </row>
    <row r="250" spans="1:28" s="308" customFormat="1" ht="23.1" hidden="1" customHeight="1" outlineLevel="2">
      <c r="A250" s="223">
        <v>2.4000000000000004</v>
      </c>
      <c r="B250" s="223" t="s">
        <v>257</v>
      </c>
      <c r="C250" s="223" t="s">
        <v>254</v>
      </c>
      <c r="D250" s="223" t="s">
        <v>247</v>
      </c>
      <c r="E250" s="101">
        <v>6466.91</v>
      </c>
      <c r="F250" s="101">
        <v>11.785776393112835</v>
      </c>
      <c r="G250" s="205">
        <f t="shared" si="81"/>
        <v>76217.555214385327</v>
      </c>
      <c r="H250" s="101">
        <v>6466.91</v>
      </c>
      <c r="I250" s="267">
        <v>15</v>
      </c>
      <c r="J250" s="205">
        <f t="shared" si="82"/>
        <v>97003.65</v>
      </c>
      <c r="K250" s="97">
        <f>+人工费!K250</f>
        <v>0</v>
      </c>
      <c r="L250" s="267">
        <f t="shared" si="83"/>
        <v>11.785776393112835</v>
      </c>
      <c r="M250" s="205">
        <f t="shared" si="84"/>
        <v>0</v>
      </c>
      <c r="N250" s="207"/>
      <c r="O250" s="207"/>
      <c r="P250" s="205">
        <f t="shared" si="85"/>
        <v>0</v>
      </c>
      <c r="Q250" s="207">
        <f>+人工费!Q250</f>
        <v>0</v>
      </c>
      <c r="R250" s="267">
        <v>11.785776393112835</v>
      </c>
      <c r="S250" s="205">
        <f t="shared" si="86"/>
        <v>0</v>
      </c>
      <c r="T250" s="207"/>
      <c r="U250" s="207"/>
      <c r="V250" s="205">
        <f t="shared" si="87"/>
        <v>0</v>
      </c>
      <c r="W250" s="123"/>
      <c r="X250" s="214"/>
      <c r="Y250" s="214"/>
      <c r="Z250" s="207"/>
      <c r="AA250" s="207"/>
      <c r="AB250" s="205">
        <v>0</v>
      </c>
    </row>
    <row r="251" spans="1:28" s="308" customFormat="1" ht="23.1" hidden="1" customHeight="1" outlineLevel="2">
      <c r="A251" s="223">
        <v>2.5000000000000004</v>
      </c>
      <c r="B251" s="223" t="s">
        <v>258</v>
      </c>
      <c r="C251" s="223" t="s">
        <v>259</v>
      </c>
      <c r="D251" s="223" t="s">
        <v>247</v>
      </c>
      <c r="E251" s="101">
        <v>441.21</v>
      </c>
      <c r="F251" s="101">
        <v>76.781823941284401</v>
      </c>
      <c r="G251" s="205">
        <f t="shared" si="81"/>
        <v>33876.908541134086</v>
      </c>
      <c r="H251" s="101">
        <v>441.21</v>
      </c>
      <c r="I251" s="267">
        <v>50.75</v>
      </c>
      <c r="J251" s="205">
        <f t="shared" si="82"/>
        <v>22391.407499999998</v>
      </c>
      <c r="K251" s="97">
        <f>+人工费!K251</f>
        <v>0</v>
      </c>
      <c r="L251" s="267">
        <f t="shared" si="83"/>
        <v>76.781823941284401</v>
      </c>
      <c r="M251" s="205">
        <f t="shared" si="84"/>
        <v>0</v>
      </c>
      <c r="N251" s="207"/>
      <c r="O251" s="207"/>
      <c r="P251" s="205">
        <f t="shared" si="85"/>
        <v>0</v>
      </c>
      <c r="Q251" s="207">
        <f>+人工费!Q251</f>
        <v>0</v>
      </c>
      <c r="R251" s="267">
        <v>76.781823941284401</v>
      </c>
      <c r="S251" s="205">
        <f t="shared" si="86"/>
        <v>0</v>
      </c>
      <c r="T251" s="207"/>
      <c r="U251" s="207"/>
      <c r="V251" s="205">
        <f t="shared" si="87"/>
        <v>0</v>
      </c>
      <c r="W251" s="123"/>
      <c r="X251" s="214"/>
      <c r="Y251" s="214"/>
      <c r="Z251" s="207"/>
      <c r="AA251" s="207"/>
      <c r="AB251" s="205">
        <v>0</v>
      </c>
    </row>
    <row r="252" spans="1:28" s="308" customFormat="1" ht="23.1" hidden="1" customHeight="1" outlineLevel="2">
      <c r="A252" s="223">
        <v>2.6000000000000005</v>
      </c>
      <c r="B252" s="223" t="s">
        <v>260</v>
      </c>
      <c r="C252" s="223" t="s">
        <v>261</v>
      </c>
      <c r="D252" s="223" t="s">
        <v>103</v>
      </c>
      <c r="E252" s="101">
        <v>110.3</v>
      </c>
      <c r="F252" s="101">
        <v>455.38524506422016</v>
      </c>
      <c r="G252" s="205">
        <f t="shared" si="81"/>
        <v>50228.992530583484</v>
      </c>
      <c r="H252" s="101">
        <v>110.3</v>
      </c>
      <c r="I252" s="267">
        <v>378.21</v>
      </c>
      <c r="J252" s="205">
        <f t="shared" si="82"/>
        <v>41716.562999999995</v>
      </c>
      <c r="K252" s="97">
        <f>+人工费!K252</f>
        <v>0</v>
      </c>
      <c r="L252" s="267">
        <f t="shared" si="83"/>
        <v>455.38524506422016</v>
      </c>
      <c r="M252" s="205">
        <f t="shared" si="84"/>
        <v>0</v>
      </c>
      <c r="N252" s="207"/>
      <c r="O252" s="207"/>
      <c r="P252" s="205">
        <f t="shared" si="85"/>
        <v>0</v>
      </c>
      <c r="Q252" s="207">
        <f>+人工费!Q252</f>
        <v>0</v>
      </c>
      <c r="R252" s="267">
        <v>455.38524506422016</v>
      </c>
      <c r="S252" s="205">
        <f t="shared" si="86"/>
        <v>0</v>
      </c>
      <c r="T252" s="207"/>
      <c r="U252" s="207"/>
      <c r="V252" s="205">
        <f t="shared" si="87"/>
        <v>0</v>
      </c>
      <c r="W252" s="123"/>
      <c r="X252" s="214"/>
      <c r="Y252" s="214"/>
      <c r="Z252" s="207"/>
      <c r="AA252" s="207"/>
      <c r="AB252" s="205">
        <v>0</v>
      </c>
    </row>
    <row r="253" spans="1:28" s="308" customFormat="1" ht="23.1" hidden="1" customHeight="1" outlineLevel="2">
      <c r="A253" s="223">
        <v>2.7000000000000006</v>
      </c>
      <c r="B253" s="223" t="s">
        <v>262</v>
      </c>
      <c r="C253" s="223" t="s">
        <v>263</v>
      </c>
      <c r="D253" s="223" t="s">
        <v>247</v>
      </c>
      <c r="E253" s="101">
        <v>512.29</v>
      </c>
      <c r="F253" s="101">
        <v>79.071412139449535</v>
      </c>
      <c r="G253" s="205">
        <f t="shared" si="81"/>
        <v>40507.493724918597</v>
      </c>
      <c r="H253" s="101">
        <v>512.29</v>
      </c>
      <c r="I253" s="267">
        <v>55.76</v>
      </c>
      <c r="J253" s="205">
        <f t="shared" si="82"/>
        <v>28565.290399999998</v>
      </c>
      <c r="K253" s="97">
        <f>+人工费!K253</f>
        <v>0</v>
      </c>
      <c r="L253" s="267">
        <f t="shared" si="83"/>
        <v>79.071412139449535</v>
      </c>
      <c r="M253" s="205">
        <f t="shared" si="84"/>
        <v>0</v>
      </c>
      <c r="N253" s="207"/>
      <c r="O253" s="207"/>
      <c r="P253" s="205">
        <f t="shared" si="85"/>
        <v>0</v>
      </c>
      <c r="Q253" s="207">
        <f>+人工费!Q253</f>
        <v>0</v>
      </c>
      <c r="R253" s="267">
        <v>79.071412139449535</v>
      </c>
      <c r="S253" s="205">
        <f t="shared" si="86"/>
        <v>0</v>
      </c>
      <c r="T253" s="207"/>
      <c r="U253" s="207"/>
      <c r="V253" s="205">
        <f t="shared" si="87"/>
        <v>0</v>
      </c>
      <c r="W253" s="123"/>
      <c r="X253" s="214"/>
      <c r="Y253" s="214"/>
      <c r="Z253" s="207"/>
      <c r="AA253" s="207"/>
      <c r="AB253" s="205">
        <v>0</v>
      </c>
    </row>
    <row r="254" spans="1:28" s="308" customFormat="1" ht="23.1" hidden="1" customHeight="1" outlineLevel="2">
      <c r="A254" s="223">
        <v>2.8000000000000007</v>
      </c>
      <c r="B254" s="223" t="s">
        <v>264</v>
      </c>
      <c r="C254" s="223" t="s">
        <v>265</v>
      </c>
      <c r="D254" s="223" t="s">
        <v>247</v>
      </c>
      <c r="E254" s="101">
        <v>512.29</v>
      </c>
      <c r="F254" s="101">
        <v>54.642814943119262</v>
      </c>
      <c r="G254" s="205">
        <f t="shared" si="81"/>
        <v>27992.967667210563</v>
      </c>
      <c r="H254" s="101">
        <v>512.29</v>
      </c>
      <c r="I254" s="267">
        <v>45.39</v>
      </c>
      <c r="J254" s="205">
        <f t="shared" si="82"/>
        <v>23252.843099999998</v>
      </c>
      <c r="K254" s="97">
        <f>+人工费!K254</f>
        <v>0</v>
      </c>
      <c r="L254" s="267">
        <f t="shared" si="83"/>
        <v>54.642814943119262</v>
      </c>
      <c r="M254" s="205">
        <f t="shared" si="84"/>
        <v>0</v>
      </c>
      <c r="N254" s="207"/>
      <c r="O254" s="207"/>
      <c r="P254" s="205">
        <f t="shared" si="85"/>
        <v>0</v>
      </c>
      <c r="Q254" s="207">
        <f>+人工费!Q254</f>
        <v>0</v>
      </c>
      <c r="R254" s="267">
        <v>54.642814943119262</v>
      </c>
      <c r="S254" s="205">
        <f t="shared" si="86"/>
        <v>0</v>
      </c>
      <c r="T254" s="207"/>
      <c r="U254" s="207"/>
      <c r="V254" s="205">
        <f t="shared" si="87"/>
        <v>0</v>
      </c>
      <c r="W254" s="123"/>
      <c r="X254" s="214"/>
      <c r="Y254" s="214"/>
      <c r="Z254" s="207"/>
      <c r="AA254" s="207"/>
      <c r="AB254" s="205">
        <v>0</v>
      </c>
    </row>
    <row r="255" spans="1:28" s="308" customFormat="1" ht="23.1" hidden="1" customHeight="1" outlineLevel="2">
      <c r="A255" s="223">
        <v>2.9000000000000008</v>
      </c>
      <c r="B255" s="223" t="s">
        <v>266</v>
      </c>
      <c r="C255" s="223" t="s">
        <v>267</v>
      </c>
      <c r="D255" s="223" t="s">
        <v>247</v>
      </c>
      <c r="E255" s="101">
        <v>152.15</v>
      </c>
      <c r="F255" s="101">
        <v>24.627110373577985</v>
      </c>
      <c r="G255" s="205">
        <f t="shared" si="81"/>
        <v>3747.0148433398904</v>
      </c>
      <c r="H255" s="101">
        <v>152.15</v>
      </c>
      <c r="I255" s="267">
        <v>20.56</v>
      </c>
      <c r="J255" s="205">
        <f t="shared" si="82"/>
        <v>3128.2039999999997</v>
      </c>
      <c r="K255" s="97">
        <f>+人工费!K255</f>
        <v>0</v>
      </c>
      <c r="L255" s="267">
        <f t="shared" si="83"/>
        <v>24.627110373577985</v>
      </c>
      <c r="M255" s="205">
        <f t="shared" si="84"/>
        <v>0</v>
      </c>
      <c r="N255" s="207"/>
      <c r="O255" s="207"/>
      <c r="P255" s="205">
        <f t="shared" si="85"/>
        <v>0</v>
      </c>
      <c r="Q255" s="207">
        <f>+人工费!Q255</f>
        <v>0</v>
      </c>
      <c r="R255" s="267">
        <v>24.627110373577985</v>
      </c>
      <c r="S255" s="205">
        <f t="shared" si="86"/>
        <v>0</v>
      </c>
      <c r="T255" s="207"/>
      <c r="U255" s="207"/>
      <c r="V255" s="205">
        <f t="shared" si="87"/>
        <v>0</v>
      </c>
      <c r="W255" s="123"/>
      <c r="X255" s="214"/>
      <c r="Y255" s="214"/>
      <c r="Z255" s="207"/>
      <c r="AA255" s="207"/>
      <c r="AB255" s="205">
        <v>0</v>
      </c>
    </row>
    <row r="256" spans="1:28" s="308" customFormat="1" ht="23.1" hidden="1" customHeight="1" outlineLevel="2">
      <c r="A256" s="267">
        <v>2.1</v>
      </c>
      <c r="B256" s="223" t="s">
        <v>268</v>
      </c>
      <c r="C256" s="223" t="s">
        <v>269</v>
      </c>
      <c r="D256" s="223" t="s">
        <v>247</v>
      </c>
      <c r="E256" s="101">
        <v>152.15</v>
      </c>
      <c r="F256" s="101">
        <v>22.777039644770635</v>
      </c>
      <c r="G256" s="205">
        <f t="shared" si="81"/>
        <v>3465.5265819518522</v>
      </c>
      <c r="H256" s="101">
        <v>152.15</v>
      </c>
      <c r="I256" s="267">
        <v>18.91</v>
      </c>
      <c r="J256" s="205">
        <f t="shared" si="82"/>
        <v>2877.1565000000001</v>
      </c>
      <c r="K256" s="97">
        <f>+人工费!K256</f>
        <v>0</v>
      </c>
      <c r="L256" s="267">
        <f t="shared" si="83"/>
        <v>22.777039644770635</v>
      </c>
      <c r="M256" s="205">
        <f t="shared" si="84"/>
        <v>0</v>
      </c>
      <c r="N256" s="207"/>
      <c r="O256" s="207"/>
      <c r="P256" s="205">
        <f t="shared" si="85"/>
        <v>0</v>
      </c>
      <c r="Q256" s="207">
        <f>+人工费!Q256</f>
        <v>0</v>
      </c>
      <c r="R256" s="267">
        <v>22.777039644770635</v>
      </c>
      <c r="S256" s="205">
        <f t="shared" si="86"/>
        <v>0</v>
      </c>
      <c r="T256" s="207"/>
      <c r="U256" s="207"/>
      <c r="V256" s="205">
        <f t="shared" si="87"/>
        <v>0</v>
      </c>
      <c r="W256" s="123"/>
      <c r="X256" s="214"/>
      <c r="Y256" s="214"/>
      <c r="Z256" s="207"/>
      <c r="AA256" s="207"/>
      <c r="AB256" s="205">
        <v>0</v>
      </c>
    </row>
    <row r="257" spans="1:28" s="308" customFormat="1" ht="23.1" customHeight="1" collapsed="1">
      <c r="A257" s="220" t="s">
        <v>270</v>
      </c>
      <c r="B257" s="220" t="s">
        <v>271</v>
      </c>
      <c r="C257" s="220"/>
      <c r="D257" s="220"/>
      <c r="E257" s="101">
        <v>0</v>
      </c>
      <c r="F257" s="101">
        <v>0</v>
      </c>
      <c r="G257" s="222">
        <f>SUM(G258:G267)</f>
        <v>110809.48200446532</v>
      </c>
      <c r="H257" s="101">
        <v>0</v>
      </c>
      <c r="I257" s="266"/>
      <c r="J257" s="222">
        <f>SUM(J258:J267)</f>
        <v>96046.244300000006</v>
      </c>
      <c r="K257" s="101"/>
      <c r="L257" s="266"/>
      <c r="M257" s="222">
        <f>SUM(M258:M267)</f>
        <v>58269.099023030736</v>
      </c>
      <c r="N257" s="229"/>
      <c r="O257" s="229"/>
      <c r="P257" s="222">
        <f>SUM(P258:P267)</f>
        <v>0</v>
      </c>
      <c r="Q257" s="207"/>
      <c r="R257" s="266"/>
      <c r="S257" s="222">
        <f>SUM(S258:S267)</f>
        <v>110349.26680955008</v>
      </c>
      <c r="T257" s="229"/>
      <c r="U257" s="229"/>
      <c r="V257" s="222">
        <f>SUM(V258:V267)</f>
        <v>0</v>
      </c>
      <c r="W257" s="137"/>
      <c r="X257" s="212"/>
      <c r="Y257" s="212"/>
      <c r="Z257" s="229"/>
      <c r="AA257" s="229"/>
      <c r="AB257" s="222">
        <v>0</v>
      </c>
    </row>
    <row r="258" spans="1:28" s="308" customFormat="1" ht="23.1" hidden="1" customHeight="1" outlineLevel="1">
      <c r="A258" s="223">
        <v>1</v>
      </c>
      <c r="B258" s="223" t="s">
        <v>272</v>
      </c>
      <c r="C258" s="223" t="s">
        <v>273</v>
      </c>
      <c r="D258" s="223" t="s">
        <v>103</v>
      </c>
      <c r="E258" s="101">
        <v>96.19</v>
      </c>
      <c r="F258" s="101">
        <v>315.23095838532112</v>
      </c>
      <c r="G258" s="205">
        <f t="shared" ref="G258:G267" si="88">+F258*E258</f>
        <v>30322.065887084038</v>
      </c>
      <c r="H258" s="101">
        <v>96.19</v>
      </c>
      <c r="I258" s="267">
        <v>287.61</v>
      </c>
      <c r="J258" s="205">
        <f t="shared" ref="J258:J267" si="89">+I258*H258</f>
        <v>27665.205900000001</v>
      </c>
      <c r="K258" s="97">
        <f>+人工费!K258</f>
        <v>96.19</v>
      </c>
      <c r="L258" s="267">
        <f t="shared" ref="L258:L267" si="90">+R258</f>
        <v>315.23095838532112</v>
      </c>
      <c r="M258" s="205">
        <f t="shared" ref="M258:M267" si="91">+L258*K258</f>
        <v>30322.065887084038</v>
      </c>
      <c r="N258" s="207"/>
      <c r="O258" s="207"/>
      <c r="P258" s="205">
        <f t="shared" ref="P258:P267" si="92">+O258*N258</f>
        <v>0</v>
      </c>
      <c r="Q258" s="207">
        <f>+人工费!Q258</f>
        <v>96.19</v>
      </c>
      <c r="R258" s="267">
        <v>315.23095838532112</v>
      </c>
      <c r="S258" s="205">
        <f t="shared" ref="S258:S267" si="93">+R258*Q258</f>
        <v>30322.065887084038</v>
      </c>
      <c r="T258" s="207"/>
      <c r="U258" s="207"/>
      <c r="V258" s="205">
        <f t="shared" ref="V258:V267" si="94">+U258*T258</f>
        <v>0</v>
      </c>
      <c r="W258" s="123"/>
      <c r="X258" s="214"/>
      <c r="Y258" s="214"/>
      <c r="Z258" s="207"/>
      <c r="AA258" s="207"/>
      <c r="AB258" s="205">
        <v>0</v>
      </c>
    </row>
    <row r="259" spans="1:28" s="308" customFormat="1" ht="23.1" hidden="1" customHeight="1" outlineLevel="1">
      <c r="A259" s="223">
        <v>2</v>
      </c>
      <c r="B259" s="223" t="s">
        <v>272</v>
      </c>
      <c r="C259" s="223" t="s">
        <v>274</v>
      </c>
      <c r="D259" s="223" t="s">
        <v>103</v>
      </c>
      <c r="E259" s="101">
        <v>26.4</v>
      </c>
      <c r="F259" s="101">
        <v>315.23095838532112</v>
      </c>
      <c r="G259" s="205">
        <f t="shared" si="88"/>
        <v>8322.0973013724779</v>
      </c>
      <c r="H259" s="101">
        <v>26.4</v>
      </c>
      <c r="I259" s="267">
        <v>287.61</v>
      </c>
      <c r="J259" s="205">
        <f t="shared" si="89"/>
        <v>7592.9039999999995</v>
      </c>
      <c r="K259" s="97">
        <f>+人工费!K259</f>
        <v>26.4</v>
      </c>
      <c r="L259" s="267">
        <f t="shared" si="90"/>
        <v>315.23095838532112</v>
      </c>
      <c r="M259" s="205">
        <f t="shared" si="91"/>
        <v>8322.0973013724779</v>
      </c>
      <c r="N259" s="207"/>
      <c r="O259" s="207"/>
      <c r="P259" s="205">
        <f t="shared" si="92"/>
        <v>0</v>
      </c>
      <c r="Q259" s="207">
        <f>+人工费!Q259</f>
        <v>26.4</v>
      </c>
      <c r="R259" s="267">
        <v>315.23095838532112</v>
      </c>
      <c r="S259" s="205">
        <f t="shared" si="93"/>
        <v>8322.0973013724779</v>
      </c>
      <c r="T259" s="207"/>
      <c r="U259" s="207"/>
      <c r="V259" s="205">
        <f t="shared" si="94"/>
        <v>0</v>
      </c>
      <c r="W259" s="123"/>
      <c r="X259" s="214"/>
      <c r="Y259" s="214"/>
      <c r="Z259" s="207"/>
      <c r="AA259" s="207"/>
      <c r="AB259" s="205">
        <v>0</v>
      </c>
    </row>
    <row r="260" spans="1:28" s="308" customFormat="1" ht="23.1" hidden="1" customHeight="1" outlineLevel="1">
      <c r="A260" s="223">
        <v>3</v>
      </c>
      <c r="B260" s="223" t="s">
        <v>240</v>
      </c>
      <c r="C260" s="223" t="s">
        <v>275</v>
      </c>
      <c r="D260" s="223" t="s">
        <v>103</v>
      </c>
      <c r="E260" s="101">
        <v>100.79</v>
      </c>
      <c r="F260" s="101">
        <v>295.5313946422018</v>
      </c>
      <c r="G260" s="205">
        <f t="shared" si="88"/>
        <v>29786.609265987521</v>
      </c>
      <c r="H260" s="101">
        <v>100.79</v>
      </c>
      <c r="I260" s="267">
        <v>287.61</v>
      </c>
      <c r="J260" s="205">
        <f t="shared" si="89"/>
        <v>28988.211900000002</v>
      </c>
      <c r="K260" s="97">
        <f>+人工费!K260</f>
        <v>100.79</v>
      </c>
      <c r="L260" s="267">
        <f t="shared" si="90"/>
        <v>295.5313946422018</v>
      </c>
      <c r="M260" s="205">
        <f t="shared" si="91"/>
        <v>29786.609265987521</v>
      </c>
      <c r="N260" s="207"/>
      <c r="O260" s="207"/>
      <c r="P260" s="205">
        <f t="shared" si="92"/>
        <v>0</v>
      </c>
      <c r="Q260" s="207">
        <f>+人工费!Q260</f>
        <v>100.79</v>
      </c>
      <c r="R260" s="267">
        <v>295.5313946422018</v>
      </c>
      <c r="S260" s="205">
        <f t="shared" si="93"/>
        <v>29786.609265987521</v>
      </c>
      <c r="T260" s="207"/>
      <c r="U260" s="207"/>
      <c r="V260" s="205">
        <f t="shared" si="94"/>
        <v>0</v>
      </c>
      <c r="W260" s="123"/>
      <c r="X260" s="214"/>
      <c r="Y260" s="214"/>
      <c r="Z260" s="207"/>
      <c r="AA260" s="207"/>
      <c r="AB260" s="205">
        <v>0</v>
      </c>
    </row>
    <row r="261" spans="1:28" s="308" customFormat="1" ht="23.1" hidden="1" customHeight="1" outlineLevel="1">
      <c r="A261" s="223">
        <v>4</v>
      </c>
      <c r="B261" s="223" t="s">
        <v>240</v>
      </c>
      <c r="C261" s="223" t="s">
        <v>276</v>
      </c>
      <c r="D261" s="223" t="s">
        <v>103</v>
      </c>
      <c r="E261" s="101">
        <v>28.46</v>
      </c>
      <c r="F261" s="101">
        <v>295.5313946422018</v>
      </c>
      <c r="G261" s="205">
        <f t="shared" si="88"/>
        <v>8410.8234915170633</v>
      </c>
      <c r="H261" s="101">
        <v>28.46</v>
      </c>
      <c r="I261" s="267">
        <v>287.61</v>
      </c>
      <c r="J261" s="205">
        <f t="shared" si="89"/>
        <v>8185.3806000000004</v>
      </c>
      <c r="K261" s="97">
        <f>+人工费!K261</f>
        <v>-147.76550000000003</v>
      </c>
      <c r="L261" s="267">
        <f t="shared" si="90"/>
        <v>295.5313946422018</v>
      </c>
      <c r="M261" s="205">
        <f t="shared" si="91"/>
        <v>-43669.34429500228</v>
      </c>
      <c r="N261" s="207"/>
      <c r="O261" s="207"/>
      <c r="P261" s="205">
        <f t="shared" si="92"/>
        <v>0</v>
      </c>
      <c r="Q261" s="207">
        <f>+人工费!Q261</f>
        <v>28.46</v>
      </c>
      <c r="R261" s="267">
        <v>295.5313946422018</v>
      </c>
      <c r="S261" s="205">
        <f t="shared" si="93"/>
        <v>8410.8234915170633</v>
      </c>
      <c r="T261" s="207"/>
      <c r="U261" s="207"/>
      <c r="V261" s="205">
        <f t="shared" si="94"/>
        <v>0</v>
      </c>
      <c r="W261" s="123"/>
      <c r="X261" s="214"/>
      <c r="Y261" s="214"/>
      <c r="Z261" s="207"/>
      <c r="AA261" s="207"/>
      <c r="AB261" s="205">
        <v>0</v>
      </c>
    </row>
    <row r="262" spans="1:28" s="308" customFormat="1" ht="23.1" hidden="1" customHeight="1" outlineLevel="1">
      <c r="A262" s="223">
        <v>5</v>
      </c>
      <c r="B262" s="223" t="s">
        <v>240</v>
      </c>
      <c r="C262" s="223" t="s">
        <v>277</v>
      </c>
      <c r="D262" s="223" t="s">
        <v>103</v>
      </c>
      <c r="E262" s="101">
        <v>6.59</v>
      </c>
      <c r="F262" s="101">
        <v>294.42169365137619</v>
      </c>
      <c r="G262" s="205">
        <f t="shared" si="88"/>
        <v>1940.238961162569</v>
      </c>
      <c r="H262" s="101">
        <v>6.59</v>
      </c>
      <c r="I262" s="267">
        <v>287.61</v>
      </c>
      <c r="J262" s="205">
        <f t="shared" si="89"/>
        <v>1895.3499000000002</v>
      </c>
      <c r="K262" s="97">
        <f>+人工费!K262</f>
        <v>6.59</v>
      </c>
      <c r="L262" s="267">
        <f t="shared" si="90"/>
        <v>294.42169365137619</v>
      </c>
      <c r="M262" s="205">
        <f t="shared" si="91"/>
        <v>1940.238961162569</v>
      </c>
      <c r="N262" s="207"/>
      <c r="O262" s="207"/>
      <c r="P262" s="205">
        <f t="shared" si="92"/>
        <v>0</v>
      </c>
      <c r="Q262" s="207">
        <f>+人工费!Q262</f>
        <v>6.59</v>
      </c>
      <c r="R262" s="267">
        <v>294.42169365137619</v>
      </c>
      <c r="S262" s="205">
        <f t="shared" si="93"/>
        <v>1940.238961162569</v>
      </c>
      <c r="T262" s="207"/>
      <c r="U262" s="207"/>
      <c r="V262" s="205">
        <f t="shared" si="94"/>
        <v>0</v>
      </c>
      <c r="W262" s="123"/>
      <c r="X262" s="214"/>
      <c r="Y262" s="214"/>
      <c r="Z262" s="207"/>
      <c r="AA262" s="207"/>
      <c r="AB262" s="205">
        <v>0</v>
      </c>
    </row>
    <row r="263" spans="1:28" s="308" customFormat="1" ht="23.1" hidden="1" customHeight="1" outlineLevel="1">
      <c r="A263" s="223">
        <v>6</v>
      </c>
      <c r="B263" s="223" t="s">
        <v>240</v>
      </c>
      <c r="C263" s="223" t="s">
        <v>278</v>
      </c>
      <c r="D263" s="223" t="s">
        <v>103</v>
      </c>
      <c r="E263" s="101">
        <v>23.2</v>
      </c>
      <c r="F263" s="101">
        <v>294.42169365137619</v>
      </c>
      <c r="G263" s="205">
        <f t="shared" si="88"/>
        <v>6830.5832927119272</v>
      </c>
      <c r="H263" s="101">
        <v>23.2</v>
      </c>
      <c r="I263" s="267">
        <v>287.61</v>
      </c>
      <c r="J263" s="205">
        <f t="shared" si="89"/>
        <v>6672.5519999999997</v>
      </c>
      <c r="K263" s="97">
        <f>+人工费!K263</f>
        <v>23.2</v>
      </c>
      <c r="L263" s="267">
        <f t="shared" si="90"/>
        <v>294.42169365137619</v>
      </c>
      <c r="M263" s="205">
        <f t="shared" si="91"/>
        <v>6830.5832927119272</v>
      </c>
      <c r="N263" s="207"/>
      <c r="O263" s="207"/>
      <c r="P263" s="205">
        <f t="shared" si="92"/>
        <v>0</v>
      </c>
      <c r="Q263" s="207">
        <f>+人工费!Q263</f>
        <v>23.2</v>
      </c>
      <c r="R263" s="267">
        <v>294.42169365137619</v>
      </c>
      <c r="S263" s="205">
        <f t="shared" si="93"/>
        <v>6830.5832927119272</v>
      </c>
      <c r="T263" s="207"/>
      <c r="U263" s="207"/>
      <c r="V263" s="205">
        <f t="shared" si="94"/>
        <v>0</v>
      </c>
      <c r="W263" s="123"/>
      <c r="X263" s="214"/>
      <c r="Y263" s="214"/>
      <c r="Z263" s="207"/>
      <c r="AA263" s="207"/>
      <c r="AB263" s="205">
        <v>0</v>
      </c>
    </row>
    <row r="264" spans="1:28" s="308" customFormat="1" ht="23.1" hidden="1" customHeight="1" outlineLevel="1">
      <c r="A264" s="223">
        <v>7</v>
      </c>
      <c r="B264" s="223" t="s">
        <v>279</v>
      </c>
      <c r="C264" s="223" t="s">
        <v>280</v>
      </c>
      <c r="D264" s="223" t="s">
        <v>103</v>
      </c>
      <c r="E264" s="101">
        <v>30.24</v>
      </c>
      <c r="F264" s="101">
        <v>472.75159133944953</v>
      </c>
      <c r="G264" s="205">
        <f t="shared" si="88"/>
        <v>14296.008122104953</v>
      </c>
      <c r="H264" s="101">
        <v>30.24</v>
      </c>
      <c r="I264" s="267">
        <v>388</v>
      </c>
      <c r="J264" s="205">
        <f t="shared" si="89"/>
        <v>11733.119999999999</v>
      </c>
      <c r="K264" s="97">
        <f>+人工费!K264</f>
        <v>30.24</v>
      </c>
      <c r="L264" s="267">
        <f t="shared" si="90"/>
        <v>472.75159133944953</v>
      </c>
      <c r="M264" s="205">
        <f t="shared" si="91"/>
        <v>14296.008122104953</v>
      </c>
      <c r="N264" s="207"/>
      <c r="O264" s="207"/>
      <c r="P264" s="205">
        <f t="shared" si="92"/>
        <v>0</v>
      </c>
      <c r="Q264" s="207">
        <f>+人工费!Q264</f>
        <v>30.24</v>
      </c>
      <c r="R264" s="267">
        <v>472.75159133944953</v>
      </c>
      <c r="S264" s="205">
        <f t="shared" si="93"/>
        <v>14296.008122104953</v>
      </c>
      <c r="T264" s="207"/>
      <c r="U264" s="207"/>
      <c r="V264" s="205">
        <f t="shared" si="94"/>
        <v>0</v>
      </c>
      <c r="W264" s="123"/>
      <c r="X264" s="214"/>
      <c r="Y264" s="214"/>
      <c r="Z264" s="207"/>
      <c r="AA264" s="207"/>
      <c r="AB264" s="205">
        <v>0</v>
      </c>
    </row>
    <row r="265" spans="1:28" s="308" customFormat="1" ht="23.1" hidden="1" customHeight="1" outlineLevel="1">
      <c r="A265" s="223">
        <v>8</v>
      </c>
      <c r="B265" s="223" t="s">
        <v>279</v>
      </c>
      <c r="C265" s="223" t="s">
        <v>281</v>
      </c>
      <c r="D265" s="223" t="s">
        <v>103</v>
      </c>
      <c r="E265" s="101">
        <v>8.5399999999999991</v>
      </c>
      <c r="F265" s="101">
        <v>472.75159133944953</v>
      </c>
      <c r="G265" s="205">
        <f t="shared" si="88"/>
        <v>4037.2985900388985</v>
      </c>
      <c r="H265" s="101">
        <v>8.5399999999999991</v>
      </c>
      <c r="I265" s="267">
        <v>388</v>
      </c>
      <c r="J265" s="205">
        <f t="shared" si="89"/>
        <v>3313.5199999999995</v>
      </c>
      <c r="K265" s="97">
        <f>+人工费!K265</f>
        <v>8.5399999999999991</v>
      </c>
      <c r="L265" s="267">
        <f t="shared" si="90"/>
        <v>472.75159133944953</v>
      </c>
      <c r="M265" s="205">
        <f t="shared" si="91"/>
        <v>4037.2985900388985</v>
      </c>
      <c r="N265" s="207"/>
      <c r="O265" s="207"/>
      <c r="P265" s="205">
        <f t="shared" si="92"/>
        <v>0</v>
      </c>
      <c r="Q265" s="207">
        <f>+人工费!Q265</f>
        <v>8.5399999999999991</v>
      </c>
      <c r="R265" s="267">
        <v>472.75159133944953</v>
      </c>
      <c r="S265" s="205">
        <f t="shared" si="93"/>
        <v>4037.2985900388985</v>
      </c>
      <c r="T265" s="207"/>
      <c r="U265" s="207"/>
      <c r="V265" s="205">
        <f t="shared" si="94"/>
        <v>0</v>
      </c>
      <c r="W265" s="123"/>
      <c r="X265" s="214"/>
      <c r="Y265" s="214"/>
      <c r="Z265" s="207"/>
      <c r="AA265" s="207"/>
      <c r="AB265" s="205">
        <v>0</v>
      </c>
    </row>
    <row r="266" spans="1:28" s="308" customFormat="1" ht="23.1" hidden="1" customHeight="1" outlineLevel="1">
      <c r="A266" s="223">
        <v>9</v>
      </c>
      <c r="B266" s="223" t="s">
        <v>245</v>
      </c>
      <c r="C266" s="223" t="s">
        <v>282</v>
      </c>
      <c r="D266" s="223" t="s">
        <v>247</v>
      </c>
      <c r="E266" s="101">
        <v>1366.7</v>
      </c>
      <c r="F266" s="101">
        <v>4.6854041834862388</v>
      </c>
      <c r="G266" s="205">
        <f t="shared" si="88"/>
        <v>6403.5418975706425</v>
      </c>
      <c r="H266" s="101">
        <v>1366.7</v>
      </c>
      <c r="I266" s="267"/>
      <c r="J266" s="205">
        <f t="shared" si="89"/>
        <v>0</v>
      </c>
      <c r="K266" s="97">
        <f>+人工费!K266</f>
        <v>1366.7</v>
      </c>
      <c r="L266" s="267">
        <f t="shared" si="90"/>
        <v>4.6854041834862388</v>
      </c>
      <c r="M266" s="205">
        <f t="shared" si="91"/>
        <v>6403.5418975706425</v>
      </c>
      <c r="N266" s="207"/>
      <c r="O266" s="207"/>
      <c r="P266" s="205">
        <f t="shared" si="92"/>
        <v>0</v>
      </c>
      <c r="Q266" s="207">
        <f>+人工费!Q266</f>
        <v>1366.7</v>
      </c>
      <c r="R266" s="267">
        <v>4.6854041834862388</v>
      </c>
      <c r="S266" s="205">
        <f t="shared" si="93"/>
        <v>6403.5418975706425</v>
      </c>
      <c r="T266" s="207"/>
      <c r="U266" s="207"/>
      <c r="V266" s="205">
        <f t="shared" si="94"/>
        <v>0</v>
      </c>
      <c r="W266" s="123"/>
      <c r="X266" s="214"/>
      <c r="Y266" s="214"/>
      <c r="Z266" s="207"/>
      <c r="AA266" s="207"/>
      <c r="AB266" s="205">
        <v>0</v>
      </c>
    </row>
    <row r="267" spans="1:28" s="308" customFormat="1" ht="23.1" hidden="1" customHeight="1" outlineLevel="1">
      <c r="A267" s="223">
        <v>10</v>
      </c>
      <c r="B267" s="223" t="s">
        <v>248</v>
      </c>
      <c r="C267" s="223" t="s">
        <v>283</v>
      </c>
      <c r="D267" s="223" t="s">
        <v>247</v>
      </c>
      <c r="E267" s="101">
        <v>116.64</v>
      </c>
      <c r="F267" s="101">
        <v>3.9456035229357798</v>
      </c>
      <c r="G267" s="205">
        <f t="shared" si="88"/>
        <v>460.21519491522935</v>
      </c>
      <c r="H267" s="101">
        <v>116.64</v>
      </c>
      <c r="I267" s="267"/>
      <c r="J267" s="205">
        <f t="shared" si="89"/>
        <v>0</v>
      </c>
      <c r="K267" s="97">
        <f>+人工费!K267</f>
        <v>0</v>
      </c>
      <c r="L267" s="267">
        <f t="shared" si="90"/>
        <v>3.9456035229357798</v>
      </c>
      <c r="M267" s="205">
        <f t="shared" si="91"/>
        <v>0</v>
      </c>
      <c r="N267" s="207"/>
      <c r="O267" s="207"/>
      <c r="P267" s="205">
        <f t="shared" si="92"/>
        <v>0</v>
      </c>
      <c r="Q267" s="207">
        <f>+人工费!Q267</f>
        <v>0</v>
      </c>
      <c r="R267" s="267">
        <v>3.9456035229357798</v>
      </c>
      <c r="S267" s="205">
        <f t="shared" si="93"/>
        <v>0</v>
      </c>
      <c r="T267" s="207"/>
      <c r="U267" s="207"/>
      <c r="V267" s="205">
        <f t="shared" si="94"/>
        <v>0</v>
      </c>
      <c r="W267" s="123"/>
      <c r="X267" s="214"/>
      <c r="Y267" s="214"/>
      <c r="Z267" s="207"/>
      <c r="AA267" s="207"/>
      <c r="AB267" s="205">
        <v>0</v>
      </c>
    </row>
    <row r="268" spans="1:28" s="308" customFormat="1" ht="23.1" customHeight="1" collapsed="1">
      <c r="A268" s="220" t="s">
        <v>284</v>
      </c>
      <c r="B268" s="220" t="s">
        <v>285</v>
      </c>
      <c r="C268" s="220"/>
      <c r="D268" s="220"/>
      <c r="E268" s="101">
        <v>0</v>
      </c>
      <c r="F268" s="101">
        <v>0</v>
      </c>
      <c r="G268" s="222">
        <f>SUM(G269:G274)</f>
        <v>119656.71257779376</v>
      </c>
      <c r="H268" s="101">
        <v>0</v>
      </c>
      <c r="I268" s="266"/>
      <c r="J268" s="222">
        <f>SUM(J269:J274)</f>
        <v>92893.142399999997</v>
      </c>
      <c r="K268" s="101"/>
      <c r="L268" s="266"/>
      <c r="M268" s="222">
        <f>SUM(M269:M274)</f>
        <v>0</v>
      </c>
      <c r="N268" s="229"/>
      <c r="O268" s="229"/>
      <c r="P268" s="222">
        <f>SUM(P269:P274)</f>
        <v>0</v>
      </c>
      <c r="Q268" s="207"/>
      <c r="R268" s="266"/>
      <c r="S268" s="222">
        <f>SUM(S269:S274)</f>
        <v>0</v>
      </c>
      <c r="T268" s="229"/>
      <c r="U268" s="229"/>
      <c r="V268" s="222">
        <f>SUM(V269:V274)</f>
        <v>0</v>
      </c>
      <c r="W268" s="137"/>
      <c r="X268" s="212"/>
      <c r="Y268" s="212"/>
      <c r="Z268" s="229"/>
      <c r="AA268" s="229"/>
      <c r="AB268" s="222">
        <v>0</v>
      </c>
    </row>
    <row r="269" spans="1:28" s="308" customFormat="1" ht="23.1" hidden="1" customHeight="1" outlineLevel="1">
      <c r="A269" s="223">
        <v>1</v>
      </c>
      <c r="B269" s="223" t="s">
        <v>272</v>
      </c>
      <c r="C269" s="223" t="s">
        <v>286</v>
      </c>
      <c r="D269" s="223" t="s">
        <v>103</v>
      </c>
      <c r="E269" s="101">
        <v>94.03</v>
      </c>
      <c r="F269" s="101">
        <v>315.23095838532112</v>
      </c>
      <c r="G269" s="205">
        <f t="shared" ref="G269:G274" si="95">+F269*E269</f>
        <v>29641.167016971744</v>
      </c>
      <c r="H269" s="101">
        <v>94.03</v>
      </c>
      <c r="I269" s="267">
        <v>287.61</v>
      </c>
      <c r="J269" s="205">
        <f t="shared" ref="J269:J274" si="96">+I269*H269</f>
        <v>27043.9683</v>
      </c>
      <c r="K269" s="97">
        <f>+人工费!K269</f>
        <v>0</v>
      </c>
      <c r="L269" s="267">
        <f t="shared" ref="L269:L274" si="97">+R269</f>
        <v>315.23095838532112</v>
      </c>
      <c r="M269" s="205">
        <f t="shared" ref="M269:M274" si="98">+L269*K269</f>
        <v>0</v>
      </c>
      <c r="N269" s="207"/>
      <c r="O269" s="207"/>
      <c r="P269" s="205">
        <f t="shared" ref="P269:P274" si="99">+O269*N269</f>
        <v>0</v>
      </c>
      <c r="Q269" s="207">
        <f>+人工费!Q269</f>
        <v>0</v>
      </c>
      <c r="R269" s="267">
        <v>315.23095838532112</v>
      </c>
      <c r="S269" s="205">
        <f t="shared" ref="S269:S274" si="100">+R269*Q269</f>
        <v>0</v>
      </c>
      <c r="T269" s="207"/>
      <c r="U269" s="207"/>
      <c r="V269" s="205">
        <f t="shared" ref="V269:V274" si="101">+U269*T269</f>
        <v>0</v>
      </c>
      <c r="W269" s="123"/>
      <c r="X269" s="214"/>
      <c r="Y269" s="214"/>
      <c r="Z269" s="207"/>
      <c r="AA269" s="207"/>
      <c r="AB269" s="205">
        <v>0</v>
      </c>
    </row>
    <row r="270" spans="1:28" s="308" customFormat="1" ht="23.1" hidden="1" customHeight="1" outlineLevel="1">
      <c r="A270" s="223">
        <v>2</v>
      </c>
      <c r="B270" s="223" t="s">
        <v>240</v>
      </c>
      <c r="C270" s="223" t="s">
        <v>275</v>
      </c>
      <c r="D270" s="223" t="s">
        <v>103</v>
      </c>
      <c r="E270" s="101">
        <v>129.71</v>
      </c>
      <c r="F270" s="101">
        <v>295.5313946422018</v>
      </c>
      <c r="G270" s="205">
        <f t="shared" si="95"/>
        <v>38333.377199039998</v>
      </c>
      <c r="H270" s="101">
        <v>129.71</v>
      </c>
      <c r="I270" s="267">
        <v>287.61</v>
      </c>
      <c r="J270" s="205">
        <f t="shared" si="96"/>
        <v>37305.893100000001</v>
      </c>
      <c r="K270" s="97">
        <f>+人工费!K270</f>
        <v>0</v>
      </c>
      <c r="L270" s="267">
        <f t="shared" si="97"/>
        <v>295.5313946422018</v>
      </c>
      <c r="M270" s="205">
        <f t="shared" si="98"/>
        <v>0</v>
      </c>
      <c r="N270" s="207"/>
      <c r="O270" s="207"/>
      <c r="P270" s="205">
        <f t="shared" si="99"/>
        <v>0</v>
      </c>
      <c r="Q270" s="207">
        <f>+人工费!Q270</f>
        <v>0</v>
      </c>
      <c r="R270" s="267">
        <v>295.5313946422018</v>
      </c>
      <c r="S270" s="205">
        <f t="shared" si="100"/>
        <v>0</v>
      </c>
      <c r="T270" s="207"/>
      <c r="U270" s="207"/>
      <c r="V270" s="205">
        <f t="shared" si="101"/>
        <v>0</v>
      </c>
      <c r="W270" s="123"/>
      <c r="X270" s="214"/>
      <c r="Y270" s="214"/>
      <c r="Z270" s="207"/>
      <c r="AA270" s="207"/>
      <c r="AB270" s="205">
        <v>0</v>
      </c>
    </row>
    <row r="271" spans="1:28" s="308" customFormat="1" ht="23.1" hidden="1" customHeight="1" outlineLevel="1">
      <c r="A271" s="223">
        <v>3</v>
      </c>
      <c r="B271" s="223" t="s">
        <v>240</v>
      </c>
      <c r="C271" s="223" t="s">
        <v>287</v>
      </c>
      <c r="D271" s="223" t="s">
        <v>103</v>
      </c>
      <c r="E271" s="101">
        <v>80.099999999999994</v>
      </c>
      <c r="F271" s="101">
        <v>294.42169365137619</v>
      </c>
      <c r="G271" s="205">
        <f t="shared" si="95"/>
        <v>23583.177661475231</v>
      </c>
      <c r="H271" s="101">
        <v>80.099999999999994</v>
      </c>
      <c r="I271" s="267">
        <v>287.61</v>
      </c>
      <c r="J271" s="205">
        <f t="shared" si="96"/>
        <v>23037.560999999998</v>
      </c>
      <c r="K271" s="97">
        <f>+人工费!K271</f>
        <v>0</v>
      </c>
      <c r="L271" s="267">
        <f t="shared" si="97"/>
        <v>294.42169365137619</v>
      </c>
      <c r="M271" s="205">
        <f t="shared" si="98"/>
        <v>0</v>
      </c>
      <c r="N271" s="207"/>
      <c r="O271" s="207"/>
      <c r="P271" s="205">
        <f t="shared" si="99"/>
        <v>0</v>
      </c>
      <c r="Q271" s="207">
        <f>+人工费!Q271</f>
        <v>0</v>
      </c>
      <c r="R271" s="267">
        <v>294.42169365137619</v>
      </c>
      <c r="S271" s="205">
        <f t="shared" si="100"/>
        <v>0</v>
      </c>
      <c r="T271" s="207"/>
      <c r="U271" s="207"/>
      <c r="V271" s="205">
        <f t="shared" si="101"/>
        <v>0</v>
      </c>
      <c r="W271" s="123"/>
      <c r="X271" s="214"/>
      <c r="Y271" s="214"/>
      <c r="Z271" s="207"/>
      <c r="AA271" s="207"/>
      <c r="AB271" s="205">
        <v>0</v>
      </c>
    </row>
    <row r="272" spans="1:28" s="308" customFormat="1" ht="23.1" hidden="1" customHeight="1" outlineLevel="1">
      <c r="A272" s="223">
        <v>4</v>
      </c>
      <c r="B272" s="223" t="s">
        <v>279</v>
      </c>
      <c r="C272" s="223" t="s">
        <v>288</v>
      </c>
      <c r="D272" s="223" t="s">
        <v>103</v>
      </c>
      <c r="E272" s="101">
        <v>14.19</v>
      </c>
      <c r="F272" s="101">
        <v>472.75159133944953</v>
      </c>
      <c r="G272" s="205">
        <f t="shared" si="95"/>
        <v>6708.3450811067887</v>
      </c>
      <c r="H272" s="101">
        <v>14.19</v>
      </c>
      <c r="I272" s="267">
        <v>388</v>
      </c>
      <c r="J272" s="205">
        <f t="shared" si="96"/>
        <v>5505.72</v>
      </c>
      <c r="K272" s="97">
        <f>+人工费!K272</f>
        <v>0</v>
      </c>
      <c r="L272" s="267">
        <f t="shared" si="97"/>
        <v>472.75159133944953</v>
      </c>
      <c r="M272" s="205">
        <f t="shared" si="98"/>
        <v>0</v>
      </c>
      <c r="N272" s="207"/>
      <c r="O272" s="207"/>
      <c r="P272" s="205">
        <f t="shared" si="99"/>
        <v>0</v>
      </c>
      <c r="Q272" s="207">
        <f>+人工费!Q272</f>
        <v>0</v>
      </c>
      <c r="R272" s="267">
        <v>472.75159133944953</v>
      </c>
      <c r="S272" s="205">
        <f t="shared" si="100"/>
        <v>0</v>
      </c>
      <c r="T272" s="207"/>
      <c r="U272" s="207"/>
      <c r="V272" s="205">
        <f t="shared" si="101"/>
        <v>0</v>
      </c>
      <c r="W272" s="123"/>
      <c r="X272" s="214"/>
      <c r="Y272" s="214"/>
      <c r="Z272" s="207"/>
      <c r="AA272" s="207"/>
      <c r="AB272" s="205">
        <v>0</v>
      </c>
    </row>
    <row r="273" spans="1:28" s="308" customFormat="1" ht="23.1" hidden="1" customHeight="1" outlineLevel="1">
      <c r="A273" s="223">
        <v>5</v>
      </c>
      <c r="B273" s="223" t="s">
        <v>245</v>
      </c>
      <c r="C273" s="223" t="s">
        <v>282</v>
      </c>
      <c r="D273" s="223" t="s">
        <v>247</v>
      </c>
      <c r="E273" s="101">
        <v>3724.2</v>
      </c>
      <c r="F273" s="101">
        <v>4.6854041834862388</v>
      </c>
      <c r="G273" s="205">
        <f t="shared" si="95"/>
        <v>17449.382260139449</v>
      </c>
      <c r="H273" s="101">
        <v>3724.2</v>
      </c>
      <c r="I273" s="267"/>
      <c r="J273" s="205">
        <f t="shared" si="96"/>
        <v>0</v>
      </c>
      <c r="K273" s="97">
        <f>+人工费!K273</f>
        <v>0</v>
      </c>
      <c r="L273" s="267">
        <f t="shared" si="97"/>
        <v>4.6854041834862388</v>
      </c>
      <c r="M273" s="205">
        <f t="shared" si="98"/>
        <v>0</v>
      </c>
      <c r="N273" s="207"/>
      <c r="O273" s="207"/>
      <c r="P273" s="205">
        <f t="shared" si="99"/>
        <v>0</v>
      </c>
      <c r="Q273" s="207">
        <f>+人工费!Q273</f>
        <v>0</v>
      </c>
      <c r="R273" s="267">
        <v>4.6854041834862388</v>
      </c>
      <c r="S273" s="205">
        <f t="shared" si="100"/>
        <v>0</v>
      </c>
      <c r="T273" s="207"/>
      <c r="U273" s="207"/>
      <c r="V273" s="205">
        <f t="shared" si="101"/>
        <v>0</v>
      </c>
      <c r="W273" s="123"/>
      <c r="X273" s="214"/>
      <c r="Y273" s="214"/>
      <c r="Z273" s="207"/>
      <c r="AA273" s="207"/>
      <c r="AB273" s="205">
        <v>0</v>
      </c>
    </row>
    <row r="274" spans="1:28" s="308" customFormat="1" ht="23.1" hidden="1" customHeight="1" outlineLevel="1">
      <c r="A274" s="223">
        <v>6</v>
      </c>
      <c r="B274" s="223" t="s">
        <v>248</v>
      </c>
      <c r="C274" s="223" t="s">
        <v>283</v>
      </c>
      <c r="D274" s="223" t="s">
        <v>247</v>
      </c>
      <c r="E274" s="101">
        <v>998.9</v>
      </c>
      <c r="F274" s="101">
        <v>3.9456035229357798</v>
      </c>
      <c r="G274" s="205">
        <f t="shared" si="95"/>
        <v>3941.2633590605501</v>
      </c>
      <c r="H274" s="101">
        <v>998.9</v>
      </c>
      <c r="I274" s="267"/>
      <c r="J274" s="205">
        <f t="shared" si="96"/>
        <v>0</v>
      </c>
      <c r="K274" s="97">
        <f>+人工费!K274</f>
        <v>0</v>
      </c>
      <c r="L274" s="267">
        <f t="shared" si="97"/>
        <v>3.9456035229357798</v>
      </c>
      <c r="M274" s="205">
        <f t="shared" si="98"/>
        <v>0</v>
      </c>
      <c r="N274" s="207"/>
      <c r="O274" s="207"/>
      <c r="P274" s="205">
        <f t="shared" si="99"/>
        <v>0</v>
      </c>
      <c r="Q274" s="207">
        <f>+人工费!Q274</f>
        <v>0</v>
      </c>
      <c r="R274" s="267">
        <v>3.9456035229357798</v>
      </c>
      <c r="S274" s="205">
        <f t="shared" si="100"/>
        <v>0</v>
      </c>
      <c r="T274" s="207"/>
      <c r="U274" s="207"/>
      <c r="V274" s="205">
        <f t="shared" si="101"/>
        <v>0</v>
      </c>
      <c r="W274" s="123"/>
      <c r="X274" s="214"/>
      <c r="Y274" s="214"/>
      <c r="Z274" s="207"/>
      <c r="AA274" s="207"/>
      <c r="AB274" s="205">
        <v>0</v>
      </c>
    </row>
    <row r="275" spans="1:28" s="308" customFormat="1" ht="23.1" customHeight="1" collapsed="1">
      <c r="A275" s="220" t="s">
        <v>289</v>
      </c>
      <c r="B275" s="220" t="s">
        <v>290</v>
      </c>
      <c r="C275" s="220"/>
      <c r="D275" s="220"/>
      <c r="E275" s="101">
        <v>0</v>
      </c>
      <c r="F275" s="101">
        <v>0</v>
      </c>
      <c r="G275" s="222">
        <f>SUM(G276:G281)</f>
        <v>162341.2574281189</v>
      </c>
      <c r="H275" s="101">
        <v>0</v>
      </c>
      <c r="I275" s="266"/>
      <c r="J275" s="222">
        <f>SUM(J276:J281)</f>
        <v>132659.21660000001</v>
      </c>
      <c r="K275" s="101"/>
      <c r="L275" s="266"/>
      <c r="M275" s="222">
        <f>SUM(M276:M281)</f>
        <v>0</v>
      </c>
      <c r="N275" s="229"/>
      <c r="O275" s="229"/>
      <c r="P275" s="222">
        <f>SUM(P276:P281)</f>
        <v>0</v>
      </c>
      <c r="Q275" s="207"/>
      <c r="R275" s="266"/>
      <c r="S275" s="222">
        <f>SUM(S276:S281)</f>
        <v>0</v>
      </c>
      <c r="T275" s="229"/>
      <c r="U275" s="229"/>
      <c r="V275" s="222">
        <f>SUM(V276:V281)</f>
        <v>0</v>
      </c>
      <c r="W275" s="137"/>
      <c r="X275" s="212"/>
      <c r="Y275" s="212"/>
      <c r="Z275" s="229"/>
      <c r="AA275" s="229"/>
      <c r="AB275" s="222">
        <v>0</v>
      </c>
    </row>
    <row r="276" spans="1:28" s="308" customFormat="1" ht="23.1" hidden="1" customHeight="1" outlineLevel="1">
      <c r="A276" s="223">
        <v>1</v>
      </c>
      <c r="B276" s="223" t="s">
        <v>272</v>
      </c>
      <c r="C276" s="223" t="s">
        <v>286</v>
      </c>
      <c r="D276" s="223" t="s">
        <v>103</v>
      </c>
      <c r="E276" s="101">
        <v>146.62</v>
      </c>
      <c r="F276" s="101">
        <v>315.23095838532112</v>
      </c>
      <c r="G276" s="205">
        <f t="shared" ref="G276:G281" si="102">+F276*E276</f>
        <v>46219.163118455785</v>
      </c>
      <c r="H276" s="101">
        <v>146.62</v>
      </c>
      <c r="I276" s="267">
        <v>287.61</v>
      </c>
      <c r="J276" s="205">
        <f t="shared" ref="J276:J281" si="103">+I276*H276</f>
        <v>42169.378200000006</v>
      </c>
      <c r="K276" s="97">
        <f>+人工费!K276</f>
        <v>0</v>
      </c>
      <c r="L276" s="267">
        <f t="shared" ref="L276:L281" si="104">+R276</f>
        <v>315.23095838532112</v>
      </c>
      <c r="M276" s="205">
        <f t="shared" ref="M276:M282" si="105">+L276*K276</f>
        <v>0</v>
      </c>
      <c r="N276" s="207"/>
      <c r="O276" s="207"/>
      <c r="P276" s="205">
        <f t="shared" ref="P276:P281" si="106">+O276*N276</f>
        <v>0</v>
      </c>
      <c r="Q276" s="207">
        <f>+人工费!Q276</f>
        <v>0</v>
      </c>
      <c r="R276" s="267">
        <v>315.23095838532112</v>
      </c>
      <c r="S276" s="205">
        <f t="shared" ref="S276:S282" si="107">+R276*Q276</f>
        <v>0</v>
      </c>
      <c r="T276" s="207"/>
      <c r="U276" s="207"/>
      <c r="V276" s="205">
        <f t="shared" ref="V276:V281" si="108">+U276*T276</f>
        <v>0</v>
      </c>
      <c r="W276" s="123"/>
      <c r="X276" s="214"/>
      <c r="Y276" s="214"/>
      <c r="Z276" s="207"/>
      <c r="AA276" s="207"/>
      <c r="AB276" s="205">
        <v>0</v>
      </c>
    </row>
    <row r="277" spans="1:28" s="308" customFormat="1" ht="23.1" hidden="1" customHeight="1" outlineLevel="1">
      <c r="A277" s="223">
        <v>2</v>
      </c>
      <c r="B277" s="223" t="s">
        <v>240</v>
      </c>
      <c r="C277" s="223" t="s">
        <v>275</v>
      </c>
      <c r="D277" s="223" t="s">
        <v>103</v>
      </c>
      <c r="E277" s="101">
        <v>224.27</v>
      </c>
      <c r="F277" s="101">
        <v>295.5313946422018</v>
      </c>
      <c r="G277" s="205">
        <f t="shared" si="102"/>
        <v>66278.825876406598</v>
      </c>
      <c r="H277" s="101">
        <v>224.27</v>
      </c>
      <c r="I277" s="267">
        <v>287.61</v>
      </c>
      <c r="J277" s="205">
        <f t="shared" si="103"/>
        <v>64502.294700000006</v>
      </c>
      <c r="K277" s="97">
        <f>+人工费!K277</f>
        <v>0</v>
      </c>
      <c r="L277" s="267">
        <f t="shared" si="104"/>
        <v>295.5313946422018</v>
      </c>
      <c r="M277" s="205">
        <f t="shared" si="105"/>
        <v>0</v>
      </c>
      <c r="N277" s="207"/>
      <c r="O277" s="207"/>
      <c r="P277" s="205">
        <f t="shared" si="106"/>
        <v>0</v>
      </c>
      <c r="Q277" s="207">
        <f>+人工费!Q277</f>
        <v>0</v>
      </c>
      <c r="R277" s="267">
        <v>295.5313946422018</v>
      </c>
      <c r="S277" s="205">
        <f t="shared" si="107"/>
        <v>0</v>
      </c>
      <c r="T277" s="207"/>
      <c r="U277" s="207"/>
      <c r="V277" s="205">
        <f t="shared" si="108"/>
        <v>0</v>
      </c>
      <c r="W277" s="123"/>
      <c r="X277" s="214"/>
      <c r="Y277" s="214"/>
      <c r="Z277" s="207"/>
      <c r="AA277" s="207"/>
      <c r="AB277" s="205">
        <v>0</v>
      </c>
    </row>
    <row r="278" spans="1:28" s="308" customFormat="1" ht="23.1" hidden="1" customHeight="1" outlineLevel="1">
      <c r="A278" s="223">
        <v>3</v>
      </c>
      <c r="B278" s="223" t="s">
        <v>240</v>
      </c>
      <c r="C278" s="223" t="s">
        <v>287</v>
      </c>
      <c r="D278" s="223" t="s">
        <v>103</v>
      </c>
      <c r="E278" s="101">
        <v>73.17</v>
      </c>
      <c r="F278" s="101">
        <v>294.42169365137619</v>
      </c>
      <c r="G278" s="205">
        <f t="shared" si="102"/>
        <v>21542.835324471198</v>
      </c>
      <c r="H278" s="101">
        <v>73.17</v>
      </c>
      <c r="I278" s="267">
        <v>287.61</v>
      </c>
      <c r="J278" s="205">
        <f t="shared" si="103"/>
        <v>21044.423700000003</v>
      </c>
      <c r="K278" s="97">
        <f>+人工费!K278</f>
        <v>0</v>
      </c>
      <c r="L278" s="267">
        <f t="shared" si="104"/>
        <v>294.42169365137619</v>
      </c>
      <c r="M278" s="205">
        <f t="shared" si="105"/>
        <v>0</v>
      </c>
      <c r="N278" s="207"/>
      <c r="O278" s="207"/>
      <c r="P278" s="205">
        <f t="shared" si="106"/>
        <v>0</v>
      </c>
      <c r="Q278" s="207">
        <f>+人工费!Q278</f>
        <v>0</v>
      </c>
      <c r="R278" s="267">
        <v>294.42169365137619</v>
      </c>
      <c r="S278" s="205">
        <f t="shared" si="107"/>
        <v>0</v>
      </c>
      <c r="T278" s="207"/>
      <c r="U278" s="207"/>
      <c r="V278" s="205">
        <f t="shared" si="108"/>
        <v>0</v>
      </c>
      <c r="W278" s="123"/>
      <c r="X278" s="214"/>
      <c r="Y278" s="214"/>
      <c r="Z278" s="207"/>
      <c r="AA278" s="207"/>
      <c r="AB278" s="205">
        <v>0</v>
      </c>
    </row>
    <row r="279" spans="1:28" s="308" customFormat="1" ht="23.1" hidden="1" customHeight="1" outlineLevel="1">
      <c r="A279" s="223">
        <v>4</v>
      </c>
      <c r="B279" s="223" t="s">
        <v>279</v>
      </c>
      <c r="C279" s="223" t="s">
        <v>288</v>
      </c>
      <c r="D279" s="223" t="s">
        <v>103</v>
      </c>
      <c r="E279" s="101">
        <v>12.74</v>
      </c>
      <c r="F279" s="101">
        <v>472.75159133944953</v>
      </c>
      <c r="G279" s="205">
        <f t="shared" si="102"/>
        <v>6022.855273664587</v>
      </c>
      <c r="H279" s="101">
        <v>12.74</v>
      </c>
      <c r="I279" s="267">
        <v>388</v>
      </c>
      <c r="J279" s="205">
        <f t="shared" si="103"/>
        <v>4943.12</v>
      </c>
      <c r="K279" s="97">
        <f>+人工费!K279</f>
        <v>0</v>
      </c>
      <c r="L279" s="267">
        <f t="shared" si="104"/>
        <v>472.75159133944953</v>
      </c>
      <c r="M279" s="205">
        <f t="shared" si="105"/>
        <v>0</v>
      </c>
      <c r="N279" s="207"/>
      <c r="O279" s="207"/>
      <c r="P279" s="205">
        <f t="shared" si="106"/>
        <v>0</v>
      </c>
      <c r="Q279" s="207">
        <f>+人工费!Q279</f>
        <v>0</v>
      </c>
      <c r="R279" s="267">
        <v>472.75159133944953</v>
      </c>
      <c r="S279" s="205">
        <f t="shared" si="107"/>
        <v>0</v>
      </c>
      <c r="T279" s="207"/>
      <c r="U279" s="207"/>
      <c r="V279" s="205">
        <f t="shared" si="108"/>
        <v>0</v>
      </c>
      <c r="W279" s="123"/>
      <c r="X279" s="214"/>
      <c r="Y279" s="214"/>
      <c r="Z279" s="207"/>
      <c r="AA279" s="207"/>
      <c r="AB279" s="205">
        <v>0</v>
      </c>
    </row>
    <row r="280" spans="1:28" s="308" customFormat="1" ht="23.1" hidden="1" customHeight="1" outlineLevel="1">
      <c r="A280" s="223">
        <v>5</v>
      </c>
      <c r="B280" s="223" t="s">
        <v>245</v>
      </c>
      <c r="C280" s="223" t="s">
        <v>282</v>
      </c>
      <c r="D280" s="223" t="s">
        <v>247</v>
      </c>
      <c r="E280" s="101">
        <v>3724.2</v>
      </c>
      <c r="F280" s="101">
        <v>4.6854041834862388</v>
      </c>
      <c r="G280" s="205">
        <f t="shared" si="102"/>
        <v>17449.382260139449</v>
      </c>
      <c r="H280" s="101">
        <v>3724.2</v>
      </c>
      <c r="I280" s="267"/>
      <c r="J280" s="205">
        <f t="shared" si="103"/>
        <v>0</v>
      </c>
      <c r="K280" s="97">
        <f>+人工费!K280</f>
        <v>0</v>
      </c>
      <c r="L280" s="267">
        <f t="shared" si="104"/>
        <v>4.6854041834862388</v>
      </c>
      <c r="M280" s="205">
        <f t="shared" si="105"/>
        <v>0</v>
      </c>
      <c r="N280" s="207"/>
      <c r="O280" s="207"/>
      <c r="P280" s="205">
        <f t="shared" si="106"/>
        <v>0</v>
      </c>
      <c r="Q280" s="207">
        <f>+人工费!Q280</f>
        <v>0</v>
      </c>
      <c r="R280" s="267">
        <v>4.6854041834862388</v>
      </c>
      <c r="S280" s="205">
        <f t="shared" si="107"/>
        <v>0</v>
      </c>
      <c r="T280" s="207"/>
      <c r="U280" s="207"/>
      <c r="V280" s="205">
        <f t="shared" si="108"/>
        <v>0</v>
      </c>
      <c r="W280" s="123"/>
      <c r="X280" s="214"/>
      <c r="Y280" s="214"/>
      <c r="Z280" s="207"/>
      <c r="AA280" s="207"/>
      <c r="AB280" s="205">
        <v>0</v>
      </c>
    </row>
    <row r="281" spans="1:28" s="308" customFormat="1" ht="23.1" hidden="1" customHeight="1" outlineLevel="1">
      <c r="A281" s="223">
        <v>6</v>
      </c>
      <c r="B281" s="223" t="s">
        <v>248</v>
      </c>
      <c r="C281" s="223" t="s">
        <v>283</v>
      </c>
      <c r="D281" s="223" t="s">
        <v>247</v>
      </c>
      <c r="E281" s="101">
        <v>1223.69</v>
      </c>
      <c r="F281" s="101">
        <v>3.9456035229357798</v>
      </c>
      <c r="G281" s="205">
        <f t="shared" si="102"/>
        <v>4828.1955749812842</v>
      </c>
      <c r="H281" s="101">
        <v>1223.69</v>
      </c>
      <c r="I281" s="267"/>
      <c r="J281" s="205">
        <f t="shared" si="103"/>
        <v>0</v>
      </c>
      <c r="K281" s="97">
        <f>+人工费!K281</f>
        <v>0</v>
      </c>
      <c r="L281" s="267">
        <f t="shared" si="104"/>
        <v>3.9456035229357798</v>
      </c>
      <c r="M281" s="205">
        <f t="shared" si="105"/>
        <v>0</v>
      </c>
      <c r="N281" s="207"/>
      <c r="O281" s="207"/>
      <c r="P281" s="205">
        <f t="shared" si="106"/>
        <v>0</v>
      </c>
      <c r="Q281" s="207">
        <f>+人工费!Q281</f>
        <v>0</v>
      </c>
      <c r="R281" s="267">
        <v>3.9456035229357798</v>
      </c>
      <c r="S281" s="205">
        <f t="shared" si="107"/>
        <v>0</v>
      </c>
      <c r="T281" s="207"/>
      <c r="U281" s="207"/>
      <c r="V281" s="205">
        <f t="shared" si="108"/>
        <v>0</v>
      </c>
      <c r="W281" s="123"/>
      <c r="X281" s="214"/>
      <c r="Y281" s="214"/>
      <c r="Z281" s="207"/>
      <c r="AA281" s="207"/>
      <c r="AB281" s="205">
        <v>0</v>
      </c>
    </row>
    <row r="282" spans="1:28" s="308" customFormat="1" ht="23.1" customHeight="1">
      <c r="A282" s="284" t="s">
        <v>339</v>
      </c>
      <c r="B282" s="284" t="s">
        <v>340</v>
      </c>
      <c r="C282" s="284" t="s">
        <v>341</v>
      </c>
      <c r="D282" s="284"/>
      <c r="E282" s="101"/>
      <c r="F282" s="101"/>
      <c r="G282" s="222"/>
      <c r="H282" s="222"/>
      <c r="I282" s="222"/>
      <c r="J282" s="222"/>
      <c r="K282" s="229"/>
      <c r="L282" s="222"/>
      <c r="M282" s="205">
        <f t="shared" si="105"/>
        <v>0</v>
      </c>
      <c r="N282" s="229"/>
      <c r="O282" s="229"/>
      <c r="P282" s="205">
        <f>+V282-AB282</f>
        <v>0</v>
      </c>
      <c r="Q282" s="229"/>
      <c r="R282" s="222"/>
      <c r="S282" s="205">
        <f t="shared" si="107"/>
        <v>0</v>
      </c>
      <c r="T282" s="229"/>
      <c r="U282" s="222"/>
      <c r="V282" s="206">
        <v>7716.8141592920365</v>
      </c>
      <c r="W282" s="137"/>
      <c r="X282" s="212"/>
      <c r="Y282" s="212"/>
      <c r="Z282" s="229"/>
      <c r="AA282" s="222"/>
      <c r="AB282" s="205">
        <v>7716.8141592920365</v>
      </c>
    </row>
    <row r="283" spans="1:28" s="308" customFormat="1" ht="23.1" customHeight="1">
      <c r="A283" s="284"/>
      <c r="B283" s="284" t="s">
        <v>63</v>
      </c>
      <c r="C283" s="284"/>
      <c r="D283" s="284"/>
      <c r="E283" s="101"/>
      <c r="F283" s="101"/>
      <c r="G283" s="222">
        <f>+G6+G62+G106+G172+G238+G257+G268+G275+G282</f>
        <v>27372618.452060003</v>
      </c>
      <c r="H283" s="222"/>
      <c r="I283" s="222"/>
      <c r="J283" s="222">
        <f>+J6+J62+J106+J172+J238+J257+J268+J275+J282</f>
        <v>21407207.491581015</v>
      </c>
      <c r="K283" s="229"/>
      <c r="L283" s="222"/>
      <c r="M283" s="222">
        <f>+M6+M62+M106+M172+M238+M257+M268+M275+M282</f>
        <v>1142978.8340927495</v>
      </c>
      <c r="N283" s="229"/>
      <c r="O283" s="229"/>
      <c r="P283" s="222">
        <f>+P6+P62+P106+P172+P238+P257+P268+P275+P282</f>
        <v>2726428.2266492881</v>
      </c>
      <c r="Q283" s="229"/>
      <c r="R283" s="222"/>
      <c r="S283" s="222">
        <f>+S6+S62+S106+S172+S238+S257+S268+S275+S282</f>
        <v>19534317.477337923</v>
      </c>
      <c r="T283" s="229"/>
      <c r="U283" s="222"/>
      <c r="V283" s="222">
        <f>+V6+V62+V106+V172+V238+V257+V268+V275+V282</f>
        <v>16261971.121068221</v>
      </c>
      <c r="W283" s="137"/>
      <c r="X283" s="212"/>
      <c r="Y283" s="212"/>
      <c r="Z283" s="229"/>
      <c r="AA283" s="222"/>
      <c r="AB283" s="222">
        <v>14766069.793011969</v>
      </c>
    </row>
    <row r="284" spans="1:28" ht="23.1" customHeight="1">
      <c r="A284" s="251"/>
      <c r="B284" s="332"/>
      <c r="C284" s="333"/>
      <c r="D284" s="33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335"/>
      <c r="X284" s="335"/>
      <c r="Y284" s="335"/>
      <c r="Z284" s="336"/>
    </row>
    <row r="285" spans="1:28" ht="23.1" customHeight="1">
      <c r="A285" s="251"/>
      <c r="B285" s="332"/>
      <c r="C285" s="333"/>
      <c r="D285" s="33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335"/>
      <c r="X285" s="335"/>
      <c r="Y285" s="335"/>
      <c r="Z285" s="336"/>
    </row>
    <row r="286" spans="1:28" ht="23.1" customHeight="1">
      <c r="A286" s="251"/>
      <c r="B286" s="332"/>
      <c r="C286" s="333"/>
      <c r="D286" s="334"/>
      <c r="E286" s="294"/>
      <c r="F286" s="294"/>
      <c r="G286" s="294"/>
      <c r="H286" s="294"/>
      <c r="I286" s="294"/>
      <c r="J286" s="294" t="s">
        <v>342</v>
      </c>
      <c r="K286" s="294">
        <f>+K7+K91+K135+K156+K201+K222</f>
        <v>1045.1507999999999</v>
      </c>
      <c r="L286" s="294"/>
      <c r="M286" s="294"/>
      <c r="N286" s="294"/>
      <c r="O286" s="294"/>
      <c r="P286" s="294"/>
      <c r="Q286" s="294">
        <f>+Q7+Q91+Q135+Q156+Q201+Q222</f>
        <v>16946.9611</v>
      </c>
      <c r="R286" s="294"/>
      <c r="S286" s="294"/>
      <c r="T286" s="294"/>
      <c r="U286" s="294"/>
      <c r="V286" s="294"/>
      <c r="W286" s="335"/>
      <c r="X286" s="335"/>
      <c r="Y286" s="335"/>
      <c r="Z286" s="336"/>
    </row>
    <row r="287" spans="1:28" ht="23.1" customHeight="1">
      <c r="A287" s="251"/>
      <c r="B287" s="332"/>
      <c r="C287" s="333"/>
      <c r="D287" s="334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335"/>
      <c r="X287" s="335"/>
      <c r="Y287" s="335"/>
      <c r="Z287" s="336"/>
    </row>
    <row r="288" spans="1:28" ht="23.1" customHeight="1">
      <c r="A288" s="251"/>
      <c r="B288" s="332"/>
      <c r="C288" s="333"/>
      <c r="D288" s="334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335"/>
      <c r="X288" s="335"/>
      <c r="Y288" s="335"/>
      <c r="Z288" s="336"/>
    </row>
    <row r="289" spans="1:26" ht="23.1" customHeight="1">
      <c r="A289" s="251"/>
      <c r="B289" s="332"/>
      <c r="C289" s="333"/>
      <c r="D289" s="334"/>
      <c r="E289" s="294"/>
      <c r="F289" s="294"/>
      <c r="G289" s="294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335"/>
      <c r="X289" s="335"/>
      <c r="Y289" s="335"/>
      <c r="Z289" s="336"/>
    </row>
    <row r="290" spans="1:26" ht="23.1" customHeight="1">
      <c r="A290" s="251"/>
      <c r="B290" s="332"/>
      <c r="C290" s="333"/>
      <c r="D290" s="334"/>
      <c r="E290" s="294"/>
      <c r="F290" s="294"/>
      <c r="G290" s="294">
        <v>11749.07</v>
      </c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335"/>
      <c r="X290" s="335"/>
      <c r="Y290" s="335"/>
      <c r="Z290" s="336"/>
    </row>
    <row r="291" spans="1:26" ht="23.1" customHeight="1">
      <c r="A291" s="251"/>
      <c r="B291" s="332"/>
      <c r="C291" s="333"/>
      <c r="D291" s="334"/>
      <c r="E291" s="294"/>
      <c r="F291" s="294"/>
      <c r="G291" s="294">
        <v>1184.3399999999999</v>
      </c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335"/>
      <c r="X291" s="335"/>
      <c r="Y291" s="335"/>
      <c r="Z291" s="336"/>
    </row>
    <row r="292" spans="1:26" ht="23.1" customHeight="1">
      <c r="A292" s="251"/>
      <c r="B292" s="332"/>
      <c r="C292" s="333"/>
      <c r="D292" s="334"/>
      <c r="E292" s="294"/>
      <c r="F292" s="294"/>
      <c r="G292" s="294">
        <v>4607.12</v>
      </c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335"/>
      <c r="X292" s="335"/>
      <c r="Y292" s="335"/>
      <c r="Z292" s="336"/>
    </row>
    <row r="293" spans="1:26" ht="23.1" customHeight="1">
      <c r="A293" s="251"/>
      <c r="B293" s="332"/>
      <c r="C293" s="333"/>
      <c r="D293" s="334"/>
      <c r="E293" s="294"/>
      <c r="F293" s="294"/>
      <c r="G293" s="294">
        <v>592.4</v>
      </c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335"/>
      <c r="X293" s="335"/>
      <c r="Y293" s="335"/>
      <c r="Z293" s="336"/>
    </row>
    <row r="294" spans="1:26" ht="23.1" customHeight="1">
      <c r="A294" s="251"/>
      <c r="B294" s="332"/>
      <c r="C294" s="333"/>
      <c r="D294" s="334"/>
      <c r="E294" s="294"/>
      <c r="F294" s="294"/>
      <c r="G294" s="294">
        <v>4590.97</v>
      </c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335"/>
      <c r="X294" s="335"/>
      <c r="Y294" s="335"/>
      <c r="Z294" s="336"/>
    </row>
    <row r="295" spans="1:26" ht="23.1" customHeight="1">
      <c r="A295" s="251"/>
      <c r="B295" s="332"/>
      <c r="C295" s="333"/>
      <c r="D295" s="334"/>
      <c r="E295" s="294"/>
      <c r="F295" s="294"/>
      <c r="G295" s="294">
        <v>572.57000000000005</v>
      </c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335"/>
      <c r="X295" s="335"/>
      <c r="Y295" s="335"/>
      <c r="Z295" s="336"/>
    </row>
    <row r="296" spans="1:26" ht="23.1" customHeight="1">
      <c r="A296" s="251"/>
      <c r="B296" s="332"/>
      <c r="C296" s="333"/>
      <c r="D296" s="334"/>
      <c r="E296" s="294"/>
      <c r="F296" s="294"/>
      <c r="G296" s="294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335"/>
      <c r="X296" s="335"/>
      <c r="Y296" s="335"/>
      <c r="Z296" s="336"/>
    </row>
    <row r="297" spans="1:26" ht="23.1" customHeight="1">
      <c r="A297" s="251"/>
      <c r="B297" s="332"/>
      <c r="C297" s="333"/>
      <c r="D297" s="334"/>
      <c r="E297" s="294"/>
      <c r="F297" s="294"/>
      <c r="G297" s="294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335"/>
      <c r="X297" s="335"/>
      <c r="Y297" s="335"/>
      <c r="Z297" s="336"/>
    </row>
    <row r="298" spans="1:26" ht="23.1" customHeight="1">
      <c r="A298" s="251"/>
      <c r="B298" s="332"/>
      <c r="C298" s="333"/>
      <c r="D298" s="334"/>
      <c r="E298" s="294"/>
      <c r="F298" s="294"/>
      <c r="G298" s="294">
        <f>SUM(G290:G297)</f>
        <v>23296.47</v>
      </c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335"/>
      <c r="X298" s="335"/>
      <c r="Y298" s="335"/>
      <c r="Z298" s="336"/>
    </row>
    <row r="299" spans="1:26" ht="23.1" customHeight="1">
      <c r="A299" s="251"/>
      <c r="B299" s="332"/>
      <c r="C299" s="333"/>
      <c r="D299" s="334"/>
      <c r="E299" s="294"/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335"/>
      <c r="X299" s="335"/>
      <c r="Y299" s="335"/>
      <c r="Z299" s="336"/>
    </row>
    <row r="300" spans="1:26" ht="23.1" customHeight="1">
      <c r="A300" s="251"/>
      <c r="B300" s="332"/>
      <c r="C300" s="333"/>
      <c r="D300" s="334"/>
      <c r="E300" s="294"/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335"/>
      <c r="X300" s="335"/>
      <c r="Y300" s="335"/>
      <c r="Z300" s="336"/>
    </row>
    <row r="301" spans="1:26" ht="23.1" customHeight="1">
      <c r="A301" s="251"/>
      <c r="B301" s="332"/>
      <c r="C301" s="333"/>
      <c r="D301" s="334"/>
      <c r="E301" s="294"/>
      <c r="F301" s="294"/>
      <c r="G301" s="294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335"/>
      <c r="X301" s="335"/>
      <c r="Y301" s="335"/>
      <c r="Z301" s="336"/>
    </row>
    <row r="302" spans="1:26" ht="23.1" customHeight="1">
      <c r="A302" s="251"/>
      <c r="B302" s="332"/>
      <c r="C302" s="333"/>
      <c r="D302" s="334"/>
      <c r="E302" s="294"/>
      <c r="F302" s="294"/>
      <c r="G302" s="294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335"/>
      <c r="X302" s="335"/>
      <c r="Y302" s="335"/>
      <c r="Z302" s="336"/>
    </row>
    <row r="303" spans="1:26" ht="23.1" customHeight="1">
      <c r="A303" s="251"/>
      <c r="B303" s="332"/>
      <c r="C303" s="333"/>
      <c r="D303" s="334"/>
      <c r="E303" s="294"/>
      <c r="F303" s="294"/>
      <c r="G303" s="294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335"/>
      <c r="X303" s="335"/>
      <c r="Y303" s="335"/>
      <c r="Z303" s="336"/>
    </row>
    <row r="304" spans="1:26" ht="23.1" customHeight="1">
      <c r="A304" s="251"/>
      <c r="B304" s="332"/>
      <c r="C304" s="333"/>
      <c r="D304" s="334"/>
      <c r="E304" s="294"/>
      <c r="F304" s="294"/>
      <c r="G304" s="294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335"/>
      <c r="X304" s="335"/>
      <c r="Y304" s="335"/>
      <c r="Z304" s="336"/>
    </row>
    <row r="305" spans="1:26" ht="23.1" customHeight="1">
      <c r="A305" s="251"/>
      <c r="B305" s="332"/>
      <c r="C305" s="333"/>
      <c r="D305" s="334"/>
      <c r="E305" s="294"/>
      <c r="F305" s="294"/>
      <c r="G305" s="294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335"/>
      <c r="X305" s="335"/>
      <c r="Y305" s="335"/>
      <c r="Z305" s="336"/>
    </row>
    <row r="306" spans="1:26" ht="23.1" customHeight="1">
      <c r="A306" s="251"/>
      <c r="B306" s="332"/>
      <c r="C306" s="333"/>
      <c r="D306" s="334"/>
      <c r="E306" s="294"/>
      <c r="F306" s="294"/>
      <c r="G306" s="294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335"/>
      <c r="X306" s="335"/>
      <c r="Y306" s="335"/>
      <c r="Z306" s="336"/>
    </row>
    <row r="307" spans="1:26" ht="23.1" customHeight="1">
      <c r="A307" s="251"/>
      <c r="B307" s="332"/>
      <c r="C307" s="333"/>
      <c r="D307" s="334"/>
      <c r="E307" s="294"/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335"/>
      <c r="X307" s="335"/>
      <c r="Y307" s="335"/>
      <c r="Z307" s="336"/>
    </row>
    <row r="308" spans="1:26" ht="23.1" customHeight="1">
      <c r="A308" s="251"/>
      <c r="B308" s="332"/>
      <c r="C308" s="333"/>
      <c r="D308" s="334"/>
      <c r="E308" s="294"/>
      <c r="F308" s="294"/>
      <c r="G308" s="294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335"/>
      <c r="X308" s="335"/>
      <c r="Y308" s="335"/>
      <c r="Z308" s="336"/>
    </row>
    <row r="309" spans="1:26" ht="23.1" customHeight="1">
      <c r="A309" s="251"/>
      <c r="B309" s="332"/>
      <c r="C309" s="333"/>
      <c r="D309" s="334"/>
      <c r="E309" s="294"/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335"/>
      <c r="X309" s="335"/>
      <c r="Y309" s="335"/>
      <c r="Z309" s="336"/>
    </row>
    <row r="310" spans="1:26" ht="23.1" customHeight="1">
      <c r="A310" s="251"/>
      <c r="B310" s="332"/>
      <c r="C310" s="333"/>
      <c r="D310" s="334"/>
      <c r="E310" s="294"/>
      <c r="F310" s="294"/>
      <c r="G310" s="294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335"/>
      <c r="X310" s="335"/>
      <c r="Y310" s="335"/>
      <c r="Z310" s="336"/>
    </row>
    <row r="311" spans="1:26" ht="23.1" customHeight="1">
      <c r="A311" s="251"/>
      <c r="B311" s="332"/>
      <c r="C311" s="333"/>
      <c r="D311" s="334"/>
      <c r="E311" s="294"/>
      <c r="F311" s="294"/>
      <c r="G311" s="294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335"/>
      <c r="X311" s="335"/>
      <c r="Y311" s="335"/>
      <c r="Z311" s="336"/>
    </row>
    <row r="312" spans="1:26" ht="23.1" customHeight="1">
      <c r="A312" s="251"/>
      <c r="B312" s="332"/>
      <c r="C312" s="333"/>
      <c r="D312" s="334"/>
      <c r="E312" s="294"/>
      <c r="F312" s="294"/>
      <c r="G312" s="294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335"/>
      <c r="X312" s="335"/>
      <c r="Y312" s="335"/>
      <c r="Z312" s="336"/>
    </row>
    <row r="313" spans="1:26" ht="23.1" customHeight="1">
      <c r="A313" s="251"/>
      <c r="B313" s="332"/>
      <c r="C313" s="333"/>
      <c r="D313" s="334"/>
      <c r="E313" s="294"/>
      <c r="F313" s="294"/>
      <c r="G313" s="294"/>
      <c r="H313" s="294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335"/>
      <c r="X313" s="335"/>
      <c r="Y313" s="335"/>
      <c r="Z313" s="336"/>
    </row>
    <row r="314" spans="1:26" ht="23.1" customHeight="1">
      <c r="A314" s="251"/>
      <c r="B314" s="332"/>
      <c r="C314" s="333"/>
      <c r="D314" s="334"/>
      <c r="E314" s="294"/>
      <c r="F314" s="294"/>
      <c r="G314" s="294"/>
      <c r="H314" s="294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335"/>
      <c r="X314" s="335"/>
      <c r="Y314" s="335"/>
      <c r="Z314" s="336"/>
    </row>
    <row r="315" spans="1:26" ht="23.1" customHeight="1">
      <c r="A315" s="251"/>
      <c r="B315" s="332"/>
      <c r="C315" s="333"/>
      <c r="D315" s="334"/>
      <c r="E315" s="294"/>
      <c r="F315" s="294"/>
      <c r="G315" s="294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335"/>
      <c r="X315" s="335"/>
      <c r="Y315" s="335"/>
      <c r="Z315" s="336"/>
    </row>
    <row r="316" spans="1:26" ht="23.1" customHeight="1">
      <c r="A316" s="251"/>
      <c r="B316" s="332"/>
      <c r="C316" s="333"/>
      <c r="D316" s="334"/>
      <c r="E316" s="294"/>
      <c r="F316" s="294"/>
      <c r="G316" s="294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335"/>
      <c r="X316" s="335"/>
      <c r="Y316" s="335"/>
      <c r="Z316" s="336"/>
    </row>
    <row r="317" spans="1:26" ht="23.1" customHeight="1">
      <c r="A317" s="251"/>
      <c r="B317" s="332"/>
      <c r="C317" s="333"/>
      <c r="D317" s="334"/>
      <c r="E317" s="294"/>
      <c r="F317" s="294"/>
      <c r="G317" s="294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335"/>
      <c r="X317" s="335"/>
      <c r="Y317" s="335"/>
      <c r="Z317" s="336"/>
    </row>
    <row r="318" spans="1:26" ht="23.1" customHeight="1">
      <c r="A318" s="251"/>
      <c r="B318" s="332"/>
      <c r="C318" s="333"/>
      <c r="D318" s="334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335"/>
      <c r="X318" s="335"/>
      <c r="Y318" s="335"/>
      <c r="Z318" s="336"/>
    </row>
    <row r="319" spans="1:26" ht="23.1" customHeight="1">
      <c r="A319" s="251"/>
      <c r="B319" s="332"/>
      <c r="C319" s="333"/>
      <c r="D319" s="334"/>
      <c r="E319" s="294"/>
      <c r="F319" s="294"/>
      <c r="G319" s="294"/>
      <c r="H319" s="294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335"/>
      <c r="X319" s="335"/>
      <c r="Y319" s="335"/>
      <c r="Z319" s="336"/>
    </row>
    <row r="320" spans="1:26" ht="23.1" customHeight="1">
      <c r="A320" s="251"/>
      <c r="B320" s="332"/>
      <c r="C320" s="333"/>
      <c r="D320" s="334"/>
      <c r="E320" s="294"/>
      <c r="F320" s="294"/>
      <c r="G320" s="294"/>
      <c r="H320" s="294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335"/>
      <c r="X320" s="335"/>
      <c r="Y320" s="335"/>
      <c r="Z320" s="336"/>
    </row>
    <row r="321" spans="1:26" ht="23.1" customHeight="1">
      <c r="A321" s="251"/>
      <c r="B321" s="332"/>
      <c r="C321" s="333"/>
      <c r="D321" s="334"/>
      <c r="E321" s="294"/>
      <c r="F321" s="294"/>
      <c r="G321" s="294"/>
      <c r="H321" s="294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335"/>
      <c r="X321" s="335"/>
      <c r="Y321" s="335"/>
      <c r="Z321" s="336"/>
    </row>
    <row r="322" spans="1:26" ht="23.1" customHeight="1">
      <c r="A322" s="251"/>
      <c r="B322" s="332"/>
      <c r="C322" s="333"/>
      <c r="D322" s="334"/>
      <c r="E322" s="294"/>
      <c r="F322" s="294"/>
      <c r="G322" s="294"/>
      <c r="H322" s="294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335"/>
      <c r="X322" s="335"/>
      <c r="Y322" s="335"/>
      <c r="Z322" s="336"/>
    </row>
    <row r="323" spans="1:26" ht="23.1" customHeight="1">
      <c r="A323" s="251"/>
      <c r="B323" s="332"/>
      <c r="C323" s="333"/>
      <c r="D323" s="334"/>
      <c r="E323" s="294"/>
      <c r="F323" s="294"/>
      <c r="G323" s="294"/>
      <c r="H323" s="294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335"/>
      <c r="X323" s="335"/>
      <c r="Y323" s="335"/>
      <c r="Z323" s="336"/>
    </row>
    <row r="324" spans="1:26" ht="23.1" customHeight="1">
      <c r="A324" s="251"/>
      <c r="B324" s="332"/>
      <c r="C324" s="333"/>
      <c r="D324" s="334"/>
      <c r="E324" s="294"/>
      <c r="F324" s="294"/>
      <c r="G324" s="294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335"/>
      <c r="X324" s="335"/>
      <c r="Y324" s="335"/>
      <c r="Z324" s="336"/>
    </row>
    <row r="325" spans="1:26" ht="23.1" customHeight="1">
      <c r="A325" s="251"/>
      <c r="B325" s="332"/>
      <c r="C325" s="333"/>
      <c r="D325" s="334"/>
      <c r="E325" s="294"/>
      <c r="F325" s="294"/>
      <c r="G325" s="294"/>
      <c r="H325" s="294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335"/>
      <c r="X325" s="335"/>
      <c r="Y325" s="335"/>
      <c r="Z325" s="336"/>
    </row>
    <row r="326" spans="1:26" ht="23.1" customHeight="1">
      <c r="A326" s="251"/>
      <c r="B326" s="332"/>
      <c r="C326" s="333"/>
      <c r="D326" s="334"/>
      <c r="E326" s="294"/>
      <c r="F326" s="294"/>
      <c r="G326" s="294"/>
      <c r="H326" s="294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335"/>
      <c r="X326" s="335"/>
      <c r="Y326" s="335"/>
      <c r="Z326" s="336"/>
    </row>
    <row r="327" spans="1:26" ht="23.1" customHeight="1">
      <c r="A327" s="251"/>
      <c r="B327" s="332"/>
      <c r="C327" s="333"/>
      <c r="D327" s="334"/>
      <c r="E327" s="294"/>
      <c r="F327" s="294"/>
      <c r="G327" s="294"/>
      <c r="H327" s="294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335"/>
      <c r="X327" s="335"/>
      <c r="Y327" s="335"/>
      <c r="Z327" s="336"/>
    </row>
    <row r="328" spans="1:26" ht="23.1" customHeight="1">
      <c r="A328" s="251"/>
      <c r="B328" s="332"/>
      <c r="C328" s="333"/>
      <c r="D328" s="334"/>
      <c r="E328" s="294"/>
      <c r="F328" s="294"/>
      <c r="G328" s="294"/>
      <c r="H328" s="294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335"/>
      <c r="X328" s="335"/>
      <c r="Y328" s="335"/>
      <c r="Z328" s="336"/>
    </row>
    <row r="329" spans="1:26" ht="23.1" customHeight="1">
      <c r="A329" s="251"/>
      <c r="B329" s="332"/>
      <c r="C329" s="333"/>
      <c r="D329" s="334"/>
      <c r="E329" s="294"/>
      <c r="F329" s="294"/>
      <c r="G329" s="294"/>
      <c r="H329" s="294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335"/>
      <c r="X329" s="335"/>
      <c r="Y329" s="335"/>
      <c r="Z329" s="336"/>
    </row>
    <row r="330" spans="1:26" ht="23.1" customHeight="1">
      <c r="A330" s="251"/>
      <c r="B330" s="332"/>
      <c r="C330" s="333"/>
      <c r="D330" s="334"/>
      <c r="E330" s="294"/>
      <c r="F330" s="294"/>
      <c r="G330" s="294"/>
      <c r="H330" s="294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335"/>
      <c r="X330" s="335"/>
      <c r="Y330" s="335"/>
      <c r="Z330" s="336"/>
    </row>
    <row r="331" spans="1:26" ht="23.1" customHeight="1">
      <c r="A331" s="251"/>
      <c r="B331" s="332"/>
      <c r="C331" s="333"/>
      <c r="D331" s="334"/>
      <c r="E331" s="294"/>
      <c r="F331" s="294"/>
      <c r="G331" s="294"/>
      <c r="H331" s="294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335"/>
      <c r="X331" s="335"/>
      <c r="Y331" s="335"/>
      <c r="Z331" s="336"/>
    </row>
    <row r="332" spans="1:26" ht="23.1" customHeight="1">
      <c r="A332" s="251"/>
      <c r="B332" s="332"/>
      <c r="C332" s="333"/>
      <c r="D332" s="334"/>
      <c r="E332" s="294"/>
      <c r="F332" s="294"/>
      <c r="G332" s="294"/>
      <c r="H332" s="294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335"/>
      <c r="X332" s="335"/>
      <c r="Y332" s="335"/>
      <c r="Z332" s="336"/>
    </row>
    <row r="333" spans="1:26" ht="23.1" customHeight="1">
      <c r="A333" s="251"/>
      <c r="B333" s="332"/>
      <c r="C333" s="333"/>
      <c r="D333" s="334"/>
      <c r="E333" s="294"/>
      <c r="F333" s="294"/>
      <c r="G333" s="294"/>
      <c r="H333" s="294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335"/>
      <c r="X333" s="335"/>
      <c r="Y333" s="335"/>
      <c r="Z333" s="336"/>
    </row>
    <row r="334" spans="1:26" ht="23.1" customHeight="1">
      <c r="A334" s="251"/>
      <c r="B334" s="332"/>
      <c r="C334" s="333"/>
      <c r="D334" s="334"/>
      <c r="E334" s="294"/>
      <c r="F334" s="294"/>
      <c r="G334" s="294"/>
      <c r="H334" s="294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335"/>
      <c r="X334" s="335"/>
      <c r="Y334" s="335"/>
      <c r="Z334" s="336"/>
    </row>
    <row r="335" spans="1:26" ht="23.1" customHeight="1">
      <c r="A335" s="251"/>
      <c r="B335" s="332"/>
      <c r="C335" s="333"/>
      <c r="D335" s="334"/>
      <c r="E335" s="294"/>
      <c r="F335" s="294"/>
      <c r="G335" s="294"/>
      <c r="H335" s="294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335"/>
      <c r="X335" s="335"/>
      <c r="Y335" s="335"/>
      <c r="Z335" s="336"/>
    </row>
    <row r="336" spans="1:26" ht="23.1" customHeight="1">
      <c r="A336" s="251"/>
      <c r="B336" s="332"/>
      <c r="C336" s="333"/>
      <c r="D336" s="334"/>
      <c r="E336" s="294"/>
      <c r="F336" s="294"/>
      <c r="G336" s="294"/>
      <c r="H336" s="294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335"/>
      <c r="X336" s="335"/>
      <c r="Y336" s="335"/>
      <c r="Z336" s="336"/>
    </row>
    <row r="337" spans="1:26" ht="23.1" customHeight="1">
      <c r="A337" s="251"/>
      <c r="B337" s="332"/>
      <c r="C337" s="333"/>
      <c r="D337" s="334"/>
      <c r="E337" s="294"/>
      <c r="F337" s="294"/>
      <c r="G337" s="294"/>
      <c r="H337" s="294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335"/>
      <c r="X337" s="335"/>
      <c r="Y337" s="335"/>
      <c r="Z337" s="336"/>
    </row>
    <row r="338" spans="1:26" ht="23.1" customHeight="1">
      <c r="A338" s="251"/>
      <c r="B338" s="332"/>
      <c r="C338" s="333"/>
      <c r="D338" s="334"/>
      <c r="E338" s="294"/>
      <c r="F338" s="294"/>
      <c r="G338" s="294"/>
      <c r="H338" s="294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335"/>
      <c r="X338" s="335"/>
      <c r="Y338" s="335"/>
      <c r="Z338" s="336"/>
    </row>
    <row r="339" spans="1:26" ht="23.1" customHeight="1">
      <c r="A339" s="251"/>
      <c r="B339" s="332"/>
      <c r="C339" s="333"/>
      <c r="D339" s="334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335"/>
      <c r="X339" s="335"/>
      <c r="Y339" s="335"/>
      <c r="Z339" s="336"/>
    </row>
    <row r="340" spans="1:26" ht="23.1" customHeight="1">
      <c r="A340" s="251"/>
      <c r="B340" s="332"/>
      <c r="C340" s="333"/>
      <c r="D340" s="334"/>
      <c r="E340" s="294"/>
      <c r="F340" s="294"/>
      <c r="G340" s="294"/>
      <c r="H340" s="294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335"/>
      <c r="X340" s="335"/>
      <c r="Y340" s="335"/>
      <c r="Z340" s="336"/>
    </row>
    <row r="341" spans="1:26" ht="23.1" customHeight="1">
      <c r="A341" s="251"/>
      <c r="B341" s="332"/>
      <c r="C341" s="333"/>
      <c r="D341" s="334"/>
      <c r="E341" s="294"/>
      <c r="F341" s="294"/>
      <c r="G341" s="294"/>
      <c r="H341" s="294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335"/>
      <c r="X341" s="335"/>
      <c r="Y341" s="335"/>
      <c r="Z341" s="336"/>
    </row>
    <row r="342" spans="1:26" ht="23.1" customHeight="1">
      <c r="A342" s="251"/>
      <c r="B342" s="332"/>
      <c r="C342" s="333"/>
      <c r="D342" s="334"/>
      <c r="E342" s="294"/>
      <c r="F342" s="294"/>
      <c r="G342" s="294"/>
      <c r="H342" s="294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335"/>
      <c r="X342" s="335"/>
      <c r="Y342" s="335"/>
      <c r="Z342" s="336"/>
    </row>
    <row r="343" spans="1:26" ht="23.1" customHeight="1">
      <c r="A343" s="251"/>
      <c r="B343" s="332"/>
      <c r="C343" s="333"/>
      <c r="D343" s="334"/>
      <c r="E343" s="294"/>
      <c r="F343" s="294"/>
      <c r="G343" s="294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335"/>
      <c r="X343" s="335"/>
      <c r="Y343" s="335"/>
      <c r="Z343" s="336"/>
    </row>
    <row r="344" spans="1:26" ht="23.1" customHeight="1">
      <c r="A344" s="251"/>
      <c r="B344" s="332"/>
      <c r="C344" s="333"/>
      <c r="D344" s="334"/>
      <c r="E344" s="294"/>
      <c r="F344" s="294"/>
      <c r="G344" s="294"/>
      <c r="H344" s="294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335"/>
      <c r="X344" s="335"/>
      <c r="Y344" s="335"/>
      <c r="Z344" s="336"/>
    </row>
    <row r="345" spans="1:26" ht="23.1" customHeight="1">
      <c r="A345" s="251"/>
      <c r="B345" s="332"/>
      <c r="C345" s="333"/>
      <c r="D345" s="334"/>
      <c r="E345" s="294"/>
      <c r="F345" s="294"/>
      <c r="G345" s="294"/>
      <c r="H345" s="294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335"/>
      <c r="X345" s="335"/>
      <c r="Y345" s="335"/>
      <c r="Z345" s="336"/>
    </row>
    <row r="346" spans="1:26" ht="23.1" customHeight="1">
      <c r="A346" s="251"/>
      <c r="B346" s="332"/>
      <c r="C346" s="333"/>
      <c r="D346" s="334"/>
      <c r="E346" s="294"/>
      <c r="F346" s="294"/>
      <c r="G346" s="294"/>
      <c r="H346" s="294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335"/>
      <c r="X346" s="335"/>
      <c r="Y346" s="335"/>
      <c r="Z346" s="336"/>
    </row>
    <row r="347" spans="1:26" ht="23.1" customHeight="1">
      <c r="A347" s="251"/>
      <c r="B347" s="332"/>
      <c r="C347" s="333"/>
      <c r="D347" s="334"/>
      <c r="E347" s="294"/>
      <c r="F347" s="294"/>
      <c r="G347" s="294"/>
      <c r="H347" s="294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335"/>
      <c r="X347" s="335"/>
      <c r="Y347" s="335"/>
      <c r="Z347" s="336"/>
    </row>
    <row r="348" spans="1:26" ht="23.1" customHeight="1">
      <c r="A348" s="251"/>
      <c r="B348" s="332"/>
      <c r="C348" s="333"/>
      <c r="D348" s="334"/>
      <c r="E348" s="294"/>
      <c r="F348" s="294"/>
      <c r="G348" s="294"/>
      <c r="H348" s="294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335"/>
      <c r="X348" s="335"/>
      <c r="Y348" s="335"/>
      <c r="Z348" s="336"/>
    </row>
    <row r="349" spans="1:26" ht="23.1" customHeight="1">
      <c r="A349" s="251"/>
      <c r="B349" s="332"/>
      <c r="C349" s="333"/>
      <c r="D349" s="334"/>
      <c r="E349" s="294"/>
      <c r="F349" s="294"/>
      <c r="G349" s="294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335"/>
      <c r="X349" s="335"/>
      <c r="Y349" s="335"/>
      <c r="Z349" s="336"/>
    </row>
    <row r="350" spans="1:26" ht="23.1" customHeight="1">
      <c r="A350" s="251"/>
      <c r="B350" s="332"/>
      <c r="C350" s="333"/>
      <c r="D350" s="334"/>
      <c r="E350" s="294"/>
      <c r="F350" s="294"/>
      <c r="G350" s="294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335"/>
      <c r="X350" s="335"/>
      <c r="Y350" s="335"/>
      <c r="Z350" s="336"/>
    </row>
    <row r="351" spans="1:26" ht="23.1" customHeight="1">
      <c r="A351" s="251"/>
      <c r="B351" s="332"/>
      <c r="C351" s="333"/>
      <c r="D351" s="334"/>
      <c r="E351" s="294"/>
      <c r="F351" s="294"/>
      <c r="G351" s="294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335"/>
      <c r="X351" s="335"/>
      <c r="Y351" s="335"/>
      <c r="Z351" s="336"/>
    </row>
    <row r="352" spans="1:26" ht="23.1" customHeight="1">
      <c r="A352" s="251"/>
      <c r="B352" s="332"/>
      <c r="C352" s="333"/>
      <c r="D352" s="334"/>
      <c r="E352" s="294"/>
      <c r="F352" s="294"/>
      <c r="G352" s="294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335"/>
      <c r="X352" s="335"/>
      <c r="Y352" s="335"/>
      <c r="Z352" s="336"/>
    </row>
    <row r="353" spans="1:26" ht="23.1" customHeight="1">
      <c r="A353" s="251"/>
      <c r="B353" s="332"/>
      <c r="C353" s="333"/>
      <c r="D353" s="334"/>
      <c r="E353" s="294"/>
      <c r="F353" s="294"/>
      <c r="G353" s="294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335"/>
      <c r="X353" s="335"/>
      <c r="Y353" s="335"/>
      <c r="Z353" s="336"/>
    </row>
    <row r="354" spans="1:26" ht="23.1" customHeight="1">
      <c r="A354" s="251"/>
      <c r="B354" s="332"/>
      <c r="C354" s="333"/>
      <c r="D354" s="334"/>
      <c r="E354" s="294"/>
      <c r="F354" s="294"/>
      <c r="G354" s="294"/>
      <c r="H354" s="294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335"/>
      <c r="X354" s="335"/>
      <c r="Y354" s="335"/>
      <c r="Z354" s="336"/>
    </row>
    <row r="355" spans="1:26" ht="23.1" customHeight="1">
      <c r="A355" s="251"/>
      <c r="B355" s="332"/>
      <c r="C355" s="333"/>
      <c r="D355" s="334"/>
      <c r="E355" s="294"/>
      <c r="F355" s="294"/>
      <c r="G355" s="294"/>
      <c r="H355" s="294"/>
      <c r="I355" s="294"/>
      <c r="J355" s="294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335"/>
      <c r="X355" s="335"/>
      <c r="Y355" s="335"/>
      <c r="Z355" s="336"/>
    </row>
    <row r="356" spans="1:26" ht="23.1" customHeight="1">
      <c r="A356" s="251"/>
      <c r="B356" s="332"/>
      <c r="C356" s="333"/>
      <c r="D356" s="334"/>
      <c r="E356" s="294"/>
      <c r="F356" s="294"/>
      <c r="G356" s="294"/>
      <c r="H356" s="294"/>
      <c r="I356" s="294"/>
      <c r="J356" s="294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335"/>
      <c r="X356" s="335"/>
      <c r="Y356" s="335"/>
      <c r="Z356" s="336"/>
    </row>
    <row r="357" spans="1:26" ht="23.1" customHeight="1">
      <c r="A357" s="251"/>
      <c r="B357" s="332"/>
      <c r="C357" s="333"/>
      <c r="D357" s="334"/>
      <c r="E357" s="294"/>
      <c r="F357" s="294"/>
      <c r="G357" s="294"/>
      <c r="H357" s="294"/>
      <c r="I357" s="294"/>
      <c r="J357" s="294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335"/>
      <c r="X357" s="335"/>
      <c r="Y357" s="335"/>
      <c r="Z357" s="336"/>
    </row>
    <row r="358" spans="1:26" ht="23.1" customHeight="1">
      <c r="A358" s="251"/>
      <c r="B358" s="332"/>
      <c r="C358" s="333"/>
      <c r="D358" s="334"/>
      <c r="E358" s="294"/>
      <c r="F358" s="294"/>
      <c r="G358" s="294"/>
      <c r="H358" s="294"/>
      <c r="I358" s="294"/>
      <c r="J358" s="294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335"/>
      <c r="X358" s="335"/>
      <c r="Y358" s="335"/>
      <c r="Z358" s="336"/>
    </row>
    <row r="359" spans="1:26" ht="23.1" customHeight="1">
      <c r="A359" s="251"/>
      <c r="B359" s="332"/>
      <c r="C359" s="333"/>
      <c r="D359" s="334"/>
      <c r="E359" s="294"/>
      <c r="F359" s="294"/>
      <c r="G359" s="294"/>
      <c r="H359" s="294"/>
      <c r="I359" s="294"/>
      <c r="J359" s="294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335"/>
      <c r="X359" s="335"/>
      <c r="Y359" s="335"/>
      <c r="Z359" s="336"/>
    </row>
    <row r="360" spans="1:26" ht="23.1" customHeight="1">
      <c r="A360" s="251"/>
      <c r="B360" s="332"/>
      <c r="C360" s="333"/>
      <c r="D360" s="334"/>
      <c r="E360" s="294"/>
      <c r="F360" s="294"/>
      <c r="G360" s="294"/>
      <c r="H360" s="294"/>
      <c r="I360" s="294"/>
      <c r="J360" s="294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335"/>
      <c r="X360" s="335"/>
      <c r="Y360" s="335"/>
      <c r="Z360" s="336"/>
    </row>
    <row r="361" spans="1:26" ht="23.1" customHeight="1">
      <c r="A361" s="251"/>
      <c r="B361" s="332"/>
      <c r="C361" s="333"/>
      <c r="D361" s="334"/>
      <c r="E361" s="294"/>
      <c r="F361" s="294"/>
      <c r="G361" s="294"/>
      <c r="H361" s="294"/>
      <c r="I361" s="294"/>
      <c r="J361" s="294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335"/>
      <c r="X361" s="335"/>
      <c r="Y361" s="335"/>
      <c r="Z361" s="336"/>
    </row>
    <row r="362" spans="1:26" ht="23.1" customHeight="1">
      <c r="A362" s="251"/>
      <c r="B362" s="332"/>
      <c r="C362" s="333"/>
      <c r="D362" s="334"/>
      <c r="E362" s="294"/>
      <c r="F362" s="294"/>
      <c r="G362" s="294"/>
      <c r="H362" s="294"/>
      <c r="I362" s="294"/>
      <c r="J362" s="294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335"/>
      <c r="X362" s="335"/>
      <c r="Y362" s="335"/>
      <c r="Z362" s="336"/>
    </row>
    <row r="363" spans="1:26" ht="23.1" customHeight="1">
      <c r="A363" s="251"/>
      <c r="B363" s="332"/>
      <c r="C363" s="333"/>
      <c r="D363" s="334"/>
      <c r="E363" s="294"/>
      <c r="F363" s="294"/>
      <c r="G363" s="294"/>
      <c r="H363" s="294"/>
      <c r="I363" s="294"/>
      <c r="J363" s="294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335"/>
      <c r="X363" s="335"/>
      <c r="Y363" s="335"/>
      <c r="Z363" s="336"/>
    </row>
    <row r="364" spans="1:26" ht="23.1" customHeight="1">
      <c r="A364" s="251"/>
      <c r="B364" s="332"/>
      <c r="C364" s="333"/>
      <c r="D364" s="334"/>
      <c r="E364" s="294"/>
      <c r="F364" s="294"/>
      <c r="G364" s="294"/>
      <c r="H364" s="294"/>
      <c r="I364" s="294"/>
      <c r="J364" s="294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335"/>
      <c r="X364" s="335"/>
      <c r="Y364" s="335"/>
      <c r="Z364" s="336"/>
    </row>
    <row r="365" spans="1:26" ht="23.1" customHeight="1">
      <c r="A365" s="251"/>
      <c r="B365" s="332"/>
      <c r="C365" s="333"/>
      <c r="D365" s="334"/>
      <c r="E365" s="294"/>
      <c r="F365" s="294"/>
      <c r="G365" s="294"/>
      <c r="H365" s="294"/>
      <c r="I365" s="294"/>
      <c r="J365" s="294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335"/>
      <c r="X365" s="335"/>
      <c r="Y365" s="335"/>
      <c r="Z365" s="336"/>
    </row>
    <row r="366" spans="1:26" ht="23.1" customHeight="1">
      <c r="A366" s="251"/>
      <c r="B366" s="332"/>
      <c r="C366" s="333"/>
      <c r="D366" s="334"/>
      <c r="E366" s="294"/>
      <c r="F366" s="294"/>
      <c r="G366" s="294"/>
      <c r="H366" s="294"/>
      <c r="I366" s="294"/>
      <c r="J366" s="294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335"/>
      <c r="X366" s="335"/>
      <c r="Y366" s="335"/>
      <c r="Z366" s="336"/>
    </row>
    <row r="367" spans="1:26" ht="23.1" customHeight="1">
      <c r="A367" s="251"/>
      <c r="B367" s="332"/>
      <c r="C367" s="333"/>
      <c r="D367" s="334"/>
      <c r="E367" s="294"/>
      <c r="F367" s="294"/>
      <c r="G367" s="294"/>
      <c r="H367" s="294"/>
      <c r="I367" s="294"/>
      <c r="J367" s="294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335"/>
      <c r="X367" s="335"/>
      <c r="Y367" s="335"/>
      <c r="Z367" s="336"/>
    </row>
    <row r="368" spans="1:26" ht="23.1" customHeight="1">
      <c r="A368" s="251"/>
      <c r="B368" s="332"/>
      <c r="C368" s="333"/>
      <c r="D368" s="334"/>
      <c r="E368" s="294"/>
      <c r="F368" s="294"/>
      <c r="G368" s="294"/>
      <c r="H368" s="294"/>
      <c r="I368" s="294"/>
      <c r="J368" s="294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335"/>
      <c r="X368" s="335"/>
      <c r="Y368" s="335"/>
      <c r="Z368" s="336"/>
    </row>
    <row r="369" spans="1:26" ht="23.1" customHeight="1">
      <c r="A369" s="251"/>
      <c r="B369" s="332"/>
      <c r="C369" s="333"/>
      <c r="D369" s="334"/>
      <c r="E369" s="294"/>
      <c r="F369" s="294"/>
      <c r="G369" s="294"/>
      <c r="H369" s="294"/>
      <c r="I369" s="294"/>
      <c r="J369" s="294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335"/>
      <c r="X369" s="335"/>
      <c r="Y369" s="335"/>
      <c r="Z369" s="336"/>
    </row>
    <row r="370" spans="1:26" ht="23.1" customHeight="1">
      <c r="A370" s="251"/>
      <c r="B370" s="332"/>
      <c r="C370" s="333"/>
      <c r="D370" s="334"/>
      <c r="E370" s="294"/>
      <c r="F370" s="294"/>
      <c r="G370" s="294"/>
      <c r="H370" s="294"/>
      <c r="I370" s="294"/>
      <c r="J370" s="294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335"/>
      <c r="X370" s="335"/>
      <c r="Y370" s="335"/>
      <c r="Z370" s="336"/>
    </row>
    <row r="371" spans="1:26" ht="23.1" customHeight="1">
      <c r="A371" s="251"/>
      <c r="B371" s="332"/>
      <c r="C371" s="333"/>
      <c r="D371" s="334"/>
      <c r="E371" s="294"/>
      <c r="F371" s="294"/>
      <c r="G371" s="294"/>
      <c r="H371" s="294"/>
      <c r="I371" s="294"/>
      <c r="J371" s="294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335"/>
      <c r="X371" s="335"/>
      <c r="Y371" s="335"/>
      <c r="Z371" s="336"/>
    </row>
    <row r="372" spans="1:26" ht="23.1" customHeight="1">
      <c r="A372" s="251"/>
      <c r="B372" s="332"/>
      <c r="C372" s="333"/>
      <c r="D372" s="334"/>
      <c r="E372" s="294"/>
      <c r="F372" s="294"/>
      <c r="G372" s="294"/>
      <c r="H372" s="294"/>
      <c r="I372" s="294"/>
      <c r="J372" s="294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335"/>
      <c r="X372" s="335"/>
      <c r="Y372" s="335"/>
      <c r="Z372" s="336"/>
    </row>
  </sheetData>
  <mergeCells count="18">
    <mergeCell ref="K4:M4"/>
    <mergeCell ref="N4:P4"/>
    <mergeCell ref="Z3:AB3"/>
    <mergeCell ref="Q4:S4"/>
    <mergeCell ref="T4:V4"/>
    <mergeCell ref="A1:W1"/>
    <mergeCell ref="A2:W2"/>
    <mergeCell ref="E3:J3"/>
    <mergeCell ref="K3:P3"/>
    <mergeCell ref="Q3:V3"/>
    <mergeCell ref="Z4:AB4"/>
    <mergeCell ref="A3:A5"/>
    <mergeCell ref="B3:B5"/>
    <mergeCell ref="C3:C5"/>
    <mergeCell ref="D3:D5"/>
    <mergeCell ref="W3:W5"/>
    <mergeCell ref="E4:G4"/>
    <mergeCell ref="H4:J4"/>
  </mergeCells>
  <phoneticPr fontId="76" type="noConversion"/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B5BF-D813-4C64-B4E2-2199705A8778}">
  <sheetPr>
    <outlinePr summaryBelow="0"/>
  </sheetPr>
  <dimension ref="A1:AG291"/>
  <sheetViews>
    <sheetView zoomScale="115" zoomScaleNormal="115" zoomScaleSheetLayoutView="85" workbookViewId="0">
      <pane ySplit="5" topLeftCell="A10" activePane="bottomLeft" state="frozen"/>
      <selection pane="bottomLeft" activeCell="AB1" sqref="AB1"/>
    </sheetView>
  </sheetViews>
  <sheetFormatPr defaultColWidth="8.75" defaultRowHeight="23.1" customHeight="1" outlineLevelRow="1"/>
  <cols>
    <col min="1" max="1" width="5.625" style="286" customWidth="1"/>
    <col min="2" max="2" width="21.25" style="61" customWidth="1"/>
    <col min="3" max="3" width="5.625" style="61" customWidth="1"/>
    <col min="4" max="5" width="6.125" style="61" hidden="1" customWidth="1"/>
    <col min="6" max="6" width="12.75" style="287" hidden="1" customWidth="1"/>
    <col min="7" max="8" width="6.125" style="61" hidden="1" customWidth="1"/>
    <col min="9" max="9" width="12.75" style="287" hidden="1" customWidth="1"/>
    <col min="10" max="10" width="7.625" style="61" hidden="1" customWidth="1"/>
    <col min="11" max="11" width="9.75" style="61" hidden="1" customWidth="1"/>
    <col min="12" max="12" width="12.375" style="61" hidden="1" customWidth="1"/>
    <col min="13" max="15" width="7.625" style="61" customWidth="1"/>
    <col min="16" max="16" width="9.625" style="61" customWidth="1"/>
    <col min="17" max="17" width="7.625" style="61" customWidth="1"/>
    <col min="18" max="18" width="10.625" style="61" customWidth="1"/>
    <col min="19" max="19" width="11.625" style="61" customWidth="1"/>
    <col min="20" max="22" width="7.625" style="61" customWidth="1"/>
    <col min="23" max="23" width="11.625" style="61" customWidth="1"/>
    <col min="24" max="24" width="9.625" style="61" customWidth="1"/>
    <col min="25" max="25" width="6" style="61" customWidth="1"/>
    <col min="26" max="26" width="5.5" style="61" customWidth="1"/>
    <col min="27" max="27" width="7.5" style="61" customWidth="1"/>
    <col min="28" max="30" width="9.5" style="61" customWidth="1"/>
    <col min="31" max="31" width="6.875" style="61" customWidth="1"/>
    <col min="32" max="32" width="9.5" style="61" customWidth="1"/>
    <col min="33" max="33" width="11.625" style="61" customWidth="1"/>
  </cols>
  <sheetData>
    <row r="1" spans="1:33" ht="23.1" customHeight="1">
      <c r="A1" s="466" t="s">
        <v>1481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6"/>
      <c r="X1" s="426"/>
      <c r="Y1" s="204"/>
      <c r="Z1" s="204"/>
      <c r="AA1" s="208"/>
      <c r="AB1" s="208"/>
      <c r="AC1" s="208"/>
      <c r="AD1" s="208"/>
      <c r="AE1" s="208"/>
      <c r="AF1" s="105"/>
    </row>
    <row r="2" spans="1:33" s="59" customFormat="1" ht="23.1" customHeight="1">
      <c r="A2" s="467" t="s">
        <v>343</v>
      </c>
      <c r="B2" s="429"/>
      <c r="C2" s="429"/>
      <c r="D2" s="429"/>
      <c r="E2" s="429"/>
      <c r="F2" s="468"/>
      <c r="G2" s="429"/>
      <c r="H2" s="429"/>
      <c r="I2" s="468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9"/>
      <c r="X2" s="429"/>
      <c r="Y2" s="300"/>
      <c r="Z2" s="300"/>
      <c r="AA2" s="210"/>
      <c r="AB2" s="210"/>
      <c r="AC2" s="210"/>
      <c r="AD2" s="210"/>
      <c r="AE2" s="210"/>
      <c r="AF2" s="301"/>
      <c r="AG2" s="270"/>
    </row>
    <row r="3" spans="1:33" s="59" customFormat="1" ht="23.1" customHeight="1">
      <c r="A3" s="469" t="s">
        <v>32</v>
      </c>
      <c r="B3" s="430" t="s">
        <v>344</v>
      </c>
      <c r="C3" s="430" t="s">
        <v>34</v>
      </c>
      <c r="D3" s="430" t="s">
        <v>92</v>
      </c>
      <c r="E3" s="430"/>
      <c r="F3" s="430"/>
      <c r="G3" s="430"/>
      <c r="H3" s="430"/>
      <c r="I3" s="430"/>
      <c r="J3" s="430" t="s">
        <v>36</v>
      </c>
      <c r="K3" s="430"/>
      <c r="L3" s="430"/>
      <c r="M3" s="430"/>
      <c r="N3" s="430"/>
      <c r="O3" s="430"/>
      <c r="P3" s="430"/>
      <c r="Q3" s="430" t="s">
        <v>37</v>
      </c>
      <c r="R3" s="430"/>
      <c r="S3" s="430"/>
      <c r="T3" s="430"/>
      <c r="U3" s="430"/>
      <c r="V3" s="430"/>
      <c r="W3" s="430"/>
      <c r="X3" s="471" t="s">
        <v>38</v>
      </c>
      <c r="Y3" s="302"/>
      <c r="Z3" s="302"/>
      <c r="AA3" s="430" t="s">
        <v>93</v>
      </c>
      <c r="AB3" s="430"/>
      <c r="AC3" s="430"/>
      <c r="AD3" s="430"/>
      <c r="AE3" s="430"/>
      <c r="AF3" s="430"/>
      <c r="AG3" s="430"/>
    </row>
    <row r="4" spans="1:33" s="59" customFormat="1" ht="23.1" customHeight="1">
      <c r="A4" s="470"/>
      <c r="B4" s="431"/>
      <c r="C4" s="431"/>
      <c r="D4" s="430" t="s">
        <v>42</v>
      </c>
      <c r="E4" s="430"/>
      <c r="F4" s="430"/>
      <c r="G4" s="430" t="s">
        <v>94</v>
      </c>
      <c r="H4" s="431"/>
      <c r="I4" s="431"/>
      <c r="J4" s="430" t="s">
        <v>42</v>
      </c>
      <c r="K4" s="430"/>
      <c r="L4" s="430"/>
      <c r="M4" s="430" t="s">
        <v>43</v>
      </c>
      <c r="N4" s="430"/>
      <c r="O4" s="430"/>
      <c r="P4" s="430"/>
      <c r="Q4" s="430" t="s">
        <v>42</v>
      </c>
      <c r="R4" s="430"/>
      <c r="S4" s="430"/>
      <c r="T4" s="430" t="s">
        <v>43</v>
      </c>
      <c r="U4" s="430"/>
      <c r="V4" s="430"/>
      <c r="W4" s="430"/>
      <c r="X4" s="471"/>
      <c r="Y4" s="302"/>
      <c r="Z4" s="302"/>
      <c r="AA4" s="430" t="s">
        <v>42</v>
      </c>
      <c r="AB4" s="430"/>
      <c r="AC4" s="430"/>
      <c r="AD4" s="430" t="s">
        <v>43</v>
      </c>
      <c r="AE4" s="430"/>
      <c r="AF4" s="430"/>
      <c r="AG4" s="430"/>
    </row>
    <row r="5" spans="1:33" s="59" customFormat="1" ht="23.1" customHeight="1">
      <c r="A5" s="470"/>
      <c r="B5" s="431"/>
      <c r="C5" s="431"/>
      <c r="D5" s="114" t="s">
        <v>95</v>
      </c>
      <c r="E5" s="114" t="s">
        <v>96</v>
      </c>
      <c r="F5" s="114" t="s">
        <v>97</v>
      </c>
      <c r="G5" s="114" t="s">
        <v>95</v>
      </c>
      <c r="H5" s="114" t="s">
        <v>96</v>
      </c>
      <c r="I5" s="114" t="s">
        <v>63</v>
      </c>
      <c r="J5" s="114" t="s">
        <v>95</v>
      </c>
      <c r="K5" s="114" t="s">
        <v>96</v>
      </c>
      <c r="L5" s="114" t="s">
        <v>97</v>
      </c>
      <c r="M5" s="114" t="s">
        <v>95</v>
      </c>
      <c r="N5" s="114" t="s">
        <v>345</v>
      </c>
      <c r="O5" s="114" t="s">
        <v>96</v>
      </c>
      <c r="P5" s="114" t="s">
        <v>97</v>
      </c>
      <c r="Q5" s="114" t="s">
        <v>95</v>
      </c>
      <c r="R5" s="114" t="s">
        <v>96</v>
      </c>
      <c r="S5" s="114" t="s">
        <v>97</v>
      </c>
      <c r="T5" s="114" t="s">
        <v>95</v>
      </c>
      <c r="U5" s="114" t="s">
        <v>345</v>
      </c>
      <c r="V5" s="114" t="s">
        <v>96</v>
      </c>
      <c r="W5" s="114" t="s">
        <v>97</v>
      </c>
      <c r="X5" s="471"/>
      <c r="Y5" s="302"/>
      <c r="Z5" s="302"/>
      <c r="AA5" s="114" t="s">
        <v>95</v>
      </c>
      <c r="AB5" s="114" t="s">
        <v>96</v>
      </c>
      <c r="AC5" s="114" t="s">
        <v>97</v>
      </c>
      <c r="AD5" s="114" t="s">
        <v>95</v>
      </c>
      <c r="AE5" s="114" t="s">
        <v>345</v>
      </c>
      <c r="AF5" s="114" t="s">
        <v>96</v>
      </c>
      <c r="AG5" s="114" t="s">
        <v>97</v>
      </c>
    </row>
    <row r="6" spans="1:33" s="215" customFormat="1" ht="23.1" customHeight="1">
      <c r="A6" s="288" t="s">
        <v>98</v>
      </c>
      <c r="B6" s="266" t="s">
        <v>346</v>
      </c>
      <c r="C6" s="266"/>
      <c r="D6" s="222"/>
      <c r="E6" s="222"/>
      <c r="F6" s="222">
        <v>1807634.2264091009</v>
      </c>
      <c r="G6" s="222"/>
      <c r="H6" s="222"/>
      <c r="I6" s="222">
        <v>2311838.7680000002</v>
      </c>
      <c r="J6" s="222"/>
      <c r="K6" s="222"/>
      <c r="L6" s="222">
        <f>SUM(L7:L14)</f>
        <v>106842.51408176147</v>
      </c>
      <c r="M6" s="222"/>
      <c r="N6" s="222"/>
      <c r="O6" s="222"/>
      <c r="P6" s="222">
        <f>SUM(P7:P14)</f>
        <v>141000</v>
      </c>
      <c r="Q6" s="222"/>
      <c r="R6" s="222"/>
      <c r="S6" s="222">
        <f>SUM(S7:S14)</f>
        <v>1009698.4678350386</v>
      </c>
      <c r="T6" s="222"/>
      <c r="U6" s="222"/>
      <c r="V6" s="222"/>
      <c r="W6" s="222">
        <f>SUM(W7:W14)</f>
        <v>1273187.58</v>
      </c>
      <c r="X6" s="229"/>
      <c r="Y6" s="303"/>
      <c r="Z6" s="303"/>
      <c r="AA6" s="222"/>
      <c r="AB6" s="222"/>
      <c r="AC6" s="222">
        <v>902855.95375327708</v>
      </c>
      <c r="AD6" s="222"/>
      <c r="AE6" s="222"/>
      <c r="AF6" s="222"/>
      <c r="AG6" s="222">
        <v>1351787.58</v>
      </c>
    </row>
    <row r="7" spans="1:33" s="216" customFormat="1" ht="23.1" customHeight="1" outlineLevel="1">
      <c r="A7" s="289">
        <v>1</v>
      </c>
      <c r="B7" s="267" t="s">
        <v>347</v>
      </c>
      <c r="C7" s="267" t="s">
        <v>47</v>
      </c>
      <c r="D7" s="207"/>
      <c r="E7" s="205"/>
      <c r="F7" s="205">
        <v>1495795.1971446606</v>
      </c>
      <c r="G7" s="207"/>
      <c r="H7" s="207"/>
      <c r="I7" s="207">
        <v>1048800</v>
      </c>
      <c r="J7" s="207">
        <f>+Q7-AA7</f>
        <v>2</v>
      </c>
      <c r="K7" s="268">
        <f>+R7</f>
        <v>53421.257040880737</v>
      </c>
      <c r="L7" s="205">
        <f>K7*J7</f>
        <v>106842.51408176147</v>
      </c>
      <c r="M7" s="207">
        <f>+T7</f>
        <v>1</v>
      </c>
      <c r="N7" s="206">
        <f>+U7-AE7</f>
        <v>2</v>
      </c>
      <c r="O7" s="207">
        <f>+V7</f>
        <v>34500</v>
      </c>
      <c r="P7" s="205">
        <f>+O7*N7*M7</f>
        <v>69000</v>
      </c>
      <c r="Q7" s="206">
        <f>+U7</f>
        <v>14.2</v>
      </c>
      <c r="R7" s="205">
        <f>F7/2/14</f>
        <v>53421.257040880737</v>
      </c>
      <c r="S7" s="205">
        <f>+R7*Q7</f>
        <v>758581.84998050646</v>
      </c>
      <c r="T7" s="296">
        <v>1</v>
      </c>
      <c r="U7" s="206">
        <f>2.23+1.17+2+2+2+2.8+2</f>
        <v>14.2</v>
      </c>
      <c r="V7" s="207">
        <v>34500</v>
      </c>
      <c r="W7" s="205">
        <f>+V7*U7*T7</f>
        <v>489900</v>
      </c>
      <c r="X7" s="207"/>
      <c r="Y7" s="304"/>
      <c r="Z7" s="304"/>
      <c r="AA7" s="206">
        <v>12.2</v>
      </c>
      <c r="AB7" s="205">
        <v>53421.257040880737</v>
      </c>
      <c r="AC7" s="205">
        <v>651739.33589874499</v>
      </c>
      <c r="AD7" s="296">
        <v>1</v>
      </c>
      <c r="AE7" s="206">
        <v>12.2</v>
      </c>
      <c r="AF7" s="207">
        <v>34500</v>
      </c>
      <c r="AG7" s="205">
        <v>420900</v>
      </c>
    </row>
    <row r="8" spans="1:33" s="216" customFormat="1" ht="23.1" customHeight="1" outlineLevel="1">
      <c r="A8" s="289">
        <v>2</v>
      </c>
      <c r="B8" s="267" t="s">
        <v>348</v>
      </c>
      <c r="C8" s="267" t="s">
        <v>47</v>
      </c>
      <c r="D8" s="207"/>
      <c r="E8" s="205"/>
      <c r="F8" s="205">
        <v>0</v>
      </c>
      <c r="G8" s="207"/>
      <c r="H8" s="207"/>
      <c r="I8" s="207">
        <v>504000</v>
      </c>
      <c r="J8" s="207"/>
      <c r="K8" s="205"/>
      <c r="L8" s="205">
        <f t="shared" ref="L8:L14" si="0">K8*J8</f>
        <v>0</v>
      </c>
      <c r="M8" s="207">
        <f>+T8</f>
        <v>1</v>
      </c>
      <c r="N8" s="206">
        <f>+U8-AE8</f>
        <v>2</v>
      </c>
      <c r="O8" s="207">
        <f>+V8</f>
        <v>18000</v>
      </c>
      <c r="P8" s="205">
        <f>+O8*N8*M8</f>
        <v>36000</v>
      </c>
      <c r="Q8" s="207"/>
      <c r="R8" s="205"/>
      <c r="S8" s="205">
        <f t="shared" ref="S8:S22" si="1">+R8*Q8</f>
        <v>0</v>
      </c>
      <c r="T8" s="296">
        <v>1</v>
      </c>
      <c r="U8" s="206">
        <f>+U7</f>
        <v>14.2</v>
      </c>
      <c r="V8" s="207">
        <v>18000</v>
      </c>
      <c r="W8" s="205">
        <f>+V8*U8*T8</f>
        <v>255600</v>
      </c>
      <c r="X8" s="207"/>
      <c r="Y8" s="304"/>
      <c r="Z8" s="304"/>
      <c r="AA8" s="207"/>
      <c r="AB8" s="205"/>
      <c r="AC8" s="205">
        <v>0</v>
      </c>
      <c r="AD8" s="296">
        <v>1</v>
      </c>
      <c r="AE8" s="206">
        <v>12.2</v>
      </c>
      <c r="AF8" s="207">
        <v>18000</v>
      </c>
      <c r="AG8" s="205">
        <v>219600</v>
      </c>
    </row>
    <row r="9" spans="1:33" s="216" customFormat="1" ht="23.1" customHeight="1" outlineLevel="1">
      <c r="A9" s="289">
        <v>3</v>
      </c>
      <c r="B9" s="267" t="s">
        <v>349</v>
      </c>
      <c r="C9" s="267" t="s">
        <v>47</v>
      </c>
      <c r="D9" s="207"/>
      <c r="E9" s="205"/>
      <c r="F9" s="205">
        <v>0</v>
      </c>
      <c r="G9" s="207"/>
      <c r="H9" s="207"/>
      <c r="I9" s="207">
        <v>504000</v>
      </c>
      <c r="J9" s="207"/>
      <c r="K9" s="205"/>
      <c r="L9" s="205">
        <f t="shared" si="0"/>
        <v>0</v>
      </c>
      <c r="M9" s="207">
        <f>+T9</f>
        <v>1</v>
      </c>
      <c r="N9" s="206">
        <f>+U9-AE9</f>
        <v>2</v>
      </c>
      <c r="O9" s="207">
        <f>+V9</f>
        <v>18000</v>
      </c>
      <c r="P9" s="205">
        <f>+O9*N9*M9</f>
        <v>36000</v>
      </c>
      <c r="Q9" s="207"/>
      <c r="R9" s="205"/>
      <c r="S9" s="205">
        <f t="shared" si="1"/>
        <v>0</v>
      </c>
      <c r="T9" s="296">
        <v>1</v>
      </c>
      <c r="U9" s="206">
        <f>+U7</f>
        <v>14.2</v>
      </c>
      <c r="V9" s="207">
        <v>18000</v>
      </c>
      <c r="W9" s="205">
        <f>+V9*U9*T9</f>
        <v>255600</v>
      </c>
      <c r="X9" s="207"/>
      <c r="Y9" s="304"/>
      <c r="Z9" s="304"/>
      <c r="AA9" s="207"/>
      <c r="AB9" s="205"/>
      <c r="AC9" s="205">
        <v>0</v>
      </c>
      <c r="AD9" s="296">
        <v>2</v>
      </c>
      <c r="AE9" s="206">
        <v>12.2</v>
      </c>
      <c r="AF9" s="207">
        <v>18000</v>
      </c>
      <c r="AG9" s="205">
        <v>439200</v>
      </c>
    </row>
    <row r="10" spans="1:33" s="216" customFormat="1" ht="23.1" customHeight="1" outlineLevel="1">
      <c r="A10" s="289">
        <v>4</v>
      </c>
      <c r="B10" s="267" t="s">
        <v>350</v>
      </c>
      <c r="C10" s="267" t="s">
        <v>47</v>
      </c>
      <c r="D10" s="207"/>
      <c r="E10" s="205"/>
      <c r="F10" s="205">
        <v>121444.82281981649</v>
      </c>
      <c r="G10" s="207"/>
      <c r="H10" s="207"/>
      <c r="I10" s="207">
        <v>124000</v>
      </c>
      <c r="J10" s="207">
        <f>+Q10-AA10</f>
        <v>0</v>
      </c>
      <c r="K10" s="205">
        <f>+R10</f>
        <v>121444.82281981649</v>
      </c>
      <c r="L10" s="205">
        <f t="shared" si="0"/>
        <v>0</v>
      </c>
      <c r="M10" s="295">
        <f>+T10-AD10</f>
        <v>0</v>
      </c>
      <c r="N10" s="207" t="s">
        <v>351</v>
      </c>
      <c r="O10" s="207">
        <v>62000</v>
      </c>
      <c r="P10" s="205">
        <f>+O10*M10</f>
        <v>0</v>
      </c>
      <c r="Q10" s="296">
        <v>0.5</v>
      </c>
      <c r="R10" s="205">
        <v>121444.82281981649</v>
      </c>
      <c r="S10" s="205">
        <f t="shared" si="1"/>
        <v>60722.411409908244</v>
      </c>
      <c r="T10" s="296">
        <v>1</v>
      </c>
      <c r="U10" s="207" t="s">
        <v>351</v>
      </c>
      <c r="V10" s="207">
        <v>62000</v>
      </c>
      <c r="W10" s="205">
        <f>+V10*T10</f>
        <v>62000</v>
      </c>
      <c r="X10" s="207"/>
      <c r="Y10" s="304"/>
      <c r="Z10" s="304"/>
      <c r="AA10" s="296">
        <v>0.5</v>
      </c>
      <c r="AB10" s="205">
        <v>121444.82281981649</v>
      </c>
      <c r="AC10" s="205">
        <v>60722.411409908244</v>
      </c>
      <c r="AD10" s="296">
        <v>1</v>
      </c>
      <c r="AE10" s="207" t="s">
        <v>351</v>
      </c>
      <c r="AF10" s="207">
        <v>62000</v>
      </c>
      <c r="AG10" s="205">
        <v>62000</v>
      </c>
    </row>
    <row r="11" spans="1:33" s="216" customFormat="1" ht="23.1" customHeight="1" outlineLevel="1">
      <c r="A11" s="289">
        <v>5</v>
      </c>
      <c r="B11" s="267" t="s">
        <v>352</v>
      </c>
      <c r="C11" s="267" t="s">
        <v>47</v>
      </c>
      <c r="D11" s="207"/>
      <c r="E11" s="205"/>
      <c r="F11" s="205">
        <v>190394.20644462385</v>
      </c>
      <c r="G11" s="207"/>
      <c r="H11" s="205"/>
      <c r="I11" s="205">
        <v>81856.767999999996</v>
      </c>
      <c r="J11" s="207">
        <f>+Q11-AA11</f>
        <v>0</v>
      </c>
      <c r="K11" s="205">
        <f>+R11</f>
        <v>190394.20644462385</v>
      </c>
      <c r="L11" s="205">
        <f t="shared" si="0"/>
        <v>0</v>
      </c>
      <c r="M11" s="207">
        <f>+T11-AD11</f>
        <v>0</v>
      </c>
      <c r="N11" s="207" t="s">
        <v>351</v>
      </c>
      <c r="O11" s="207">
        <v>438.05016697588127</v>
      </c>
      <c r="P11" s="205">
        <f>+O11*M11</f>
        <v>0</v>
      </c>
      <c r="Q11" s="296">
        <v>1</v>
      </c>
      <c r="R11" s="205">
        <v>190394.20644462385</v>
      </c>
      <c r="S11" s="205">
        <f t="shared" si="1"/>
        <v>190394.20644462385</v>
      </c>
      <c r="T11" s="207">
        <v>269.5</v>
      </c>
      <c r="U11" s="207" t="s">
        <v>351</v>
      </c>
      <c r="V11" s="207">
        <f>+W11/T11</f>
        <v>438.05016697588127</v>
      </c>
      <c r="W11" s="207">
        <v>118054.52</v>
      </c>
      <c r="X11" s="207"/>
      <c r="Y11" s="304"/>
      <c r="Z11" s="304"/>
      <c r="AA11" s="296">
        <v>1</v>
      </c>
      <c r="AB11" s="205">
        <v>190394.20644462385</v>
      </c>
      <c r="AC11" s="205">
        <v>190394.20644462385</v>
      </c>
      <c r="AD11" s="207">
        <v>269.5</v>
      </c>
      <c r="AE11" s="207" t="s">
        <v>351</v>
      </c>
      <c r="AF11" s="207">
        <v>438.05016697588127</v>
      </c>
      <c r="AG11" s="205">
        <v>118054.52</v>
      </c>
    </row>
    <row r="12" spans="1:33" s="216" customFormat="1" ht="23.1" customHeight="1" outlineLevel="1">
      <c r="A12" s="289">
        <v>6</v>
      </c>
      <c r="B12" s="267" t="s">
        <v>353</v>
      </c>
      <c r="C12" s="267" t="s">
        <v>47</v>
      </c>
      <c r="D12" s="207"/>
      <c r="E12" s="205"/>
      <c r="F12" s="205"/>
      <c r="G12" s="207"/>
      <c r="H12" s="205"/>
      <c r="I12" s="205">
        <v>18384</v>
      </c>
      <c r="J12" s="207"/>
      <c r="K12" s="205"/>
      <c r="L12" s="205">
        <f t="shared" si="0"/>
        <v>0</v>
      </c>
      <c r="M12" s="207">
        <f>+T12-AD12</f>
        <v>0</v>
      </c>
      <c r="N12" s="207" t="s">
        <v>351</v>
      </c>
      <c r="O12" s="207">
        <v>3498.7870701679908</v>
      </c>
      <c r="P12" s="205">
        <f>+O12*M12</f>
        <v>0</v>
      </c>
      <c r="Q12" s="207"/>
      <c r="R12" s="205"/>
      <c r="S12" s="205">
        <f t="shared" si="1"/>
        <v>0</v>
      </c>
      <c r="T12" s="207">
        <v>16.489000000000001</v>
      </c>
      <c r="U12" s="207" t="s">
        <v>351</v>
      </c>
      <c r="V12" s="207">
        <f>+W12/T12</f>
        <v>3498.7870701679908</v>
      </c>
      <c r="W12" s="207">
        <v>57691.5</v>
      </c>
      <c r="X12" s="207"/>
      <c r="Y12" s="304"/>
      <c r="Z12" s="304"/>
      <c r="AA12" s="207"/>
      <c r="AB12" s="205"/>
      <c r="AC12" s="205">
        <v>0</v>
      </c>
      <c r="AD12" s="207">
        <v>16.489000000000001</v>
      </c>
      <c r="AE12" s="207" t="s">
        <v>351</v>
      </c>
      <c r="AF12" s="207">
        <v>3498.7870701679908</v>
      </c>
      <c r="AG12" s="205">
        <v>57691.5</v>
      </c>
    </row>
    <row r="13" spans="1:33" s="216" customFormat="1" ht="23.1" customHeight="1" outlineLevel="1">
      <c r="A13" s="289">
        <v>7</v>
      </c>
      <c r="B13" s="267" t="s">
        <v>354</v>
      </c>
      <c r="C13" s="267" t="s">
        <v>47</v>
      </c>
      <c r="D13" s="207"/>
      <c r="E13" s="205"/>
      <c r="F13" s="205"/>
      <c r="G13" s="207"/>
      <c r="H13" s="205"/>
      <c r="I13" s="205">
        <v>11648</v>
      </c>
      <c r="J13" s="207"/>
      <c r="K13" s="205"/>
      <c r="L13" s="205">
        <f t="shared" si="0"/>
        <v>0</v>
      </c>
      <c r="M13" s="207">
        <f>+T13-AD13</f>
        <v>0</v>
      </c>
      <c r="N13" s="207" t="s">
        <v>351</v>
      </c>
      <c r="O13" s="207">
        <v>48.5</v>
      </c>
      <c r="P13" s="205">
        <f>+O13*M13</f>
        <v>0</v>
      </c>
      <c r="Q13" s="207"/>
      <c r="R13" s="205"/>
      <c r="S13" s="205">
        <f t="shared" si="1"/>
        <v>0</v>
      </c>
      <c r="T13" s="207">
        <v>269.5</v>
      </c>
      <c r="U13" s="207" t="s">
        <v>351</v>
      </c>
      <c r="V13" s="207">
        <v>48.5</v>
      </c>
      <c r="W13" s="205">
        <f>+V13*T13</f>
        <v>13070.75</v>
      </c>
      <c r="X13" s="207"/>
      <c r="Y13" s="304"/>
      <c r="Z13" s="304"/>
      <c r="AA13" s="207"/>
      <c r="AB13" s="205"/>
      <c r="AC13" s="205">
        <v>0</v>
      </c>
      <c r="AD13" s="207">
        <v>269.5</v>
      </c>
      <c r="AE13" s="207" t="s">
        <v>351</v>
      </c>
      <c r="AF13" s="207">
        <v>48.5</v>
      </c>
      <c r="AG13" s="205">
        <v>13070.75</v>
      </c>
    </row>
    <row r="14" spans="1:33" s="216" customFormat="1" ht="23.1" customHeight="1" outlineLevel="1">
      <c r="A14" s="289">
        <v>8</v>
      </c>
      <c r="B14" s="267" t="s">
        <v>355</v>
      </c>
      <c r="C14" s="267" t="s">
        <v>47</v>
      </c>
      <c r="D14" s="207"/>
      <c r="E14" s="205"/>
      <c r="F14" s="205"/>
      <c r="G14" s="207"/>
      <c r="H14" s="207"/>
      <c r="I14" s="207">
        <v>19150</v>
      </c>
      <c r="J14" s="207"/>
      <c r="K14" s="205"/>
      <c r="L14" s="205">
        <f t="shared" si="0"/>
        <v>0</v>
      </c>
      <c r="M14" s="207">
        <f>+T14-AD14</f>
        <v>0</v>
      </c>
      <c r="N14" s="207" t="s">
        <v>351</v>
      </c>
      <c r="O14" s="207">
        <v>1290</v>
      </c>
      <c r="P14" s="205">
        <f>+O14*M14</f>
        <v>0</v>
      </c>
      <c r="Q14" s="207"/>
      <c r="R14" s="205"/>
      <c r="S14" s="205">
        <f t="shared" si="1"/>
        <v>0</v>
      </c>
      <c r="T14" s="207">
        <v>16.489000000000001</v>
      </c>
      <c r="U14" s="207" t="s">
        <v>351</v>
      </c>
      <c r="V14" s="207">
        <v>1290</v>
      </c>
      <c r="W14" s="205">
        <f>+V14*T14</f>
        <v>21270.81</v>
      </c>
      <c r="X14" s="207"/>
      <c r="Y14" s="304"/>
      <c r="Z14" s="304"/>
      <c r="AA14" s="207"/>
      <c r="AB14" s="205"/>
      <c r="AC14" s="205">
        <v>0</v>
      </c>
      <c r="AD14" s="207">
        <v>16.489000000000001</v>
      </c>
      <c r="AE14" s="207" t="s">
        <v>351</v>
      </c>
      <c r="AF14" s="207">
        <v>1290</v>
      </c>
      <c r="AG14" s="205">
        <v>21270.81</v>
      </c>
    </row>
    <row r="15" spans="1:33" s="215" customFormat="1" ht="23.1" customHeight="1">
      <c r="A15" s="288" t="s">
        <v>169</v>
      </c>
      <c r="B15" s="266" t="s">
        <v>356</v>
      </c>
      <c r="C15" s="266"/>
      <c r="D15" s="222"/>
      <c r="E15" s="222"/>
      <c r="F15" s="222">
        <v>964650.21017482562</v>
      </c>
      <c r="G15" s="222"/>
      <c r="H15" s="222"/>
      <c r="I15" s="222">
        <v>1599500.8984849558</v>
      </c>
      <c r="J15" s="222"/>
      <c r="K15" s="222"/>
      <c r="L15" s="222">
        <f>SUM(L16:L22)</f>
        <v>0</v>
      </c>
      <c r="M15" s="222"/>
      <c r="N15" s="222"/>
      <c r="O15" s="222"/>
      <c r="P15" s="222">
        <f>SUM(P16:P22)</f>
        <v>201672.83</v>
      </c>
      <c r="Q15" s="222"/>
      <c r="R15" s="222"/>
      <c r="S15" s="222">
        <f>SUM(S16:S22)</f>
        <v>183497.32156302768</v>
      </c>
      <c r="T15" s="222"/>
      <c r="U15" s="222"/>
      <c r="V15" s="222"/>
      <c r="W15" s="222">
        <f>SUM(W16:W22)</f>
        <v>201672.83</v>
      </c>
      <c r="X15" s="229"/>
      <c r="Y15" s="303"/>
      <c r="Z15" s="303"/>
      <c r="AA15" s="222"/>
      <c r="AB15" s="222"/>
      <c r="AC15" s="222">
        <v>0</v>
      </c>
      <c r="AD15" s="222"/>
      <c r="AE15" s="222"/>
      <c r="AF15" s="222"/>
      <c r="AG15" s="222">
        <v>0</v>
      </c>
    </row>
    <row r="16" spans="1:33" s="216" customFormat="1" ht="23.1" customHeight="1" outlineLevel="1">
      <c r="A16" s="289">
        <v>1</v>
      </c>
      <c r="B16" s="267" t="s">
        <v>357</v>
      </c>
      <c r="C16" s="267" t="s">
        <v>47</v>
      </c>
      <c r="D16" s="207"/>
      <c r="E16" s="205"/>
      <c r="F16" s="205">
        <v>908510.47498744947</v>
      </c>
      <c r="G16" s="207"/>
      <c r="H16" s="207"/>
      <c r="I16" s="207">
        <v>317500</v>
      </c>
      <c r="J16" s="207"/>
      <c r="K16" s="205"/>
      <c r="L16" s="205">
        <f>+K16*J16</f>
        <v>0</v>
      </c>
      <c r="M16" s="207">
        <f>+T16</f>
        <v>1</v>
      </c>
      <c r="N16" s="206">
        <f>+U16-AE16</f>
        <v>4.2</v>
      </c>
      <c r="O16" s="207">
        <f>+V16</f>
        <v>18000</v>
      </c>
      <c r="P16" s="205">
        <f>+O16*M16*N16</f>
        <v>75600</v>
      </c>
      <c r="Q16" s="206">
        <f>+U16</f>
        <v>4.2</v>
      </c>
      <c r="R16" s="205">
        <f>F16/12.275/2</f>
        <v>37006.536659366575</v>
      </c>
      <c r="S16" s="205">
        <f t="shared" si="1"/>
        <v>155427.45396933961</v>
      </c>
      <c r="T16" s="207">
        <v>1</v>
      </c>
      <c r="U16" s="207">
        <f>2.33+1.87</f>
        <v>4.2</v>
      </c>
      <c r="V16" s="207">
        <v>18000</v>
      </c>
      <c r="W16" s="205">
        <f>+V16*T16*U16</f>
        <v>75600</v>
      </c>
      <c r="X16" s="207"/>
      <c r="Y16" s="304"/>
      <c r="Z16" s="304"/>
      <c r="AA16" s="207"/>
      <c r="AB16" s="205"/>
      <c r="AC16" s="205">
        <v>0</v>
      </c>
      <c r="AD16" s="207"/>
      <c r="AE16" s="207"/>
      <c r="AF16" s="207"/>
      <c r="AG16" s="205">
        <v>0</v>
      </c>
    </row>
    <row r="17" spans="1:33" s="216" customFormat="1" ht="23.1" customHeight="1" outlineLevel="1">
      <c r="A17" s="289">
        <v>2</v>
      </c>
      <c r="B17" s="267" t="s">
        <v>358</v>
      </c>
      <c r="C17" s="267" t="s">
        <v>47</v>
      </c>
      <c r="D17" s="207"/>
      <c r="E17" s="205"/>
      <c r="F17" s="205"/>
      <c r="G17" s="207"/>
      <c r="H17" s="207"/>
      <c r="I17" s="207">
        <v>432000</v>
      </c>
      <c r="J17" s="207"/>
      <c r="K17" s="205"/>
      <c r="L17" s="205">
        <f t="shared" ref="L17:L22" si="2">+K17*J17</f>
        <v>0</v>
      </c>
      <c r="M17" s="207">
        <f>+T17</f>
        <v>1</v>
      </c>
      <c r="N17" s="206">
        <f>+U17-AE17</f>
        <v>4.2</v>
      </c>
      <c r="O17" s="207">
        <f t="shared" ref="O17:O22" si="3">+V17</f>
        <v>18000</v>
      </c>
      <c r="P17" s="205">
        <f>+O17*M17*N17</f>
        <v>75600</v>
      </c>
      <c r="Q17" s="207"/>
      <c r="R17" s="205"/>
      <c r="S17" s="205">
        <f t="shared" si="1"/>
        <v>0</v>
      </c>
      <c r="T17" s="207">
        <v>1</v>
      </c>
      <c r="U17" s="207">
        <f>+U16</f>
        <v>4.2</v>
      </c>
      <c r="V17" s="207">
        <v>18000</v>
      </c>
      <c r="W17" s="205">
        <f>+V17*T17*U17</f>
        <v>75600</v>
      </c>
      <c r="X17" s="207"/>
      <c r="Y17" s="304"/>
      <c r="Z17" s="304"/>
      <c r="AA17" s="207"/>
      <c r="AB17" s="205"/>
      <c r="AC17" s="205">
        <v>0</v>
      </c>
      <c r="AD17" s="207"/>
      <c r="AE17" s="207"/>
      <c r="AF17" s="207"/>
      <c r="AG17" s="205">
        <v>0</v>
      </c>
    </row>
    <row r="18" spans="1:33" s="285" customFormat="1" ht="23.1" customHeight="1" outlineLevel="1">
      <c r="A18" s="289">
        <v>3</v>
      </c>
      <c r="B18" s="267" t="s">
        <v>359</v>
      </c>
      <c r="C18" s="267" t="s">
        <v>47</v>
      </c>
      <c r="D18" s="290"/>
      <c r="E18" s="290"/>
      <c r="F18" s="101">
        <v>56139.735187376144</v>
      </c>
      <c r="G18" s="290"/>
      <c r="H18" s="290"/>
      <c r="I18" s="101">
        <v>838200</v>
      </c>
      <c r="J18" s="290"/>
      <c r="K18" s="205"/>
      <c r="L18" s="205">
        <f t="shared" si="2"/>
        <v>0</v>
      </c>
      <c r="M18" s="296">
        <f>+T18-AD18</f>
        <v>1</v>
      </c>
      <c r="N18" s="207" t="s">
        <v>351</v>
      </c>
      <c r="O18" s="207">
        <f t="shared" si="3"/>
        <v>38000</v>
      </c>
      <c r="P18" s="205">
        <f>+O18*M18</f>
        <v>38000</v>
      </c>
      <c r="Q18" s="207">
        <v>0.5</v>
      </c>
      <c r="R18" s="205">
        <f>+F18</f>
        <v>56139.735187376144</v>
      </c>
      <c r="S18" s="205">
        <f t="shared" si="1"/>
        <v>28069.867593688072</v>
      </c>
      <c r="T18" s="207">
        <f>0.5+0.5</f>
        <v>1</v>
      </c>
      <c r="U18" s="207" t="s">
        <v>351</v>
      </c>
      <c r="V18" s="207">
        <v>38000</v>
      </c>
      <c r="W18" s="205">
        <f>+V18*T18</f>
        <v>38000</v>
      </c>
      <c r="X18" s="297"/>
      <c r="Y18" s="299"/>
      <c r="Z18" s="299"/>
      <c r="AA18" s="207"/>
      <c r="AB18" s="205"/>
      <c r="AC18" s="205">
        <v>0</v>
      </c>
      <c r="AD18" s="207"/>
      <c r="AE18" s="207"/>
      <c r="AF18" s="207"/>
      <c r="AG18" s="205">
        <v>0</v>
      </c>
    </row>
    <row r="19" spans="1:33" s="285" customFormat="1" ht="23.1" customHeight="1" outlineLevel="1">
      <c r="A19" s="289">
        <v>4</v>
      </c>
      <c r="B19" s="267" t="s">
        <v>360</v>
      </c>
      <c r="C19" s="267" t="s">
        <v>47</v>
      </c>
      <c r="D19" s="290"/>
      <c r="E19" s="290"/>
      <c r="F19" s="101"/>
      <c r="G19" s="290"/>
      <c r="H19" s="290"/>
      <c r="I19" s="101">
        <v>8879.9976000000006</v>
      </c>
      <c r="J19" s="290"/>
      <c r="K19" s="205"/>
      <c r="L19" s="205">
        <f t="shared" si="2"/>
        <v>0</v>
      </c>
      <c r="M19" s="207">
        <f>+T19-AD19</f>
        <v>32.5</v>
      </c>
      <c r="N19" s="207" t="s">
        <v>351</v>
      </c>
      <c r="O19" s="207">
        <f t="shared" si="3"/>
        <v>335.27938461538463</v>
      </c>
      <c r="P19" s="205">
        <f>+O19*M19</f>
        <v>10896.58</v>
      </c>
      <c r="Q19" s="207"/>
      <c r="R19" s="205"/>
      <c r="S19" s="205">
        <f t="shared" si="1"/>
        <v>0</v>
      </c>
      <c r="T19" s="207">
        <v>32.5</v>
      </c>
      <c r="U19" s="207" t="s">
        <v>351</v>
      </c>
      <c r="V19" s="207">
        <f>+W19/T19</f>
        <v>335.27938461538463</v>
      </c>
      <c r="W19" s="205">
        <v>10896.58</v>
      </c>
      <c r="X19" s="297"/>
      <c r="Y19" s="299"/>
      <c r="Z19" s="299"/>
      <c r="AA19" s="207"/>
      <c r="AB19" s="205"/>
      <c r="AC19" s="205">
        <v>0</v>
      </c>
      <c r="AD19" s="207"/>
      <c r="AE19" s="207"/>
      <c r="AF19" s="207"/>
      <c r="AG19" s="205">
        <v>0</v>
      </c>
    </row>
    <row r="20" spans="1:33" s="285" customFormat="1" ht="23.1" customHeight="1" outlineLevel="1">
      <c r="A20" s="289">
        <v>5</v>
      </c>
      <c r="B20" s="267" t="s">
        <v>361</v>
      </c>
      <c r="C20" s="267" t="s">
        <v>47</v>
      </c>
      <c r="D20" s="290"/>
      <c r="E20" s="290"/>
      <c r="F20" s="101"/>
      <c r="G20" s="290"/>
      <c r="H20" s="290"/>
      <c r="I20" s="101">
        <v>1282.3008849557521</v>
      </c>
      <c r="J20" s="290"/>
      <c r="K20" s="205"/>
      <c r="L20" s="205">
        <f t="shared" si="2"/>
        <v>0</v>
      </c>
      <c r="M20" s="207">
        <f>+T20-AD20</f>
        <v>0</v>
      </c>
      <c r="N20" s="207" t="s">
        <v>351</v>
      </c>
      <c r="O20" s="207">
        <f t="shared" si="3"/>
        <v>0</v>
      </c>
      <c r="P20" s="205">
        <f>+O20*M20</f>
        <v>0</v>
      </c>
      <c r="Q20" s="207"/>
      <c r="R20" s="205"/>
      <c r="S20" s="205">
        <f t="shared" si="1"/>
        <v>0</v>
      </c>
      <c r="T20" s="207"/>
      <c r="U20" s="207" t="s">
        <v>351</v>
      </c>
      <c r="V20" s="207"/>
      <c r="W20" s="205">
        <f>+V20*T20</f>
        <v>0</v>
      </c>
      <c r="X20" s="297"/>
      <c r="Y20" s="299"/>
      <c r="Z20" s="299"/>
      <c r="AA20" s="207"/>
      <c r="AB20" s="205"/>
      <c r="AC20" s="205">
        <v>0</v>
      </c>
      <c r="AD20" s="207"/>
      <c r="AE20" s="207"/>
      <c r="AF20" s="207"/>
      <c r="AG20" s="205">
        <v>0</v>
      </c>
    </row>
    <row r="21" spans="1:33" s="285" customFormat="1" ht="23.1" customHeight="1" outlineLevel="1">
      <c r="A21" s="289">
        <v>6</v>
      </c>
      <c r="B21" s="267" t="s">
        <v>362</v>
      </c>
      <c r="C21" s="267" t="s">
        <v>47</v>
      </c>
      <c r="D21" s="290"/>
      <c r="E21" s="290"/>
      <c r="F21" s="101"/>
      <c r="G21" s="290"/>
      <c r="H21" s="290"/>
      <c r="I21" s="101">
        <v>1263.6000000000001</v>
      </c>
      <c r="J21" s="290"/>
      <c r="K21" s="205"/>
      <c r="L21" s="205">
        <f t="shared" si="2"/>
        <v>0</v>
      </c>
      <c r="M21" s="207">
        <f>+T21-AD21</f>
        <v>32.5</v>
      </c>
      <c r="N21" s="207" t="s">
        <v>351</v>
      </c>
      <c r="O21" s="207">
        <f t="shared" si="3"/>
        <v>48.5</v>
      </c>
      <c r="P21" s="205">
        <f>+O21*M21</f>
        <v>1576.25</v>
      </c>
      <c r="Q21" s="207"/>
      <c r="R21" s="205"/>
      <c r="S21" s="205">
        <f t="shared" si="1"/>
        <v>0</v>
      </c>
      <c r="T21" s="207">
        <f>+T19</f>
        <v>32.5</v>
      </c>
      <c r="U21" s="207" t="s">
        <v>351</v>
      </c>
      <c r="V21" s="207">
        <v>48.5</v>
      </c>
      <c r="W21" s="205">
        <f>+V21*T21</f>
        <v>1576.25</v>
      </c>
      <c r="X21" s="297"/>
      <c r="Y21" s="299"/>
      <c r="Z21" s="299"/>
      <c r="AA21" s="207"/>
      <c r="AB21" s="205"/>
      <c r="AC21" s="205">
        <v>0</v>
      </c>
      <c r="AD21" s="207"/>
      <c r="AE21" s="207"/>
      <c r="AF21" s="207"/>
      <c r="AG21" s="205">
        <v>0</v>
      </c>
    </row>
    <row r="22" spans="1:33" s="285" customFormat="1" ht="23.1" customHeight="1" outlineLevel="1">
      <c r="A22" s="289">
        <v>7</v>
      </c>
      <c r="B22" s="267" t="s">
        <v>363</v>
      </c>
      <c r="C22" s="267" t="s">
        <v>47</v>
      </c>
      <c r="D22" s="290"/>
      <c r="E22" s="290"/>
      <c r="F22" s="101"/>
      <c r="G22" s="290"/>
      <c r="H22" s="290"/>
      <c r="I22" s="101">
        <v>375</v>
      </c>
      <c r="J22" s="290"/>
      <c r="K22" s="205"/>
      <c r="L22" s="205">
        <f t="shared" si="2"/>
        <v>0</v>
      </c>
      <c r="M22" s="207">
        <f>+T22-AD22</f>
        <v>0</v>
      </c>
      <c r="N22" s="207" t="s">
        <v>351</v>
      </c>
      <c r="O22" s="207">
        <f t="shared" si="3"/>
        <v>1290</v>
      </c>
      <c r="P22" s="205">
        <f>+O22*M22</f>
        <v>0</v>
      </c>
      <c r="Q22" s="207"/>
      <c r="R22" s="205"/>
      <c r="S22" s="205">
        <f t="shared" si="1"/>
        <v>0</v>
      </c>
      <c r="T22" s="207">
        <f>+T20</f>
        <v>0</v>
      </c>
      <c r="U22" s="207" t="s">
        <v>351</v>
      </c>
      <c r="V22" s="207">
        <v>1290</v>
      </c>
      <c r="W22" s="205">
        <f>+V22*T22</f>
        <v>0</v>
      </c>
      <c r="X22" s="297"/>
      <c r="Y22" s="299"/>
      <c r="Z22" s="299"/>
      <c r="AA22" s="207"/>
      <c r="AB22" s="205"/>
      <c r="AC22" s="205">
        <v>0</v>
      </c>
      <c r="AD22" s="207"/>
      <c r="AE22" s="207"/>
      <c r="AF22" s="207"/>
      <c r="AG22" s="205">
        <v>0</v>
      </c>
    </row>
    <row r="23" spans="1:33" s="215" customFormat="1" ht="23.1" customHeight="1">
      <c r="A23" s="288" t="s">
        <v>204</v>
      </c>
      <c r="B23" s="266" t="s">
        <v>364</v>
      </c>
      <c r="C23" s="266" t="s">
        <v>47</v>
      </c>
      <c r="D23" s="222"/>
      <c r="E23" s="222"/>
      <c r="F23" s="222">
        <v>136065.23770480734</v>
      </c>
      <c r="G23" s="222"/>
      <c r="H23" s="222"/>
      <c r="I23" s="222">
        <v>451279.3</v>
      </c>
      <c r="J23" s="229">
        <f>材料费!K286/23296.47</f>
        <v>4.4863054359737753E-2</v>
      </c>
      <c r="K23" s="222">
        <f>+R23</f>
        <v>136065.23770480734</v>
      </c>
      <c r="L23" s="222">
        <f>+S23-AC23</f>
        <v>6104.3021556214226</v>
      </c>
      <c r="M23" s="207"/>
      <c r="N23" s="207"/>
      <c r="O23" s="222"/>
      <c r="P23" s="229">
        <f>+W23-AG23</f>
        <v>-55376.782212389342</v>
      </c>
      <c r="Q23" s="222">
        <f>材料费!Q286/23296.47</f>
        <v>0.72744759613795562</v>
      </c>
      <c r="R23" s="222">
        <v>136065.23770480734</v>
      </c>
      <c r="S23" s="222">
        <f>R23*Q23</f>
        <v>98980.330086301619</v>
      </c>
      <c r="T23" s="222"/>
      <c r="U23" s="222"/>
      <c r="V23" s="222"/>
      <c r="W23" s="298">
        <f>481352.03/1.13</f>
        <v>425975.24778761069</v>
      </c>
      <c r="X23" s="229"/>
      <c r="Y23" s="303"/>
      <c r="Z23" s="303"/>
      <c r="AA23" s="222">
        <v>0.68258454177821781</v>
      </c>
      <c r="AB23" s="222">
        <v>136065.23770480734</v>
      </c>
      <c r="AC23" s="222">
        <v>92876.027930680197</v>
      </c>
      <c r="AD23" s="222"/>
      <c r="AE23" s="222"/>
      <c r="AF23" s="222"/>
      <c r="AG23" s="222">
        <v>481352.03</v>
      </c>
    </row>
    <row r="24" spans="1:33" s="215" customFormat="1" ht="23.1" customHeight="1">
      <c r="A24" s="288" t="s">
        <v>233</v>
      </c>
      <c r="B24" s="266" t="s">
        <v>365</v>
      </c>
      <c r="C24" s="266" t="s">
        <v>47</v>
      </c>
      <c r="D24" s="222"/>
      <c r="E24" s="222"/>
      <c r="F24" s="222"/>
      <c r="G24" s="222"/>
      <c r="H24" s="222"/>
      <c r="I24" s="222">
        <v>135383.79</v>
      </c>
      <c r="J24" s="222"/>
      <c r="K24" s="222"/>
      <c r="L24" s="222">
        <f>+S24-AC24</f>
        <v>0</v>
      </c>
      <c r="M24" s="222"/>
      <c r="N24" s="222"/>
      <c r="O24" s="222"/>
      <c r="P24" s="229">
        <f>+W24-AG24</f>
        <v>0</v>
      </c>
      <c r="Q24" s="222"/>
      <c r="R24" s="222"/>
      <c r="S24" s="222">
        <f>+R24*Q24</f>
        <v>0</v>
      </c>
      <c r="T24" s="222"/>
      <c r="U24" s="222"/>
      <c r="V24" s="222"/>
      <c r="W24" s="298">
        <f>107050+3450</f>
        <v>110500</v>
      </c>
      <c r="X24" s="229"/>
      <c r="Y24" s="303"/>
      <c r="Z24" s="303"/>
      <c r="AA24" s="222"/>
      <c r="AB24" s="222"/>
      <c r="AC24" s="222">
        <v>0</v>
      </c>
      <c r="AD24" s="222"/>
      <c r="AE24" s="222"/>
      <c r="AF24" s="222"/>
      <c r="AG24" s="222">
        <v>110500</v>
      </c>
    </row>
    <row r="25" spans="1:33" s="215" customFormat="1" ht="23.1" customHeight="1">
      <c r="A25" s="288" t="s">
        <v>237</v>
      </c>
      <c r="B25" s="266" t="s">
        <v>366</v>
      </c>
      <c r="C25" s="266" t="s">
        <v>47</v>
      </c>
      <c r="D25" s="222"/>
      <c r="E25" s="222"/>
      <c r="F25" s="222"/>
      <c r="G25" s="222"/>
      <c r="H25" s="222"/>
      <c r="I25" s="222">
        <v>812302.74</v>
      </c>
      <c r="J25" s="222"/>
      <c r="K25" s="222"/>
      <c r="L25" s="222">
        <f>+S25-AC25</f>
        <v>0</v>
      </c>
      <c r="M25" s="222"/>
      <c r="N25" s="222"/>
      <c r="O25" s="222"/>
      <c r="P25" s="229">
        <f>+W25-AG25</f>
        <v>30483.339999999997</v>
      </c>
      <c r="Q25" s="222"/>
      <c r="R25" s="222"/>
      <c r="S25" s="222">
        <f>+R25*Q25</f>
        <v>0</v>
      </c>
      <c r="T25" s="222"/>
      <c r="U25" s="222"/>
      <c r="V25" s="222"/>
      <c r="W25" s="298">
        <v>211286.91</v>
      </c>
      <c r="X25" s="229"/>
      <c r="Y25" s="303"/>
      <c r="Z25" s="303"/>
      <c r="AA25" s="222"/>
      <c r="AB25" s="222"/>
      <c r="AC25" s="222">
        <v>0</v>
      </c>
      <c r="AD25" s="222"/>
      <c r="AE25" s="222"/>
      <c r="AF25" s="222"/>
      <c r="AG25" s="222">
        <v>180803.57</v>
      </c>
    </row>
    <row r="26" spans="1:33" s="215" customFormat="1" ht="23.1" customHeight="1">
      <c r="A26" s="288"/>
      <c r="B26" s="266" t="s">
        <v>63</v>
      </c>
      <c r="C26" s="266"/>
      <c r="D26" s="222"/>
      <c r="E26" s="222"/>
      <c r="F26" s="222">
        <f>+F25+F24+F23+F15+F6</f>
        <v>2908349.6742887339</v>
      </c>
      <c r="G26" s="222"/>
      <c r="H26" s="222"/>
      <c r="I26" s="222">
        <f>+I25+I24+I23+I15+I6</f>
        <v>5310305.4964849558</v>
      </c>
      <c r="J26" s="222"/>
      <c r="K26" s="222"/>
      <c r="L26" s="222">
        <f>+L25+L24+L23+L15+L6</f>
        <v>112946.8162373829</v>
      </c>
      <c r="M26" s="222"/>
      <c r="N26" s="222"/>
      <c r="O26" s="222"/>
      <c r="P26" s="222">
        <f>+P25+P24+P23+P15+P6</f>
        <v>317779.38778761064</v>
      </c>
      <c r="Q26" s="222"/>
      <c r="R26" s="222"/>
      <c r="S26" s="222">
        <f>+S25+S24+S23+S15+S6</f>
        <v>1292176.1194843678</v>
      </c>
      <c r="T26" s="222"/>
      <c r="U26" s="222"/>
      <c r="V26" s="222"/>
      <c r="W26" s="222">
        <f>+W25+W24+W23+W15+W6</f>
        <v>2222622.5677876109</v>
      </c>
      <c r="X26" s="229"/>
      <c r="Y26" s="303"/>
      <c r="Z26" s="303"/>
      <c r="AA26" s="222"/>
      <c r="AB26" s="222"/>
      <c r="AC26" s="222">
        <v>995731.98168395727</v>
      </c>
      <c r="AD26" s="222"/>
      <c r="AE26" s="222"/>
      <c r="AF26" s="222"/>
      <c r="AG26" s="222">
        <v>2124443.1800000002</v>
      </c>
    </row>
    <row r="27" spans="1:33" ht="23.1" customHeight="1">
      <c r="A27" s="291"/>
      <c r="B27" s="292"/>
      <c r="C27" s="293"/>
      <c r="D27" s="94"/>
      <c r="E27" s="94"/>
      <c r="F27" s="294"/>
      <c r="G27" s="94"/>
      <c r="H27" s="94"/>
      <c r="I27" s="2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299"/>
      <c r="Y27" s="299"/>
      <c r="Z27" s="299"/>
      <c r="AA27" s="105"/>
      <c r="AB27" s="105"/>
      <c r="AC27" s="105"/>
      <c r="AD27" s="105"/>
      <c r="AE27" s="105"/>
      <c r="AF27" s="105"/>
    </row>
    <row r="28" spans="1:33" ht="23.1" customHeight="1">
      <c r="A28" s="291"/>
      <c r="B28" s="292"/>
      <c r="C28" s="293"/>
      <c r="D28" s="94"/>
      <c r="E28" s="94"/>
      <c r="F28" s="294"/>
      <c r="G28" s="94"/>
      <c r="H28" s="94"/>
      <c r="I28" s="2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299"/>
      <c r="Y28" s="299"/>
      <c r="Z28" s="299"/>
      <c r="AA28" s="105"/>
      <c r="AB28" s="105"/>
      <c r="AC28" s="105"/>
      <c r="AD28" s="105"/>
      <c r="AE28" s="105"/>
      <c r="AF28" s="105"/>
    </row>
    <row r="29" spans="1:33" ht="23.1" customHeight="1">
      <c r="A29" s="291"/>
      <c r="B29" s="292"/>
      <c r="C29" s="293"/>
      <c r="D29" s="94"/>
      <c r="E29" s="94"/>
      <c r="F29" s="294"/>
      <c r="G29" s="94"/>
      <c r="H29" s="94"/>
      <c r="I29" s="2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299"/>
      <c r="Y29" s="299"/>
      <c r="Z29" s="299"/>
      <c r="AA29" s="105"/>
      <c r="AB29" s="105"/>
      <c r="AC29" s="105"/>
      <c r="AD29" s="105"/>
      <c r="AE29" s="105"/>
      <c r="AF29" s="105"/>
    </row>
    <row r="30" spans="1:33" ht="23.1" customHeight="1">
      <c r="A30" s="291"/>
      <c r="B30" s="292"/>
      <c r="C30" s="293"/>
      <c r="D30" s="94"/>
      <c r="E30" s="94"/>
      <c r="F30" s="294"/>
      <c r="G30" s="94"/>
      <c r="H30" s="94"/>
      <c r="I30" s="2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105"/>
      <c r="Y30" s="105"/>
      <c r="Z30" s="105"/>
      <c r="AA30" s="105"/>
      <c r="AB30" s="105"/>
      <c r="AC30" s="105"/>
      <c r="AD30" s="105"/>
      <c r="AE30" s="105"/>
      <c r="AF30" s="105"/>
    </row>
    <row r="31" spans="1:33" ht="23.1" customHeight="1">
      <c r="A31" s="291"/>
      <c r="B31" s="292"/>
      <c r="C31" s="293"/>
      <c r="D31" s="94"/>
      <c r="E31" s="94"/>
      <c r="F31" s="294"/>
      <c r="G31" s="94"/>
      <c r="H31" s="94"/>
      <c r="I31" s="2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105"/>
      <c r="Y31" s="105"/>
      <c r="Z31" s="105"/>
      <c r="AA31" s="105"/>
      <c r="AB31" s="105"/>
      <c r="AC31" s="105"/>
      <c r="AD31" s="105"/>
      <c r="AE31" s="105"/>
      <c r="AF31" s="105"/>
    </row>
    <row r="32" spans="1:33" ht="23.1" customHeight="1">
      <c r="A32" s="291"/>
      <c r="B32" s="292"/>
      <c r="C32" s="293"/>
      <c r="D32" s="94"/>
      <c r="E32" s="94"/>
      <c r="F32" s="294"/>
      <c r="G32" s="94"/>
      <c r="H32" s="94"/>
      <c r="I32" s="2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105"/>
      <c r="Y32" s="105"/>
      <c r="Z32" s="105"/>
      <c r="AA32" s="105"/>
      <c r="AB32" s="105"/>
      <c r="AC32" s="105"/>
      <c r="AD32" s="105"/>
      <c r="AE32" s="105"/>
      <c r="AF32" s="105"/>
    </row>
    <row r="33" spans="1:32" ht="23.1" customHeight="1">
      <c r="A33" s="291"/>
      <c r="B33" s="292"/>
      <c r="C33" s="293"/>
      <c r="D33" s="94"/>
      <c r="E33" s="94"/>
      <c r="F33" s="294"/>
      <c r="G33" s="94"/>
      <c r="H33" s="94"/>
      <c r="I33" s="2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105"/>
      <c r="Y33" s="105"/>
      <c r="Z33" s="105"/>
      <c r="AA33" s="105"/>
      <c r="AB33" s="105"/>
      <c r="AC33" s="105"/>
      <c r="AD33" s="105"/>
      <c r="AE33" s="105"/>
      <c r="AF33" s="105"/>
    </row>
    <row r="34" spans="1:32" ht="23.1" customHeight="1">
      <c r="A34" s="291"/>
      <c r="B34" s="292"/>
      <c r="C34" s="293"/>
      <c r="D34" s="94"/>
      <c r="E34" s="94"/>
      <c r="F34" s="294"/>
      <c r="G34" s="94"/>
      <c r="H34" s="94"/>
      <c r="I34" s="2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105"/>
      <c r="Y34" s="105"/>
      <c r="Z34" s="105"/>
      <c r="AA34" s="105"/>
      <c r="AB34" s="105"/>
      <c r="AC34" s="105"/>
      <c r="AD34" s="105"/>
      <c r="AE34" s="105"/>
      <c r="AF34" s="105"/>
    </row>
    <row r="35" spans="1:32" ht="23.1" customHeight="1">
      <c r="A35" s="291"/>
      <c r="B35" s="292"/>
      <c r="C35" s="293"/>
      <c r="D35" s="94"/>
      <c r="E35" s="94"/>
      <c r="F35" s="294"/>
      <c r="G35" s="94"/>
      <c r="H35" s="94"/>
      <c r="I35" s="2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105"/>
      <c r="Y35" s="105"/>
      <c r="Z35" s="105"/>
      <c r="AA35" s="105"/>
      <c r="AB35" s="105"/>
      <c r="AC35" s="105"/>
      <c r="AD35" s="105"/>
      <c r="AE35" s="105"/>
      <c r="AF35" s="105"/>
    </row>
    <row r="36" spans="1:32" ht="23.1" customHeight="1">
      <c r="A36" s="291"/>
      <c r="B36" s="292"/>
      <c r="C36" s="293"/>
      <c r="D36" s="94"/>
      <c r="E36" s="94"/>
      <c r="F36" s="294"/>
      <c r="G36" s="94"/>
      <c r="H36" s="94"/>
      <c r="I36" s="2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105"/>
      <c r="Y36" s="105"/>
      <c r="Z36" s="105"/>
      <c r="AA36" s="105"/>
      <c r="AB36" s="105"/>
      <c r="AC36" s="105"/>
      <c r="AD36" s="105"/>
      <c r="AE36" s="105"/>
      <c r="AF36" s="105"/>
    </row>
    <row r="37" spans="1:32" ht="23.1" customHeight="1">
      <c r="A37" s="291"/>
      <c r="B37" s="292"/>
      <c r="C37" s="293"/>
      <c r="D37" s="94"/>
      <c r="E37" s="94"/>
      <c r="F37" s="294"/>
      <c r="G37" s="94"/>
      <c r="H37" s="94"/>
      <c r="I37" s="2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105"/>
      <c r="Y37" s="105"/>
      <c r="Z37" s="105"/>
      <c r="AA37" s="105"/>
      <c r="AB37" s="105"/>
      <c r="AC37" s="105"/>
      <c r="AD37" s="105"/>
      <c r="AE37" s="105"/>
      <c r="AF37" s="105"/>
    </row>
    <row r="38" spans="1:32" ht="23.1" customHeight="1">
      <c r="A38" s="291"/>
      <c r="B38" s="292"/>
      <c r="C38" s="293"/>
      <c r="D38" s="94"/>
      <c r="E38" s="94"/>
      <c r="F38" s="294"/>
      <c r="G38" s="94"/>
      <c r="H38" s="94"/>
      <c r="I38" s="2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105"/>
      <c r="Y38" s="105"/>
      <c r="Z38" s="105"/>
      <c r="AA38" s="105"/>
      <c r="AB38" s="105"/>
      <c r="AC38" s="105"/>
      <c r="AD38" s="105"/>
      <c r="AE38" s="105"/>
      <c r="AF38" s="105"/>
    </row>
    <row r="39" spans="1:32" ht="23.1" customHeight="1">
      <c r="A39" s="291"/>
      <c r="B39" s="292"/>
      <c r="C39" s="293"/>
      <c r="D39" s="94"/>
      <c r="E39" s="94"/>
      <c r="F39" s="294"/>
      <c r="G39" s="94"/>
      <c r="H39" s="94"/>
      <c r="I39" s="2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105"/>
      <c r="Y39" s="105"/>
      <c r="Z39" s="105"/>
      <c r="AA39" s="105"/>
      <c r="AB39" s="105"/>
      <c r="AC39" s="105"/>
      <c r="AD39" s="105"/>
      <c r="AE39" s="105"/>
      <c r="AF39" s="105"/>
    </row>
    <row r="40" spans="1:32" ht="23.1" customHeight="1">
      <c r="A40" s="291"/>
      <c r="B40" s="292"/>
      <c r="C40" s="293"/>
      <c r="D40" s="94"/>
      <c r="E40" s="94"/>
      <c r="F40" s="294"/>
      <c r="G40" s="94"/>
      <c r="H40" s="94"/>
      <c r="I40" s="2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105"/>
      <c r="Y40" s="105"/>
      <c r="Z40" s="105"/>
      <c r="AA40" s="105"/>
      <c r="AB40" s="105"/>
      <c r="AC40" s="105"/>
      <c r="AD40" s="105"/>
      <c r="AE40" s="105"/>
      <c r="AF40" s="105"/>
    </row>
    <row r="41" spans="1:32" ht="23.1" customHeight="1">
      <c r="A41" s="291"/>
      <c r="B41" s="292"/>
      <c r="C41" s="293"/>
      <c r="D41" s="94"/>
      <c r="E41" s="94"/>
      <c r="F41" s="294"/>
      <c r="G41" s="94"/>
      <c r="H41" s="94"/>
      <c r="I41" s="2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105"/>
      <c r="Y41" s="105"/>
      <c r="Z41" s="105"/>
      <c r="AA41" s="105"/>
      <c r="AB41" s="105"/>
      <c r="AC41" s="105"/>
      <c r="AD41" s="105"/>
      <c r="AE41" s="105"/>
      <c r="AF41" s="105"/>
    </row>
    <row r="42" spans="1:32" ht="23.1" customHeight="1">
      <c r="A42" s="291"/>
      <c r="B42" s="292"/>
      <c r="C42" s="293"/>
      <c r="D42" s="94"/>
      <c r="E42" s="94"/>
      <c r="F42" s="294"/>
      <c r="G42" s="94"/>
      <c r="H42" s="94"/>
      <c r="I42" s="2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105"/>
      <c r="Y42" s="105"/>
      <c r="Z42" s="105"/>
      <c r="AA42" s="105"/>
      <c r="AB42" s="105"/>
      <c r="AC42" s="105"/>
      <c r="AD42" s="105"/>
      <c r="AE42" s="105"/>
      <c r="AF42" s="105"/>
    </row>
    <row r="43" spans="1:32" ht="23.1" customHeight="1">
      <c r="A43" s="291"/>
      <c r="B43" s="292"/>
      <c r="C43" s="293"/>
      <c r="D43" s="94"/>
      <c r="E43" s="94"/>
      <c r="F43" s="294"/>
      <c r="G43" s="94"/>
      <c r="H43" s="94"/>
      <c r="I43" s="2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105"/>
      <c r="Y43" s="105"/>
      <c r="Z43" s="105"/>
      <c r="AA43" s="105"/>
      <c r="AB43" s="105"/>
      <c r="AC43" s="105"/>
      <c r="AD43" s="105"/>
      <c r="AE43" s="105"/>
      <c r="AF43" s="105"/>
    </row>
    <row r="44" spans="1:32" ht="23.1" customHeight="1">
      <c r="A44" s="291"/>
      <c r="B44" s="292"/>
      <c r="C44" s="293"/>
      <c r="D44" s="94"/>
      <c r="E44" s="94"/>
      <c r="F44" s="294"/>
      <c r="G44" s="94"/>
      <c r="H44" s="94"/>
      <c r="I44" s="2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105"/>
      <c r="Y44" s="105"/>
      <c r="Z44" s="105"/>
      <c r="AA44" s="105"/>
      <c r="AB44" s="105"/>
      <c r="AC44" s="105"/>
      <c r="AD44" s="105"/>
      <c r="AE44" s="105"/>
      <c r="AF44" s="105"/>
    </row>
    <row r="45" spans="1:32" ht="23.1" customHeight="1">
      <c r="A45" s="291"/>
      <c r="B45" s="292"/>
      <c r="C45" s="293"/>
      <c r="D45" s="94"/>
      <c r="E45" s="94"/>
      <c r="F45" s="294"/>
      <c r="G45" s="94"/>
      <c r="H45" s="94"/>
      <c r="I45" s="2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105"/>
      <c r="Y45" s="105"/>
      <c r="Z45" s="105"/>
      <c r="AA45" s="105"/>
      <c r="AB45" s="105"/>
      <c r="AC45" s="105"/>
      <c r="AD45" s="105"/>
      <c r="AE45" s="105"/>
      <c r="AF45" s="105"/>
    </row>
    <row r="46" spans="1:32" ht="23.1" customHeight="1">
      <c r="A46" s="291"/>
      <c r="B46" s="292"/>
      <c r="C46" s="293"/>
      <c r="D46" s="94"/>
      <c r="E46" s="94"/>
      <c r="F46" s="294"/>
      <c r="G46" s="94"/>
      <c r="H46" s="94"/>
      <c r="I46" s="2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105"/>
      <c r="Y46" s="105"/>
      <c r="Z46" s="105"/>
      <c r="AA46" s="105"/>
      <c r="AB46" s="105"/>
      <c r="AC46" s="105"/>
      <c r="AD46" s="105"/>
      <c r="AE46" s="105"/>
      <c r="AF46" s="105"/>
    </row>
    <row r="47" spans="1:32" ht="23.1" customHeight="1">
      <c r="A47" s="291"/>
      <c r="B47" s="292"/>
      <c r="C47" s="293"/>
      <c r="D47" s="94"/>
      <c r="E47" s="94"/>
      <c r="F47" s="294"/>
      <c r="G47" s="94"/>
      <c r="H47" s="94"/>
      <c r="I47" s="2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105"/>
      <c r="Y47" s="105"/>
      <c r="Z47" s="105"/>
      <c r="AA47" s="105"/>
      <c r="AB47" s="105"/>
      <c r="AC47" s="105"/>
      <c r="AD47" s="105"/>
      <c r="AE47" s="105"/>
      <c r="AF47" s="105"/>
    </row>
    <row r="48" spans="1:32" ht="23.1" customHeight="1">
      <c r="A48" s="291"/>
      <c r="B48" s="292"/>
      <c r="C48" s="293"/>
      <c r="D48" s="94"/>
      <c r="E48" s="94"/>
      <c r="F48" s="294"/>
      <c r="G48" s="94"/>
      <c r="H48" s="94"/>
      <c r="I48" s="2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105"/>
      <c r="Y48" s="105"/>
      <c r="Z48" s="105"/>
      <c r="AA48" s="105"/>
      <c r="AB48" s="105"/>
      <c r="AC48" s="105"/>
      <c r="AD48" s="105"/>
      <c r="AE48" s="105"/>
      <c r="AF48" s="105"/>
    </row>
    <row r="49" spans="1:32" ht="23.1" customHeight="1">
      <c r="A49" s="291"/>
      <c r="B49" s="292"/>
      <c r="C49" s="293"/>
      <c r="D49" s="94"/>
      <c r="E49" s="94"/>
      <c r="F49" s="294"/>
      <c r="G49" s="94"/>
      <c r="H49" s="94"/>
      <c r="I49" s="2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105"/>
      <c r="Y49" s="105"/>
      <c r="Z49" s="105"/>
      <c r="AA49" s="105"/>
      <c r="AB49" s="105"/>
      <c r="AC49" s="105"/>
      <c r="AD49" s="105"/>
      <c r="AE49" s="105"/>
      <c r="AF49" s="105"/>
    </row>
    <row r="50" spans="1:32" ht="23.1" customHeight="1">
      <c r="A50" s="291"/>
      <c r="B50" s="292"/>
      <c r="C50" s="293"/>
      <c r="D50" s="94"/>
      <c r="E50" s="94"/>
      <c r="F50" s="294"/>
      <c r="G50" s="94"/>
      <c r="H50" s="94"/>
      <c r="I50" s="294"/>
      <c r="J50" s="94"/>
      <c r="K50" s="94"/>
      <c r="L50" s="94"/>
      <c r="M50" s="94"/>
      <c r="N50" s="94"/>
      <c r="O50" s="94"/>
      <c r="P50" s="94"/>
      <c r="Q50" s="94"/>
      <c r="R50" s="94"/>
      <c r="S50" s="94"/>
      <c r="T50" s="94"/>
      <c r="U50" s="94"/>
      <c r="V50" s="94"/>
      <c r="W50" s="94"/>
      <c r="X50" s="105"/>
      <c r="Y50" s="105"/>
      <c r="Z50" s="105"/>
      <c r="AA50" s="105"/>
      <c r="AB50" s="105"/>
      <c r="AC50" s="105"/>
      <c r="AD50" s="105"/>
      <c r="AE50" s="105"/>
      <c r="AF50" s="105"/>
    </row>
    <row r="51" spans="1:32" ht="23.1" customHeight="1">
      <c r="A51" s="291"/>
      <c r="B51" s="292"/>
      <c r="C51" s="293"/>
      <c r="D51" s="94"/>
      <c r="E51" s="94"/>
      <c r="F51" s="294"/>
      <c r="G51" s="94"/>
      <c r="H51" s="94"/>
      <c r="I51" s="2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105"/>
      <c r="Y51" s="105"/>
      <c r="Z51" s="105"/>
      <c r="AA51" s="105"/>
      <c r="AB51" s="105"/>
      <c r="AC51" s="105"/>
      <c r="AD51" s="105"/>
      <c r="AE51" s="105"/>
      <c r="AF51" s="105"/>
    </row>
    <row r="52" spans="1:32" ht="23.1" customHeight="1">
      <c r="A52" s="291"/>
      <c r="B52" s="292"/>
      <c r="C52" s="293"/>
      <c r="D52" s="94"/>
      <c r="E52" s="94"/>
      <c r="F52" s="294"/>
      <c r="G52" s="94"/>
      <c r="H52" s="94"/>
      <c r="I52" s="2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94"/>
      <c r="V52" s="94"/>
      <c r="W52" s="94"/>
      <c r="X52" s="105"/>
      <c r="Y52" s="105"/>
      <c r="Z52" s="105"/>
      <c r="AA52" s="105"/>
      <c r="AB52" s="105"/>
      <c r="AC52" s="105"/>
      <c r="AD52" s="105"/>
      <c r="AE52" s="105"/>
      <c r="AF52" s="105"/>
    </row>
    <row r="53" spans="1:32" ht="23.1" customHeight="1">
      <c r="A53" s="291"/>
      <c r="B53" s="292"/>
      <c r="C53" s="293"/>
      <c r="D53" s="94"/>
      <c r="E53" s="94"/>
      <c r="F53" s="294"/>
      <c r="G53" s="94"/>
      <c r="H53" s="94"/>
      <c r="I53" s="2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4"/>
      <c r="V53" s="94"/>
      <c r="W53" s="94"/>
      <c r="X53" s="105"/>
      <c r="Y53" s="105"/>
      <c r="Z53" s="105"/>
      <c r="AA53" s="105"/>
      <c r="AB53" s="105"/>
      <c r="AC53" s="105"/>
      <c r="AD53" s="105"/>
      <c r="AE53" s="105"/>
      <c r="AF53" s="105"/>
    </row>
    <row r="54" spans="1:32" ht="23.1" customHeight="1">
      <c r="A54" s="291"/>
      <c r="B54" s="292"/>
      <c r="C54" s="293"/>
      <c r="D54" s="94"/>
      <c r="E54" s="94"/>
      <c r="F54" s="294"/>
      <c r="G54" s="94"/>
      <c r="H54" s="94"/>
      <c r="I54" s="2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105"/>
      <c r="Y54" s="105"/>
      <c r="Z54" s="105"/>
      <c r="AA54" s="105"/>
      <c r="AB54" s="105"/>
      <c r="AC54" s="105"/>
      <c r="AD54" s="105"/>
      <c r="AE54" s="105"/>
      <c r="AF54" s="105"/>
    </row>
    <row r="55" spans="1:32" ht="23.1" customHeight="1">
      <c r="A55" s="291"/>
      <c r="B55" s="292"/>
      <c r="C55" s="293"/>
      <c r="D55" s="94"/>
      <c r="E55" s="94"/>
      <c r="F55" s="294"/>
      <c r="G55" s="94"/>
      <c r="H55" s="94"/>
      <c r="I55" s="2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105"/>
      <c r="Y55" s="105"/>
      <c r="Z55" s="105"/>
      <c r="AA55" s="105"/>
      <c r="AB55" s="105"/>
      <c r="AC55" s="105"/>
      <c r="AD55" s="105"/>
      <c r="AE55" s="105"/>
      <c r="AF55" s="105"/>
    </row>
    <row r="56" spans="1:32" ht="23.1" customHeight="1">
      <c r="A56" s="291"/>
      <c r="B56" s="292"/>
      <c r="C56" s="293"/>
      <c r="D56" s="94"/>
      <c r="E56" s="94"/>
      <c r="F56" s="294"/>
      <c r="G56" s="94"/>
      <c r="H56" s="94"/>
      <c r="I56" s="2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105"/>
      <c r="Y56" s="105"/>
      <c r="Z56" s="105"/>
      <c r="AA56" s="105"/>
      <c r="AB56" s="105"/>
      <c r="AC56" s="105"/>
      <c r="AD56" s="105"/>
      <c r="AE56" s="105"/>
      <c r="AF56" s="105"/>
    </row>
    <row r="57" spans="1:32" ht="23.1" customHeight="1">
      <c r="A57" s="291"/>
      <c r="B57" s="292"/>
      <c r="C57" s="293"/>
      <c r="D57" s="94"/>
      <c r="E57" s="94"/>
      <c r="F57" s="294"/>
      <c r="G57" s="94"/>
      <c r="H57" s="94"/>
      <c r="I57" s="2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105"/>
      <c r="Y57" s="105"/>
      <c r="Z57" s="105"/>
      <c r="AA57" s="105"/>
      <c r="AB57" s="105"/>
      <c r="AC57" s="105"/>
      <c r="AD57" s="105"/>
      <c r="AE57" s="105"/>
      <c r="AF57" s="105"/>
    </row>
    <row r="58" spans="1:32" ht="23.1" customHeight="1">
      <c r="A58" s="291"/>
      <c r="B58" s="292"/>
      <c r="C58" s="293"/>
      <c r="D58" s="94"/>
      <c r="E58" s="94"/>
      <c r="F58" s="294"/>
      <c r="G58" s="94"/>
      <c r="H58" s="94"/>
      <c r="I58" s="2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105"/>
      <c r="Y58" s="105"/>
      <c r="Z58" s="105"/>
      <c r="AA58" s="105"/>
      <c r="AB58" s="105"/>
      <c r="AC58" s="105"/>
      <c r="AD58" s="105"/>
      <c r="AE58" s="105"/>
      <c r="AF58" s="105"/>
    </row>
    <row r="59" spans="1:32" ht="23.1" customHeight="1">
      <c r="A59" s="291"/>
      <c r="B59" s="292"/>
      <c r="C59" s="293"/>
      <c r="D59" s="94"/>
      <c r="E59" s="94"/>
      <c r="F59" s="294"/>
      <c r="G59" s="94"/>
      <c r="H59" s="94"/>
      <c r="I59" s="2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105"/>
      <c r="Y59" s="105"/>
      <c r="Z59" s="105"/>
      <c r="AA59" s="105"/>
      <c r="AB59" s="105"/>
      <c r="AC59" s="105"/>
      <c r="AD59" s="105"/>
      <c r="AE59" s="105"/>
      <c r="AF59" s="105"/>
    </row>
    <row r="60" spans="1:32" ht="23.1" customHeight="1">
      <c r="A60" s="291"/>
      <c r="B60" s="292"/>
      <c r="C60" s="293"/>
      <c r="D60" s="94"/>
      <c r="E60" s="94"/>
      <c r="F60" s="294"/>
      <c r="G60" s="94"/>
      <c r="H60" s="94"/>
      <c r="I60" s="2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105"/>
      <c r="Y60" s="105"/>
      <c r="Z60" s="105"/>
      <c r="AA60" s="105"/>
      <c r="AB60" s="105"/>
      <c r="AC60" s="105"/>
      <c r="AD60" s="105"/>
      <c r="AE60" s="105"/>
      <c r="AF60" s="105"/>
    </row>
    <row r="61" spans="1:32" ht="23.1" customHeight="1">
      <c r="A61" s="291"/>
      <c r="B61" s="292"/>
      <c r="C61" s="293"/>
      <c r="D61" s="94"/>
      <c r="E61" s="94"/>
      <c r="F61" s="294"/>
      <c r="G61" s="94"/>
      <c r="H61" s="94"/>
      <c r="I61" s="2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105"/>
      <c r="Y61" s="105"/>
      <c r="Z61" s="105"/>
      <c r="AA61" s="105"/>
      <c r="AB61" s="105"/>
      <c r="AC61" s="105"/>
      <c r="AD61" s="105"/>
      <c r="AE61" s="105"/>
      <c r="AF61" s="105"/>
    </row>
    <row r="62" spans="1:32" ht="23.1" customHeight="1">
      <c r="A62" s="291"/>
      <c r="B62" s="292"/>
      <c r="C62" s="293"/>
      <c r="D62" s="94"/>
      <c r="E62" s="94"/>
      <c r="F62" s="294"/>
      <c r="G62" s="94"/>
      <c r="H62" s="94"/>
      <c r="I62" s="2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105"/>
      <c r="Y62" s="105"/>
      <c r="Z62" s="105"/>
      <c r="AA62" s="105"/>
      <c r="AB62" s="105"/>
      <c r="AC62" s="105"/>
      <c r="AD62" s="105"/>
      <c r="AE62" s="105"/>
      <c r="AF62" s="105"/>
    </row>
    <row r="63" spans="1:32" ht="23.1" customHeight="1">
      <c r="A63" s="291"/>
      <c r="B63" s="292"/>
      <c r="C63" s="293"/>
      <c r="D63" s="94"/>
      <c r="E63" s="94"/>
      <c r="F63" s="294"/>
      <c r="G63" s="94"/>
      <c r="H63" s="94"/>
      <c r="I63" s="2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105"/>
      <c r="Y63" s="105"/>
      <c r="Z63" s="105"/>
      <c r="AA63" s="105"/>
      <c r="AB63" s="105"/>
      <c r="AC63" s="105"/>
      <c r="AD63" s="105"/>
      <c r="AE63" s="105"/>
      <c r="AF63" s="105"/>
    </row>
    <row r="64" spans="1:32" ht="23.1" customHeight="1">
      <c r="A64" s="291"/>
      <c r="B64" s="292"/>
      <c r="C64" s="293"/>
      <c r="D64" s="94"/>
      <c r="E64" s="94"/>
      <c r="F64" s="294"/>
      <c r="G64" s="94"/>
      <c r="H64" s="94"/>
      <c r="I64" s="2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105"/>
      <c r="Y64" s="105"/>
      <c r="Z64" s="105"/>
      <c r="AA64" s="105"/>
      <c r="AB64" s="105"/>
      <c r="AC64" s="105"/>
      <c r="AD64" s="105"/>
      <c r="AE64" s="105"/>
      <c r="AF64" s="105"/>
    </row>
    <row r="65" spans="1:32" ht="23.1" customHeight="1">
      <c r="A65" s="291"/>
      <c r="B65" s="292"/>
      <c r="C65" s="293"/>
      <c r="D65" s="94"/>
      <c r="E65" s="94"/>
      <c r="F65" s="294"/>
      <c r="G65" s="94"/>
      <c r="H65" s="94"/>
      <c r="I65" s="2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105"/>
      <c r="Y65" s="105"/>
      <c r="Z65" s="105"/>
      <c r="AA65" s="105"/>
      <c r="AB65" s="105"/>
      <c r="AC65" s="105"/>
      <c r="AD65" s="105"/>
      <c r="AE65" s="105"/>
      <c r="AF65" s="105"/>
    </row>
    <row r="66" spans="1:32" ht="23.1" customHeight="1">
      <c r="A66" s="291"/>
      <c r="B66" s="292"/>
      <c r="C66" s="293"/>
      <c r="D66" s="94"/>
      <c r="E66" s="94"/>
      <c r="F66" s="294"/>
      <c r="G66" s="94"/>
      <c r="H66" s="94"/>
      <c r="I66" s="2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105"/>
      <c r="Y66" s="105"/>
      <c r="Z66" s="105"/>
      <c r="AA66" s="105"/>
      <c r="AB66" s="105"/>
      <c r="AC66" s="105"/>
      <c r="AD66" s="105"/>
      <c r="AE66" s="105"/>
      <c r="AF66" s="105"/>
    </row>
    <row r="67" spans="1:32" ht="23.1" customHeight="1">
      <c r="A67" s="291"/>
      <c r="B67" s="292"/>
      <c r="C67" s="293"/>
      <c r="D67" s="94"/>
      <c r="E67" s="94"/>
      <c r="F67" s="294"/>
      <c r="G67" s="94"/>
      <c r="H67" s="94"/>
      <c r="I67" s="2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105"/>
      <c r="Y67" s="105"/>
      <c r="Z67" s="105"/>
      <c r="AA67" s="105"/>
      <c r="AB67" s="105"/>
      <c r="AC67" s="105"/>
      <c r="AD67" s="105"/>
      <c r="AE67" s="105"/>
      <c r="AF67" s="105"/>
    </row>
    <row r="68" spans="1:32" ht="23.1" customHeight="1">
      <c r="A68" s="291"/>
      <c r="B68" s="292"/>
      <c r="C68" s="293"/>
      <c r="D68" s="94"/>
      <c r="E68" s="94"/>
      <c r="F68" s="294"/>
      <c r="G68" s="94"/>
      <c r="H68" s="94"/>
      <c r="I68" s="2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105"/>
      <c r="Y68" s="105"/>
      <c r="Z68" s="105"/>
      <c r="AA68" s="105"/>
      <c r="AB68" s="105"/>
      <c r="AC68" s="105"/>
      <c r="AD68" s="105"/>
      <c r="AE68" s="105"/>
      <c r="AF68" s="105"/>
    </row>
    <row r="69" spans="1:32" ht="23.1" customHeight="1">
      <c r="A69" s="291"/>
      <c r="B69" s="292"/>
      <c r="C69" s="293"/>
      <c r="D69" s="94"/>
      <c r="E69" s="94"/>
      <c r="F69" s="294"/>
      <c r="G69" s="94"/>
      <c r="H69" s="94"/>
      <c r="I69" s="2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105"/>
      <c r="Y69" s="105"/>
      <c r="Z69" s="105"/>
      <c r="AA69" s="105"/>
      <c r="AB69" s="105"/>
      <c r="AC69" s="105"/>
      <c r="AD69" s="105"/>
      <c r="AE69" s="105"/>
      <c r="AF69" s="105"/>
    </row>
    <row r="70" spans="1:32" ht="23.1" customHeight="1">
      <c r="A70" s="291"/>
      <c r="B70" s="292"/>
      <c r="C70" s="293"/>
      <c r="D70" s="94"/>
      <c r="E70" s="94"/>
      <c r="F70" s="294"/>
      <c r="G70" s="94"/>
      <c r="H70" s="94"/>
      <c r="I70" s="2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105"/>
      <c r="Y70" s="105"/>
      <c r="Z70" s="105"/>
      <c r="AA70" s="105"/>
      <c r="AB70" s="105"/>
      <c r="AC70" s="105"/>
      <c r="AD70" s="105"/>
      <c r="AE70" s="105"/>
      <c r="AF70" s="105"/>
    </row>
    <row r="71" spans="1:32" ht="23.1" customHeight="1">
      <c r="A71" s="291"/>
      <c r="B71" s="292"/>
      <c r="C71" s="293"/>
      <c r="D71" s="94"/>
      <c r="E71" s="94"/>
      <c r="F71" s="294"/>
      <c r="G71" s="94"/>
      <c r="H71" s="94"/>
      <c r="I71" s="2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105"/>
      <c r="Y71" s="105"/>
      <c r="Z71" s="105"/>
      <c r="AA71" s="105"/>
      <c r="AB71" s="105"/>
      <c r="AC71" s="105"/>
      <c r="AD71" s="105"/>
      <c r="AE71" s="105"/>
      <c r="AF71" s="105"/>
    </row>
    <row r="72" spans="1:32" ht="23.1" customHeight="1">
      <c r="A72" s="291"/>
      <c r="B72" s="292"/>
      <c r="C72" s="293"/>
      <c r="D72" s="94"/>
      <c r="E72" s="94"/>
      <c r="F72" s="294"/>
      <c r="G72" s="94"/>
      <c r="H72" s="94"/>
      <c r="I72" s="2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105"/>
      <c r="Y72" s="105"/>
      <c r="Z72" s="105"/>
      <c r="AA72" s="105"/>
      <c r="AB72" s="105"/>
      <c r="AC72" s="105"/>
      <c r="AD72" s="105"/>
      <c r="AE72" s="105"/>
      <c r="AF72" s="105"/>
    </row>
    <row r="73" spans="1:32" ht="23.1" customHeight="1">
      <c r="A73" s="291"/>
      <c r="B73" s="292"/>
      <c r="C73" s="293"/>
      <c r="D73" s="94"/>
      <c r="E73" s="94"/>
      <c r="F73" s="294"/>
      <c r="G73" s="94"/>
      <c r="H73" s="94"/>
      <c r="I73" s="2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105"/>
      <c r="Y73" s="105"/>
      <c r="Z73" s="105"/>
      <c r="AA73" s="105"/>
      <c r="AB73" s="105"/>
      <c r="AC73" s="105"/>
      <c r="AD73" s="105"/>
      <c r="AE73" s="105"/>
      <c r="AF73" s="105"/>
    </row>
    <row r="74" spans="1:32" ht="23.1" customHeight="1">
      <c r="A74" s="291"/>
      <c r="B74" s="292"/>
      <c r="C74" s="293"/>
      <c r="D74" s="94"/>
      <c r="E74" s="94"/>
      <c r="F74" s="294"/>
      <c r="G74" s="94"/>
      <c r="H74" s="94"/>
      <c r="I74" s="2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105"/>
      <c r="Y74" s="105"/>
      <c r="Z74" s="105"/>
      <c r="AA74" s="105"/>
      <c r="AB74" s="105"/>
      <c r="AC74" s="105"/>
      <c r="AD74" s="105"/>
      <c r="AE74" s="105"/>
      <c r="AF74" s="105"/>
    </row>
    <row r="75" spans="1:32" ht="23.1" customHeight="1">
      <c r="A75" s="291"/>
      <c r="B75" s="292"/>
      <c r="C75" s="293"/>
      <c r="D75" s="94"/>
      <c r="E75" s="94"/>
      <c r="F75" s="294"/>
      <c r="G75" s="94"/>
      <c r="H75" s="94"/>
      <c r="I75" s="2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105"/>
      <c r="Y75" s="105"/>
      <c r="Z75" s="105"/>
      <c r="AA75" s="105"/>
      <c r="AB75" s="105"/>
      <c r="AC75" s="105"/>
      <c r="AD75" s="105"/>
      <c r="AE75" s="105"/>
      <c r="AF75" s="105"/>
    </row>
    <row r="76" spans="1:32" ht="23.1" customHeight="1">
      <c r="A76" s="291"/>
      <c r="B76" s="292"/>
      <c r="C76" s="293"/>
      <c r="D76" s="94"/>
      <c r="E76" s="94"/>
      <c r="F76" s="294"/>
      <c r="G76" s="94"/>
      <c r="H76" s="94"/>
      <c r="I76" s="2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105"/>
      <c r="Y76" s="105"/>
      <c r="Z76" s="105"/>
      <c r="AA76" s="105"/>
      <c r="AB76" s="105"/>
      <c r="AC76" s="105"/>
      <c r="AD76" s="105"/>
      <c r="AE76" s="105"/>
      <c r="AF76" s="105"/>
    </row>
    <row r="77" spans="1:32" ht="23.1" customHeight="1">
      <c r="A77" s="291"/>
      <c r="B77" s="292"/>
      <c r="C77" s="293"/>
      <c r="D77" s="94"/>
      <c r="E77" s="94"/>
      <c r="F77" s="294"/>
      <c r="G77" s="94"/>
      <c r="H77" s="94"/>
      <c r="I77" s="2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105"/>
      <c r="Y77" s="105"/>
      <c r="Z77" s="105"/>
      <c r="AA77" s="105"/>
      <c r="AB77" s="105"/>
      <c r="AC77" s="105"/>
      <c r="AD77" s="105"/>
      <c r="AE77" s="105"/>
      <c r="AF77" s="105"/>
    </row>
    <row r="78" spans="1:32" ht="23.1" customHeight="1">
      <c r="A78" s="291"/>
      <c r="B78" s="292"/>
      <c r="C78" s="293"/>
      <c r="D78" s="94"/>
      <c r="E78" s="94"/>
      <c r="F78" s="294"/>
      <c r="G78" s="94"/>
      <c r="H78" s="94"/>
      <c r="I78" s="2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105"/>
      <c r="Y78" s="105"/>
      <c r="Z78" s="105"/>
      <c r="AA78" s="105"/>
      <c r="AB78" s="105"/>
      <c r="AC78" s="105"/>
      <c r="AD78" s="105"/>
      <c r="AE78" s="105"/>
      <c r="AF78" s="105"/>
    </row>
    <row r="79" spans="1:32" ht="23.1" customHeight="1">
      <c r="A79" s="291"/>
      <c r="B79" s="292"/>
      <c r="C79" s="293"/>
      <c r="D79" s="94"/>
      <c r="E79" s="94"/>
      <c r="F79" s="294"/>
      <c r="G79" s="94"/>
      <c r="H79" s="94"/>
      <c r="I79" s="2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105"/>
      <c r="Y79" s="105"/>
      <c r="Z79" s="105"/>
      <c r="AA79" s="105"/>
      <c r="AB79" s="105"/>
      <c r="AC79" s="105"/>
      <c r="AD79" s="105"/>
      <c r="AE79" s="105"/>
      <c r="AF79" s="105"/>
    </row>
    <row r="80" spans="1:32" ht="23.1" customHeight="1">
      <c r="A80" s="291"/>
      <c r="B80" s="292"/>
      <c r="C80" s="293"/>
      <c r="D80" s="94"/>
      <c r="E80" s="94"/>
      <c r="F80" s="294"/>
      <c r="G80" s="94"/>
      <c r="H80" s="94"/>
      <c r="I80" s="2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105"/>
      <c r="Y80" s="105"/>
      <c r="Z80" s="105"/>
      <c r="AA80" s="105"/>
      <c r="AB80" s="105"/>
      <c r="AC80" s="105"/>
      <c r="AD80" s="105"/>
      <c r="AE80" s="105"/>
      <c r="AF80" s="105"/>
    </row>
    <row r="81" spans="1:32" ht="23.1" customHeight="1">
      <c r="A81" s="291"/>
      <c r="B81" s="292"/>
      <c r="C81" s="293"/>
      <c r="D81" s="94"/>
      <c r="E81" s="94"/>
      <c r="F81" s="294"/>
      <c r="G81" s="94"/>
      <c r="H81" s="94"/>
      <c r="I81" s="2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105"/>
      <c r="Y81" s="105"/>
      <c r="Z81" s="105"/>
      <c r="AA81" s="105"/>
      <c r="AB81" s="105"/>
      <c r="AC81" s="105"/>
      <c r="AD81" s="105"/>
      <c r="AE81" s="105"/>
      <c r="AF81" s="105"/>
    </row>
    <row r="82" spans="1:32" ht="23.1" customHeight="1">
      <c r="A82" s="291"/>
      <c r="B82" s="292"/>
      <c r="C82" s="293"/>
      <c r="D82" s="94"/>
      <c r="E82" s="94"/>
      <c r="F82" s="294"/>
      <c r="G82" s="94"/>
      <c r="H82" s="94"/>
      <c r="I82" s="2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105"/>
      <c r="Y82" s="105"/>
      <c r="Z82" s="105"/>
      <c r="AA82" s="105"/>
      <c r="AB82" s="105"/>
      <c r="AC82" s="105"/>
      <c r="AD82" s="105"/>
      <c r="AE82" s="105"/>
      <c r="AF82" s="105"/>
    </row>
    <row r="83" spans="1:32" ht="23.1" customHeight="1">
      <c r="A83" s="291"/>
      <c r="B83" s="292"/>
      <c r="C83" s="293"/>
      <c r="D83" s="94"/>
      <c r="E83" s="94"/>
      <c r="F83" s="294"/>
      <c r="G83" s="94"/>
      <c r="H83" s="94"/>
      <c r="I83" s="2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105"/>
      <c r="Y83" s="105"/>
      <c r="Z83" s="105"/>
      <c r="AA83" s="105"/>
      <c r="AB83" s="105"/>
      <c r="AC83" s="105"/>
      <c r="AD83" s="105"/>
      <c r="AE83" s="105"/>
      <c r="AF83" s="105"/>
    </row>
    <row r="84" spans="1:32" ht="23.1" customHeight="1">
      <c r="A84" s="291"/>
      <c r="B84" s="292"/>
      <c r="C84" s="293"/>
      <c r="D84" s="94"/>
      <c r="E84" s="94"/>
      <c r="F84" s="294"/>
      <c r="G84" s="94"/>
      <c r="H84" s="94"/>
      <c r="I84" s="2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105"/>
      <c r="Y84" s="105"/>
      <c r="Z84" s="105"/>
      <c r="AA84" s="105"/>
      <c r="AB84" s="105"/>
      <c r="AC84" s="105"/>
      <c r="AD84" s="105"/>
      <c r="AE84" s="105"/>
      <c r="AF84" s="105"/>
    </row>
    <row r="85" spans="1:32" ht="23.1" customHeight="1">
      <c r="A85" s="291"/>
      <c r="B85" s="292"/>
      <c r="C85" s="293"/>
      <c r="D85" s="94"/>
      <c r="E85" s="94"/>
      <c r="F85" s="294"/>
      <c r="G85" s="94"/>
      <c r="H85" s="94"/>
      <c r="I85" s="2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105"/>
      <c r="Y85" s="105"/>
      <c r="Z85" s="105"/>
      <c r="AA85" s="105"/>
      <c r="AB85" s="105"/>
      <c r="AC85" s="105"/>
      <c r="AD85" s="105"/>
      <c r="AE85" s="105"/>
      <c r="AF85" s="105"/>
    </row>
    <row r="86" spans="1:32" ht="23.1" customHeight="1">
      <c r="A86" s="291"/>
      <c r="B86" s="292"/>
      <c r="C86" s="293"/>
      <c r="D86" s="94"/>
      <c r="E86" s="94"/>
      <c r="F86" s="294"/>
      <c r="G86" s="94"/>
      <c r="H86" s="94"/>
      <c r="I86" s="2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105"/>
      <c r="Y86" s="105"/>
      <c r="Z86" s="105"/>
      <c r="AA86" s="105"/>
      <c r="AB86" s="105"/>
      <c r="AC86" s="105"/>
      <c r="AD86" s="105"/>
      <c r="AE86" s="105"/>
      <c r="AF86" s="105"/>
    </row>
    <row r="87" spans="1:32" ht="23.1" customHeight="1">
      <c r="A87" s="291"/>
      <c r="B87" s="292"/>
      <c r="C87" s="293"/>
      <c r="D87" s="94"/>
      <c r="E87" s="94"/>
      <c r="F87" s="294"/>
      <c r="G87" s="94"/>
      <c r="H87" s="94"/>
      <c r="I87" s="2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105"/>
      <c r="Y87" s="105"/>
      <c r="Z87" s="105"/>
      <c r="AA87" s="105"/>
      <c r="AB87" s="105"/>
      <c r="AC87" s="105"/>
      <c r="AD87" s="105"/>
      <c r="AE87" s="105"/>
      <c r="AF87" s="105"/>
    </row>
    <row r="88" spans="1:32" ht="23.1" customHeight="1">
      <c r="A88" s="291"/>
      <c r="B88" s="292"/>
      <c r="C88" s="293"/>
      <c r="D88" s="94"/>
      <c r="E88" s="94"/>
      <c r="F88" s="294"/>
      <c r="G88" s="94"/>
      <c r="H88" s="94"/>
      <c r="I88" s="2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105"/>
      <c r="Y88" s="105"/>
      <c r="Z88" s="105"/>
      <c r="AA88" s="105"/>
      <c r="AB88" s="105"/>
      <c r="AC88" s="105"/>
      <c r="AD88" s="105"/>
      <c r="AE88" s="105"/>
      <c r="AF88" s="105"/>
    </row>
    <row r="89" spans="1:32" ht="23.1" customHeight="1">
      <c r="A89" s="291"/>
      <c r="B89" s="292"/>
      <c r="C89" s="293"/>
      <c r="D89" s="94"/>
      <c r="E89" s="94"/>
      <c r="F89" s="294"/>
      <c r="G89" s="94"/>
      <c r="H89" s="94"/>
      <c r="I89" s="2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105"/>
      <c r="Y89" s="105"/>
      <c r="Z89" s="105"/>
      <c r="AA89" s="105"/>
      <c r="AB89" s="105"/>
      <c r="AC89" s="105"/>
      <c r="AD89" s="105"/>
      <c r="AE89" s="105"/>
      <c r="AF89" s="105"/>
    </row>
    <row r="90" spans="1:32" ht="23.1" customHeight="1">
      <c r="A90" s="291"/>
      <c r="B90" s="292"/>
      <c r="C90" s="293"/>
      <c r="D90" s="94"/>
      <c r="E90" s="94"/>
      <c r="F90" s="294"/>
      <c r="G90" s="94"/>
      <c r="H90" s="94"/>
      <c r="I90" s="2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105"/>
      <c r="Y90" s="105"/>
      <c r="Z90" s="105"/>
      <c r="AA90" s="105"/>
      <c r="AB90" s="105"/>
      <c r="AC90" s="105"/>
      <c r="AD90" s="105"/>
      <c r="AE90" s="105"/>
      <c r="AF90" s="105"/>
    </row>
    <row r="91" spans="1:32" ht="23.1" customHeight="1">
      <c r="A91" s="291"/>
      <c r="B91" s="292"/>
      <c r="C91" s="293"/>
      <c r="D91" s="94"/>
      <c r="E91" s="94"/>
      <c r="F91" s="294"/>
      <c r="G91" s="94"/>
      <c r="H91" s="94"/>
      <c r="I91" s="2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105"/>
      <c r="Y91" s="105"/>
      <c r="Z91" s="105"/>
      <c r="AA91" s="105"/>
      <c r="AB91" s="105"/>
      <c r="AC91" s="105"/>
      <c r="AD91" s="105"/>
      <c r="AE91" s="105"/>
      <c r="AF91" s="105"/>
    </row>
    <row r="92" spans="1:32" ht="23.1" customHeight="1">
      <c r="A92" s="291"/>
      <c r="B92" s="292"/>
      <c r="C92" s="293"/>
      <c r="D92" s="94"/>
      <c r="E92" s="94"/>
      <c r="F92" s="294"/>
      <c r="G92" s="94"/>
      <c r="H92" s="94"/>
      <c r="I92" s="2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105"/>
      <c r="Y92" s="105"/>
      <c r="Z92" s="105"/>
      <c r="AA92" s="105"/>
      <c r="AB92" s="105"/>
      <c r="AC92" s="105"/>
      <c r="AD92" s="105"/>
      <c r="AE92" s="105"/>
      <c r="AF92" s="105"/>
    </row>
    <row r="93" spans="1:32" ht="23.1" customHeight="1">
      <c r="A93" s="291"/>
      <c r="B93" s="292"/>
      <c r="C93" s="293"/>
      <c r="D93" s="94"/>
      <c r="E93" s="94"/>
      <c r="F93" s="294"/>
      <c r="G93" s="94"/>
      <c r="H93" s="94"/>
      <c r="I93" s="2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105"/>
      <c r="Y93" s="105"/>
      <c r="Z93" s="105"/>
      <c r="AA93" s="105"/>
      <c r="AB93" s="105"/>
      <c r="AC93" s="105"/>
      <c r="AD93" s="105"/>
      <c r="AE93" s="105"/>
      <c r="AF93" s="105"/>
    </row>
    <row r="94" spans="1:32" ht="23.1" customHeight="1">
      <c r="A94" s="291"/>
      <c r="B94" s="292"/>
      <c r="C94" s="293"/>
      <c r="D94" s="94"/>
      <c r="E94" s="94"/>
      <c r="F94" s="294"/>
      <c r="G94" s="94"/>
      <c r="H94" s="94"/>
      <c r="I94" s="2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105"/>
      <c r="Y94" s="105"/>
      <c r="Z94" s="105"/>
      <c r="AA94" s="105"/>
      <c r="AB94" s="105"/>
      <c r="AC94" s="105"/>
      <c r="AD94" s="105"/>
      <c r="AE94" s="105"/>
      <c r="AF94" s="105"/>
    </row>
    <row r="95" spans="1:32" ht="23.1" customHeight="1">
      <c r="A95" s="291"/>
      <c r="B95" s="292"/>
      <c r="C95" s="293"/>
      <c r="D95" s="94"/>
      <c r="E95" s="94"/>
      <c r="F95" s="294"/>
      <c r="G95" s="94"/>
      <c r="H95" s="94"/>
      <c r="I95" s="2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105"/>
      <c r="Y95" s="105"/>
      <c r="Z95" s="105"/>
      <c r="AA95" s="105"/>
      <c r="AB95" s="105"/>
      <c r="AC95" s="105"/>
      <c r="AD95" s="105"/>
      <c r="AE95" s="105"/>
      <c r="AF95" s="105"/>
    </row>
    <row r="96" spans="1:32" ht="23.1" customHeight="1">
      <c r="A96" s="291"/>
      <c r="B96" s="292"/>
      <c r="C96" s="293"/>
      <c r="D96" s="94"/>
      <c r="E96" s="94"/>
      <c r="F96" s="294"/>
      <c r="G96" s="94"/>
      <c r="H96" s="94"/>
      <c r="I96" s="2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105"/>
      <c r="Y96" s="105"/>
      <c r="Z96" s="105"/>
      <c r="AA96" s="105"/>
      <c r="AB96" s="105"/>
      <c r="AC96" s="105"/>
      <c r="AD96" s="105"/>
      <c r="AE96" s="105"/>
      <c r="AF96" s="105"/>
    </row>
    <row r="97" spans="1:32" ht="23.1" customHeight="1">
      <c r="A97" s="291"/>
      <c r="B97" s="292"/>
      <c r="C97" s="293"/>
      <c r="D97" s="94"/>
      <c r="E97" s="94"/>
      <c r="F97" s="294"/>
      <c r="G97" s="94"/>
      <c r="H97" s="94"/>
      <c r="I97" s="2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105"/>
      <c r="Y97" s="105"/>
      <c r="Z97" s="105"/>
      <c r="AA97" s="105"/>
      <c r="AB97" s="105"/>
      <c r="AC97" s="105"/>
      <c r="AD97" s="105"/>
      <c r="AE97" s="105"/>
      <c r="AF97" s="105"/>
    </row>
    <row r="98" spans="1:32" ht="23.1" customHeight="1">
      <c r="A98" s="291"/>
      <c r="B98" s="292"/>
      <c r="C98" s="293"/>
      <c r="D98" s="94"/>
      <c r="E98" s="94"/>
      <c r="F98" s="294"/>
      <c r="G98" s="94"/>
      <c r="H98" s="94"/>
      <c r="I98" s="2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105"/>
      <c r="Y98" s="105"/>
      <c r="Z98" s="105"/>
      <c r="AA98" s="105"/>
      <c r="AB98" s="105"/>
      <c r="AC98" s="105"/>
      <c r="AD98" s="105"/>
      <c r="AE98" s="105"/>
      <c r="AF98" s="105"/>
    </row>
    <row r="99" spans="1:32" ht="23.1" customHeight="1">
      <c r="A99" s="291"/>
      <c r="B99" s="292"/>
      <c r="C99" s="293"/>
      <c r="D99" s="94"/>
      <c r="E99" s="94"/>
      <c r="F99" s="294"/>
      <c r="G99" s="94"/>
      <c r="H99" s="94"/>
      <c r="I99" s="2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105"/>
      <c r="Y99" s="105"/>
      <c r="Z99" s="105"/>
      <c r="AA99" s="105"/>
      <c r="AB99" s="105"/>
      <c r="AC99" s="105"/>
      <c r="AD99" s="105"/>
      <c r="AE99" s="105"/>
      <c r="AF99" s="105"/>
    </row>
    <row r="100" spans="1:32" ht="23.1" customHeight="1">
      <c r="A100" s="291"/>
      <c r="B100" s="292"/>
      <c r="C100" s="293"/>
      <c r="D100" s="94"/>
      <c r="E100" s="94"/>
      <c r="F100" s="294"/>
      <c r="G100" s="94"/>
      <c r="H100" s="94"/>
      <c r="I100" s="2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105"/>
      <c r="Y100" s="105"/>
      <c r="Z100" s="105"/>
      <c r="AA100" s="105"/>
      <c r="AB100" s="105"/>
      <c r="AC100" s="105"/>
      <c r="AD100" s="105"/>
      <c r="AE100" s="105"/>
      <c r="AF100" s="105"/>
    </row>
    <row r="101" spans="1:32" ht="23.1" customHeight="1">
      <c r="A101" s="291"/>
      <c r="B101" s="292"/>
      <c r="C101" s="293"/>
      <c r="D101" s="94"/>
      <c r="E101" s="94"/>
      <c r="F101" s="294"/>
      <c r="G101" s="94"/>
      <c r="H101" s="94"/>
      <c r="I101" s="2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105"/>
      <c r="Y101" s="105"/>
      <c r="Z101" s="105"/>
      <c r="AA101" s="105"/>
      <c r="AB101" s="105"/>
      <c r="AC101" s="105"/>
      <c r="AD101" s="105"/>
      <c r="AE101" s="105"/>
      <c r="AF101" s="105"/>
    </row>
    <row r="102" spans="1:32" ht="23.1" customHeight="1">
      <c r="A102" s="291"/>
      <c r="B102" s="292"/>
      <c r="C102" s="293"/>
      <c r="D102" s="94"/>
      <c r="E102" s="94"/>
      <c r="F102" s="294"/>
      <c r="G102" s="94"/>
      <c r="H102" s="94"/>
      <c r="I102" s="2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105"/>
      <c r="Y102" s="105"/>
      <c r="Z102" s="105"/>
      <c r="AA102" s="105"/>
      <c r="AB102" s="105"/>
      <c r="AC102" s="105"/>
      <c r="AD102" s="105"/>
      <c r="AE102" s="105"/>
      <c r="AF102" s="105"/>
    </row>
    <row r="103" spans="1:32" ht="23.1" customHeight="1">
      <c r="A103" s="291"/>
      <c r="B103" s="292"/>
      <c r="C103" s="293"/>
      <c r="D103" s="94"/>
      <c r="E103" s="94"/>
      <c r="F103" s="294"/>
      <c r="G103" s="94"/>
      <c r="H103" s="94"/>
      <c r="I103" s="2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105"/>
      <c r="Y103" s="105"/>
      <c r="Z103" s="105"/>
      <c r="AA103" s="105"/>
      <c r="AB103" s="105"/>
      <c r="AC103" s="105"/>
      <c r="AD103" s="105"/>
      <c r="AE103" s="105"/>
      <c r="AF103" s="105"/>
    </row>
    <row r="104" spans="1:32" ht="23.1" customHeight="1">
      <c r="A104" s="291"/>
      <c r="B104" s="292"/>
      <c r="C104" s="293"/>
      <c r="D104" s="94"/>
      <c r="E104" s="94"/>
      <c r="F104" s="294"/>
      <c r="G104" s="94"/>
      <c r="H104" s="94"/>
      <c r="I104" s="2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105"/>
      <c r="Y104" s="105"/>
      <c r="Z104" s="105"/>
      <c r="AA104" s="105"/>
      <c r="AB104" s="105"/>
      <c r="AC104" s="105"/>
      <c r="AD104" s="105"/>
      <c r="AE104" s="105"/>
      <c r="AF104" s="105"/>
    </row>
    <row r="105" spans="1:32" ht="23.1" customHeight="1">
      <c r="A105" s="291"/>
      <c r="B105" s="292"/>
      <c r="C105" s="293"/>
      <c r="D105" s="94"/>
      <c r="E105" s="94"/>
      <c r="F105" s="294"/>
      <c r="G105" s="94"/>
      <c r="H105" s="94"/>
      <c r="I105" s="2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105"/>
      <c r="Y105" s="105"/>
      <c r="Z105" s="105"/>
      <c r="AA105" s="105"/>
      <c r="AB105" s="105"/>
      <c r="AC105" s="105"/>
      <c r="AD105" s="105"/>
      <c r="AE105" s="105"/>
      <c r="AF105" s="105"/>
    </row>
    <row r="106" spans="1:32" ht="23.1" customHeight="1">
      <c r="A106" s="291"/>
      <c r="B106" s="292"/>
      <c r="C106" s="293"/>
      <c r="D106" s="94"/>
      <c r="E106" s="94"/>
      <c r="F106" s="294"/>
      <c r="G106" s="94"/>
      <c r="H106" s="94"/>
      <c r="I106" s="2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105"/>
      <c r="Y106" s="105"/>
      <c r="Z106" s="105"/>
      <c r="AA106" s="105"/>
      <c r="AB106" s="105"/>
      <c r="AC106" s="105"/>
      <c r="AD106" s="105"/>
      <c r="AE106" s="105"/>
      <c r="AF106" s="105"/>
    </row>
    <row r="107" spans="1:32" ht="23.1" customHeight="1">
      <c r="A107" s="291"/>
      <c r="B107" s="292"/>
      <c r="C107" s="293"/>
      <c r="D107" s="94"/>
      <c r="E107" s="94"/>
      <c r="F107" s="294"/>
      <c r="G107" s="94"/>
      <c r="H107" s="94"/>
      <c r="I107" s="2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105"/>
      <c r="Y107" s="105"/>
      <c r="Z107" s="105"/>
      <c r="AA107" s="105"/>
      <c r="AB107" s="105"/>
      <c r="AC107" s="105"/>
      <c r="AD107" s="105"/>
      <c r="AE107" s="105"/>
      <c r="AF107" s="105"/>
    </row>
    <row r="108" spans="1:32" ht="23.1" customHeight="1">
      <c r="A108" s="291"/>
      <c r="B108" s="292"/>
      <c r="C108" s="293"/>
      <c r="D108" s="94"/>
      <c r="E108" s="94"/>
      <c r="F108" s="294"/>
      <c r="G108" s="94"/>
      <c r="H108" s="94"/>
      <c r="I108" s="2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105"/>
      <c r="Y108" s="105"/>
      <c r="Z108" s="105"/>
      <c r="AA108" s="105"/>
      <c r="AB108" s="105"/>
      <c r="AC108" s="105"/>
      <c r="AD108" s="105"/>
      <c r="AE108" s="105"/>
      <c r="AF108" s="105"/>
    </row>
    <row r="109" spans="1:32" ht="23.1" customHeight="1">
      <c r="A109" s="291"/>
      <c r="B109" s="292"/>
      <c r="C109" s="293"/>
      <c r="D109" s="94"/>
      <c r="E109" s="94"/>
      <c r="F109" s="294"/>
      <c r="G109" s="94"/>
      <c r="H109" s="94"/>
      <c r="I109" s="2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105"/>
      <c r="Y109" s="105"/>
      <c r="Z109" s="105"/>
      <c r="AA109" s="105"/>
      <c r="AB109" s="105"/>
      <c r="AC109" s="105"/>
      <c r="AD109" s="105"/>
      <c r="AE109" s="105"/>
      <c r="AF109" s="105"/>
    </row>
    <row r="110" spans="1:32" ht="23.1" customHeight="1">
      <c r="A110" s="291"/>
      <c r="B110" s="292"/>
      <c r="C110" s="293"/>
      <c r="D110" s="94"/>
      <c r="E110" s="94"/>
      <c r="F110" s="294"/>
      <c r="G110" s="94"/>
      <c r="H110" s="94"/>
      <c r="I110" s="2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105"/>
      <c r="Y110" s="105"/>
      <c r="Z110" s="105"/>
      <c r="AA110" s="105"/>
      <c r="AB110" s="105"/>
      <c r="AC110" s="105"/>
      <c r="AD110" s="105"/>
      <c r="AE110" s="105"/>
      <c r="AF110" s="105"/>
    </row>
    <row r="111" spans="1:32" ht="23.1" customHeight="1">
      <c r="A111" s="291"/>
      <c r="B111" s="292"/>
      <c r="C111" s="293"/>
      <c r="D111" s="94"/>
      <c r="E111" s="94"/>
      <c r="F111" s="294"/>
      <c r="G111" s="94"/>
      <c r="H111" s="94"/>
      <c r="I111" s="2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105"/>
      <c r="Y111" s="105"/>
      <c r="Z111" s="105"/>
      <c r="AA111" s="105"/>
      <c r="AB111" s="105"/>
      <c r="AC111" s="105"/>
      <c r="AD111" s="105"/>
      <c r="AE111" s="105"/>
      <c r="AF111" s="105"/>
    </row>
    <row r="112" spans="1:32" ht="23.1" customHeight="1">
      <c r="A112" s="291"/>
      <c r="B112" s="292"/>
      <c r="C112" s="293"/>
      <c r="D112" s="94"/>
      <c r="E112" s="94"/>
      <c r="F112" s="294"/>
      <c r="G112" s="94"/>
      <c r="H112" s="94"/>
      <c r="I112" s="2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105"/>
      <c r="Y112" s="105"/>
      <c r="Z112" s="105"/>
      <c r="AA112" s="105"/>
      <c r="AB112" s="105"/>
      <c r="AC112" s="105"/>
      <c r="AD112" s="105"/>
      <c r="AE112" s="105"/>
      <c r="AF112" s="105"/>
    </row>
    <row r="113" spans="1:32" ht="23.1" customHeight="1">
      <c r="A113" s="291"/>
      <c r="B113" s="292"/>
      <c r="C113" s="293"/>
      <c r="D113" s="94"/>
      <c r="E113" s="94"/>
      <c r="F113" s="294"/>
      <c r="G113" s="94"/>
      <c r="H113" s="94"/>
      <c r="I113" s="2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105"/>
      <c r="Y113" s="105"/>
      <c r="Z113" s="105"/>
      <c r="AA113" s="105"/>
      <c r="AB113" s="105"/>
      <c r="AC113" s="105"/>
      <c r="AD113" s="105"/>
      <c r="AE113" s="105"/>
      <c r="AF113" s="105"/>
    </row>
    <row r="114" spans="1:32" ht="23.1" customHeight="1">
      <c r="A114" s="291"/>
      <c r="B114" s="292"/>
      <c r="C114" s="293"/>
      <c r="D114" s="94"/>
      <c r="E114" s="94"/>
      <c r="F114" s="294"/>
      <c r="G114" s="94"/>
      <c r="H114" s="94"/>
      <c r="I114" s="2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105"/>
      <c r="Y114" s="105"/>
      <c r="Z114" s="105"/>
      <c r="AA114" s="105"/>
      <c r="AB114" s="105"/>
      <c r="AC114" s="105"/>
      <c r="AD114" s="105"/>
      <c r="AE114" s="105"/>
      <c r="AF114" s="105"/>
    </row>
    <row r="115" spans="1:32" ht="23.1" customHeight="1">
      <c r="A115" s="291"/>
      <c r="B115" s="292"/>
      <c r="C115" s="293"/>
      <c r="D115" s="94"/>
      <c r="E115" s="94"/>
      <c r="F115" s="294"/>
      <c r="G115" s="94"/>
      <c r="H115" s="94"/>
      <c r="I115" s="2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105"/>
      <c r="Y115" s="105"/>
      <c r="Z115" s="105"/>
      <c r="AA115" s="105"/>
      <c r="AB115" s="105"/>
      <c r="AC115" s="105"/>
      <c r="AD115" s="105"/>
      <c r="AE115" s="105"/>
      <c r="AF115" s="105"/>
    </row>
    <row r="116" spans="1:32" ht="23.1" customHeight="1">
      <c r="A116" s="291"/>
      <c r="B116" s="292"/>
      <c r="C116" s="293"/>
      <c r="D116" s="94"/>
      <c r="E116" s="94"/>
      <c r="F116" s="294"/>
      <c r="G116" s="94"/>
      <c r="H116" s="94"/>
      <c r="I116" s="2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105"/>
      <c r="Y116" s="105"/>
      <c r="Z116" s="105"/>
      <c r="AA116" s="105"/>
      <c r="AB116" s="105"/>
      <c r="AC116" s="105"/>
      <c r="AD116" s="105"/>
      <c r="AE116" s="105"/>
      <c r="AF116" s="105"/>
    </row>
    <row r="117" spans="1:32" ht="23.1" customHeight="1">
      <c r="A117" s="291"/>
      <c r="B117" s="292"/>
      <c r="C117" s="293"/>
      <c r="D117" s="94"/>
      <c r="E117" s="94"/>
      <c r="F117" s="294"/>
      <c r="G117" s="94"/>
      <c r="H117" s="94"/>
      <c r="I117" s="2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105"/>
      <c r="Y117" s="105"/>
      <c r="Z117" s="105"/>
      <c r="AA117" s="105"/>
      <c r="AB117" s="105"/>
      <c r="AC117" s="105"/>
      <c r="AD117" s="105"/>
      <c r="AE117" s="105"/>
      <c r="AF117" s="105"/>
    </row>
    <row r="118" spans="1:32" ht="23.1" customHeight="1">
      <c r="A118" s="291"/>
      <c r="B118" s="292"/>
      <c r="C118" s="293"/>
      <c r="D118" s="94"/>
      <c r="E118" s="94"/>
      <c r="F118" s="294"/>
      <c r="G118" s="94"/>
      <c r="H118" s="94"/>
      <c r="I118" s="2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105"/>
      <c r="Y118" s="105"/>
      <c r="Z118" s="105"/>
      <c r="AA118" s="105"/>
      <c r="AB118" s="105"/>
      <c r="AC118" s="105"/>
      <c r="AD118" s="105"/>
      <c r="AE118" s="105"/>
      <c r="AF118" s="105"/>
    </row>
    <row r="119" spans="1:32" ht="23.1" customHeight="1">
      <c r="A119" s="291"/>
      <c r="B119" s="292"/>
      <c r="C119" s="293"/>
      <c r="D119" s="94"/>
      <c r="E119" s="94"/>
      <c r="F119" s="294"/>
      <c r="G119" s="94"/>
      <c r="H119" s="94"/>
      <c r="I119" s="2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105"/>
      <c r="Y119" s="105"/>
      <c r="Z119" s="105"/>
      <c r="AA119" s="105"/>
      <c r="AB119" s="105"/>
      <c r="AC119" s="105"/>
      <c r="AD119" s="105"/>
      <c r="AE119" s="105"/>
      <c r="AF119" s="105"/>
    </row>
    <row r="120" spans="1:32" ht="23.1" customHeight="1">
      <c r="A120" s="291"/>
      <c r="B120" s="292"/>
      <c r="C120" s="293"/>
      <c r="D120" s="94"/>
      <c r="E120" s="94"/>
      <c r="F120" s="294"/>
      <c r="G120" s="94"/>
      <c r="H120" s="94"/>
      <c r="I120" s="2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105"/>
      <c r="Y120" s="105"/>
      <c r="Z120" s="105"/>
      <c r="AA120" s="105"/>
      <c r="AB120" s="105"/>
      <c r="AC120" s="105"/>
      <c r="AD120" s="105"/>
      <c r="AE120" s="105"/>
      <c r="AF120" s="105"/>
    </row>
    <row r="121" spans="1:32" ht="23.1" customHeight="1">
      <c r="A121" s="291"/>
      <c r="B121" s="292"/>
      <c r="C121" s="293"/>
      <c r="D121" s="94"/>
      <c r="E121" s="94"/>
      <c r="F121" s="294"/>
      <c r="G121" s="94"/>
      <c r="H121" s="94"/>
      <c r="I121" s="2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105"/>
      <c r="Y121" s="105"/>
      <c r="Z121" s="105"/>
      <c r="AA121" s="105"/>
      <c r="AB121" s="105"/>
      <c r="AC121" s="105"/>
      <c r="AD121" s="105"/>
      <c r="AE121" s="105"/>
      <c r="AF121" s="105"/>
    </row>
    <row r="122" spans="1:32" ht="23.1" customHeight="1">
      <c r="A122" s="291"/>
      <c r="B122" s="292"/>
      <c r="C122" s="293"/>
      <c r="D122" s="94"/>
      <c r="E122" s="94"/>
      <c r="F122" s="294"/>
      <c r="G122" s="94"/>
      <c r="H122" s="94"/>
      <c r="I122" s="2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105"/>
      <c r="Y122" s="105"/>
      <c r="Z122" s="105"/>
      <c r="AA122" s="105"/>
      <c r="AB122" s="105"/>
      <c r="AC122" s="105"/>
      <c r="AD122" s="105"/>
      <c r="AE122" s="105"/>
      <c r="AF122" s="105"/>
    </row>
    <row r="123" spans="1:32" ht="23.1" customHeight="1">
      <c r="A123" s="291"/>
      <c r="B123" s="292"/>
      <c r="C123" s="293"/>
      <c r="D123" s="94"/>
      <c r="E123" s="94"/>
      <c r="F123" s="294"/>
      <c r="G123" s="94"/>
      <c r="H123" s="94"/>
      <c r="I123" s="2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105"/>
      <c r="Y123" s="105"/>
      <c r="Z123" s="105"/>
      <c r="AA123" s="105"/>
      <c r="AB123" s="105"/>
      <c r="AC123" s="105"/>
      <c r="AD123" s="105"/>
      <c r="AE123" s="105"/>
      <c r="AF123" s="105"/>
    </row>
    <row r="124" spans="1:32" ht="23.1" customHeight="1">
      <c r="A124" s="291"/>
      <c r="B124" s="292"/>
      <c r="C124" s="293"/>
      <c r="D124" s="94"/>
      <c r="E124" s="94"/>
      <c r="F124" s="294"/>
      <c r="G124" s="94"/>
      <c r="H124" s="94"/>
      <c r="I124" s="2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105"/>
      <c r="Y124" s="105"/>
      <c r="Z124" s="105"/>
      <c r="AA124" s="105"/>
      <c r="AB124" s="105"/>
      <c r="AC124" s="105"/>
      <c r="AD124" s="105"/>
      <c r="AE124" s="105"/>
      <c r="AF124" s="105"/>
    </row>
    <row r="125" spans="1:32" ht="23.1" customHeight="1">
      <c r="A125" s="291"/>
      <c r="B125" s="292"/>
      <c r="C125" s="293"/>
      <c r="D125" s="94"/>
      <c r="E125" s="94"/>
      <c r="F125" s="294"/>
      <c r="G125" s="94"/>
      <c r="H125" s="94"/>
      <c r="I125" s="2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105"/>
      <c r="Y125" s="105"/>
      <c r="Z125" s="105"/>
      <c r="AA125" s="105"/>
      <c r="AB125" s="105"/>
      <c r="AC125" s="105"/>
      <c r="AD125" s="105"/>
      <c r="AE125" s="105"/>
      <c r="AF125" s="105"/>
    </row>
    <row r="126" spans="1:32" ht="23.1" customHeight="1">
      <c r="A126" s="291"/>
      <c r="B126" s="292"/>
      <c r="C126" s="293"/>
      <c r="D126" s="94"/>
      <c r="E126" s="94"/>
      <c r="F126" s="294"/>
      <c r="G126" s="94"/>
      <c r="H126" s="94"/>
      <c r="I126" s="2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105"/>
      <c r="Y126" s="105"/>
      <c r="Z126" s="105"/>
      <c r="AA126" s="105"/>
      <c r="AB126" s="105"/>
      <c r="AC126" s="105"/>
      <c r="AD126" s="105"/>
      <c r="AE126" s="105"/>
      <c r="AF126" s="105"/>
    </row>
    <row r="127" spans="1:32" ht="23.1" customHeight="1">
      <c r="A127" s="291"/>
      <c r="B127" s="292"/>
      <c r="C127" s="293"/>
      <c r="D127" s="94"/>
      <c r="E127" s="94"/>
      <c r="F127" s="294"/>
      <c r="G127" s="94"/>
      <c r="H127" s="94"/>
      <c r="I127" s="2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105"/>
      <c r="Y127" s="105"/>
      <c r="Z127" s="105"/>
      <c r="AA127" s="105"/>
      <c r="AB127" s="105"/>
      <c r="AC127" s="105"/>
      <c r="AD127" s="105"/>
      <c r="AE127" s="105"/>
      <c r="AF127" s="105"/>
    </row>
    <row r="128" spans="1:32" ht="23.1" customHeight="1">
      <c r="A128" s="291"/>
      <c r="B128" s="292"/>
      <c r="C128" s="293"/>
      <c r="D128" s="94"/>
      <c r="E128" s="94"/>
      <c r="F128" s="294"/>
      <c r="G128" s="94"/>
      <c r="H128" s="94"/>
      <c r="I128" s="2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105"/>
      <c r="Y128" s="105"/>
      <c r="Z128" s="105"/>
      <c r="AA128" s="105"/>
      <c r="AB128" s="105"/>
      <c r="AC128" s="105"/>
      <c r="AD128" s="105"/>
      <c r="AE128" s="105"/>
      <c r="AF128" s="105"/>
    </row>
    <row r="129" spans="1:32" ht="23.1" customHeight="1">
      <c r="A129" s="291"/>
      <c r="B129" s="292"/>
      <c r="C129" s="293"/>
      <c r="D129" s="94"/>
      <c r="E129" s="94"/>
      <c r="F129" s="294"/>
      <c r="G129" s="94"/>
      <c r="H129" s="94"/>
      <c r="I129" s="2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105"/>
      <c r="Y129" s="105"/>
      <c r="Z129" s="105"/>
      <c r="AA129" s="105"/>
      <c r="AB129" s="105"/>
      <c r="AC129" s="105"/>
      <c r="AD129" s="105"/>
      <c r="AE129" s="105"/>
      <c r="AF129" s="105"/>
    </row>
    <row r="130" spans="1:32" ht="23.1" customHeight="1">
      <c r="A130" s="291"/>
      <c r="B130" s="292"/>
      <c r="C130" s="293"/>
      <c r="D130" s="94"/>
      <c r="E130" s="94"/>
      <c r="F130" s="294"/>
      <c r="G130" s="94"/>
      <c r="H130" s="94"/>
      <c r="I130" s="2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105"/>
      <c r="Y130" s="105"/>
      <c r="Z130" s="105"/>
      <c r="AA130" s="105"/>
      <c r="AB130" s="105"/>
      <c r="AC130" s="105"/>
      <c r="AD130" s="105"/>
      <c r="AE130" s="105"/>
      <c r="AF130" s="105"/>
    </row>
    <row r="131" spans="1:32" ht="23.1" customHeight="1">
      <c r="A131" s="291"/>
      <c r="B131" s="292"/>
      <c r="C131" s="293"/>
      <c r="D131" s="94"/>
      <c r="E131" s="94"/>
      <c r="F131" s="294"/>
      <c r="G131" s="94"/>
      <c r="H131" s="94"/>
      <c r="I131" s="2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105"/>
      <c r="Y131" s="105"/>
      <c r="Z131" s="105"/>
      <c r="AA131" s="105"/>
      <c r="AB131" s="105"/>
      <c r="AC131" s="105"/>
      <c r="AD131" s="105"/>
      <c r="AE131" s="105"/>
      <c r="AF131" s="105"/>
    </row>
    <row r="132" spans="1:32" ht="23.1" customHeight="1">
      <c r="A132" s="291"/>
      <c r="B132" s="292"/>
      <c r="C132" s="293"/>
      <c r="D132" s="94"/>
      <c r="E132" s="94"/>
      <c r="F132" s="294"/>
      <c r="G132" s="94"/>
      <c r="H132" s="94"/>
      <c r="I132" s="2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105"/>
      <c r="Y132" s="105"/>
      <c r="Z132" s="105"/>
      <c r="AA132" s="105"/>
      <c r="AB132" s="105"/>
      <c r="AC132" s="105"/>
      <c r="AD132" s="105"/>
      <c r="AE132" s="105"/>
      <c r="AF132" s="105"/>
    </row>
    <row r="133" spans="1:32" ht="23.1" customHeight="1">
      <c r="A133" s="291"/>
      <c r="B133" s="292"/>
      <c r="C133" s="293"/>
      <c r="D133" s="94"/>
      <c r="E133" s="94"/>
      <c r="F133" s="294"/>
      <c r="G133" s="94"/>
      <c r="H133" s="94"/>
      <c r="I133" s="2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105"/>
      <c r="Y133" s="105"/>
      <c r="Z133" s="105"/>
      <c r="AA133" s="105"/>
      <c r="AB133" s="105"/>
      <c r="AC133" s="105"/>
      <c r="AD133" s="105"/>
      <c r="AE133" s="105"/>
      <c r="AF133" s="105"/>
    </row>
    <row r="134" spans="1:32" ht="23.1" customHeight="1">
      <c r="A134" s="291"/>
      <c r="B134" s="292"/>
      <c r="C134" s="293"/>
      <c r="D134" s="94"/>
      <c r="E134" s="94"/>
      <c r="F134" s="294"/>
      <c r="G134" s="94"/>
      <c r="H134" s="94"/>
      <c r="I134" s="2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105"/>
      <c r="Y134" s="105"/>
      <c r="Z134" s="105"/>
      <c r="AA134" s="105"/>
      <c r="AB134" s="105"/>
      <c r="AC134" s="105"/>
      <c r="AD134" s="105"/>
      <c r="AE134" s="105"/>
      <c r="AF134" s="105"/>
    </row>
    <row r="135" spans="1:32" ht="23.1" customHeight="1">
      <c r="A135" s="291"/>
      <c r="B135" s="292"/>
      <c r="C135" s="293"/>
      <c r="D135" s="94"/>
      <c r="E135" s="94"/>
      <c r="F135" s="294"/>
      <c r="G135" s="94"/>
      <c r="H135" s="94"/>
      <c r="I135" s="2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105"/>
      <c r="Y135" s="105"/>
      <c r="Z135" s="105"/>
      <c r="AA135" s="105"/>
      <c r="AB135" s="105"/>
      <c r="AC135" s="105"/>
      <c r="AD135" s="105"/>
      <c r="AE135" s="105"/>
      <c r="AF135" s="105"/>
    </row>
    <row r="136" spans="1:32" ht="23.1" customHeight="1">
      <c r="A136" s="291"/>
      <c r="B136" s="292"/>
      <c r="C136" s="293"/>
      <c r="D136" s="94"/>
      <c r="E136" s="94"/>
      <c r="F136" s="294"/>
      <c r="G136" s="94"/>
      <c r="H136" s="94"/>
      <c r="I136" s="2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105"/>
      <c r="Y136" s="105"/>
      <c r="Z136" s="105"/>
      <c r="AA136" s="105"/>
      <c r="AB136" s="105"/>
      <c r="AC136" s="105"/>
      <c r="AD136" s="105"/>
      <c r="AE136" s="105"/>
      <c r="AF136" s="105"/>
    </row>
    <row r="137" spans="1:32" ht="23.1" customHeight="1">
      <c r="A137" s="291"/>
      <c r="B137" s="292"/>
      <c r="C137" s="293"/>
      <c r="D137" s="94"/>
      <c r="E137" s="94"/>
      <c r="F137" s="294"/>
      <c r="G137" s="94"/>
      <c r="H137" s="94"/>
      <c r="I137" s="2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105"/>
      <c r="Y137" s="105"/>
      <c r="Z137" s="105"/>
      <c r="AA137" s="105"/>
      <c r="AB137" s="105"/>
      <c r="AC137" s="105"/>
      <c r="AD137" s="105"/>
      <c r="AE137" s="105"/>
      <c r="AF137" s="105"/>
    </row>
    <row r="138" spans="1:32" ht="23.1" customHeight="1">
      <c r="A138" s="291"/>
      <c r="B138" s="292"/>
      <c r="C138" s="293"/>
      <c r="D138" s="94"/>
      <c r="E138" s="94"/>
      <c r="F138" s="294"/>
      <c r="G138" s="94"/>
      <c r="H138" s="94"/>
      <c r="I138" s="2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105"/>
      <c r="Y138" s="105"/>
      <c r="Z138" s="105"/>
      <c r="AA138" s="105"/>
      <c r="AB138" s="105"/>
      <c r="AC138" s="105"/>
      <c r="AD138" s="105"/>
      <c r="AE138" s="105"/>
      <c r="AF138" s="105"/>
    </row>
    <row r="139" spans="1:32" ht="23.1" customHeight="1">
      <c r="A139" s="291"/>
      <c r="B139" s="292"/>
      <c r="C139" s="293"/>
      <c r="D139" s="94"/>
      <c r="E139" s="94"/>
      <c r="F139" s="294"/>
      <c r="G139" s="94"/>
      <c r="H139" s="94"/>
      <c r="I139" s="2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105"/>
      <c r="Y139" s="105"/>
      <c r="Z139" s="105"/>
      <c r="AA139" s="105"/>
      <c r="AB139" s="105"/>
      <c r="AC139" s="105"/>
      <c r="AD139" s="105"/>
      <c r="AE139" s="105"/>
      <c r="AF139" s="105"/>
    </row>
    <row r="140" spans="1:32" ht="23.1" customHeight="1">
      <c r="A140" s="291"/>
      <c r="B140" s="292"/>
      <c r="C140" s="293"/>
      <c r="D140" s="94"/>
      <c r="E140" s="94"/>
      <c r="F140" s="294"/>
      <c r="G140" s="94"/>
      <c r="H140" s="94"/>
      <c r="I140" s="2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105"/>
      <c r="Y140" s="105"/>
      <c r="Z140" s="105"/>
      <c r="AA140" s="105"/>
      <c r="AB140" s="105"/>
      <c r="AC140" s="105"/>
      <c r="AD140" s="105"/>
      <c r="AE140" s="105"/>
      <c r="AF140" s="105"/>
    </row>
    <row r="141" spans="1:32" ht="23.1" customHeight="1">
      <c r="A141" s="291"/>
      <c r="B141" s="292"/>
      <c r="C141" s="293"/>
      <c r="D141" s="94"/>
      <c r="E141" s="94"/>
      <c r="F141" s="294"/>
      <c r="G141" s="94"/>
      <c r="H141" s="94"/>
      <c r="I141" s="2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105"/>
      <c r="Y141" s="105"/>
      <c r="Z141" s="105"/>
      <c r="AA141" s="105"/>
      <c r="AB141" s="105"/>
      <c r="AC141" s="105"/>
      <c r="AD141" s="105"/>
      <c r="AE141" s="105"/>
      <c r="AF141" s="105"/>
    </row>
    <row r="142" spans="1:32" ht="23.1" customHeight="1">
      <c r="A142" s="291"/>
      <c r="B142" s="292"/>
      <c r="C142" s="293"/>
      <c r="D142" s="94"/>
      <c r="E142" s="94"/>
      <c r="F142" s="294"/>
      <c r="G142" s="94"/>
      <c r="H142" s="94"/>
      <c r="I142" s="2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105"/>
      <c r="Y142" s="105"/>
      <c r="Z142" s="105"/>
      <c r="AA142" s="105"/>
      <c r="AB142" s="105"/>
      <c r="AC142" s="105"/>
      <c r="AD142" s="105"/>
      <c r="AE142" s="105"/>
      <c r="AF142" s="105"/>
    </row>
    <row r="143" spans="1:32" ht="23.1" customHeight="1">
      <c r="A143" s="291"/>
      <c r="B143" s="292"/>
      <c r="C143" s="293"/>
      <c r="D143" s="94"/>
      <c r="E143" s="94"/>
      <c r="F143" s="294"/>
      <c r="G143" s="94"/>
      <c r="H143" s="94"/>
      <c r="I143" s="2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105"/>
      <c r="Y143" s="105"/>
      <c r="Z143" s="105"/>
      <c r="AA143" s="105"/>
      <c r="AB143" s="105"/>
      <c r="AC143" s="105"/>
      <c r="AD143" s="105"/>
      <c r="AE143" s="105"/>
      <c r="AF143" s="105"/>
    </row>
    <row r="144" spans="1:32" ht="23.1" customHeight="1">
      <c r="A144" s="291"/>
      <c r="B144" s="292"/>
      <c r="C144" s="293"/>
      <c r="D144" s="94"/>
      <c r="E144" s="94"/>
      <c r="F144" s="294"/>
      <c r="G144" s="94"/>
      <c r="H144" s="94"/>
      <c r="I144" s="2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105"/>
      <c r="Y144" s="105"/>
      <c r="Z144" s="105"/>
      <c r="AA144" s="105"/>
      <c r="AB144" s="105"/>
      <c r="AC144" s="105"/>
      <c r="AD144" s="105"/>
      <c r="AE144" s="105"/>
      <c r="AF144" s="105"/>
    </row>
    <row r="145" spans="1:32" ht="23.1" customHeight="1">
      <c r="A145" s="291"/>
      <c r="B145" s="292"/>
      <c r="C145" s="293"/>
      <c r="D145" s="94"/>
      <c r="E145" s="94"/>
      <c r="F145" s="294"/>
      <c r="G145" s="94"/>
      <c r="H145" s="94"/>
      <c r="I145" s="2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105"/>
      <c r="Y145" s="105"/>
      <c r="Z145" s="105"/>
      <c r="AA145" s="105"/>
      <c r="AB145" s="105"/>
      <c r="AC145" s="105"/>
      <c r="AD145" s="105"/>
      <c r="AE145" s="105"/>
      <c r="AF145" s="105"/>
    </row>
    <row r="146" spans="1:32" ht="23.1" customHeight="1">
      <c r="A146" s="291"/>
      <c r="B146" s="292"/>
      <c r="C146" s="293"/>
      <c r="D146" s="94"/>
      <c r="E146" s="94"/>
      <c r="F146" s="294"/>
      <c r="G146" s="94"/>
      <c r="H146" s="94"/>
      <c r="I146" s="2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105"/>
      <c r="Y146" s="105"/>
      <c r="Z146" s="105"/>
      <c r="AA146" s="105"/>
      <c r="AB146" s="105"/>
      <c r="AC146" s="105"/>
      <c r="AD146" s="105"/>
      <c r="AE146" s="105"/>
      <c r="AF146" s="105"/>
    </row>
    <row r="147" spans="1:32" ht="23.1" customHeight="1">
      <c r="A147" s="291"/>
      <c r="B147" s="292"/>
      <c r="C147" s="293"/>
      <c r="D147" s="94"/>
      <c r="E147" s="94"/>
      <c r="F147" s="294"/>
      <c r="G147" s="94"/>
      <c r="H147" s="94"/>
      <c r="I147" s="2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105"/>
      <c r="Y147" s="105"/>
      <c r="Z147" s="105"/>
      <c r="AA147" s="105"/>
      <c r="AB147" s="105"/>
      <c r="AC147" s="105"/>
      <c r="AD147" s="105"/>
      <c r="AE147" s="105"/>
      <c r="AF147" s="105"/>
    </row>
    <row r="148" spans="1:32" ht="23.1" customHeight="1">
      <c r="A148" s="291"/>
      <c r="B148" s="292"/>
      <c r="C148" s="293"/>
      <c r="D148" s="94"/>
      <c r="E148" s="94"/>
      <c r="F148" s="294"/>
      <c r="G148" s="94"/>
      <c r="H148" s="94"/>
      <c r="I148" s="2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105"/>
      <c r="Y148" s="105"/>
      <c r="Z148" s="105"/>
      <c r="AA148" s="105"/>
      <c r="AB148" s="105"/>
      <c r="AC148" s="105"/>
      <c r="AD148" s="105"/>
      <c r="AE148" s="105"/>
      <c r="AF148" s="105"/>
    </row>
    <row r="149" spans="1:32" ht="23.1" customHeight="1">
      <c r="A149" s="291"/>
      <c r="B149" s="292"/>
      <c r="C149" s="293"/>
      <c r="D149" s="94"/>
      <c r="E149" s="94"/>
      <c r="F149" s="294"/>
      <c r="G149" s="94"/>
      <c r="H149" s="94"/>
      <c r="I149" s="2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105"/>
      <c r="Y149" s="105"/>
      <c r="Z149" s="105"/>
      <c r="AA149" s="105"/>
      <c r="AB149" s="105"/>
      <c r="AC149" s="105"/>
      <c r="AD149" s="105"/>
      <c r="AE149" s="105"/>
      <c r="AF149" s="105"/>
    </row>
    <row r="150" spans="1:32" ht="23.1" customHeight="1">
      <c r="A150" s="291"/>
      <c r="B150" s="292"/>
      <c r="C150" s="293"/>
      <c r="D150" s="94"/>
      <c r="E150" s="94"/>
      <c r="F150" s="294"/>
      <c r="G150" s="94"/>
      <c r="H150" s="94"/>
      <c r="I150" s="2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105"/>
      <c r="Y150" s="105"/>
      <c r="Z150" s="105"/>
      <c r="AA150" s="105"/>
      <c r="AB150" s="105"/>
      <c r="AC150" s="105"/>
      <c r="AD150" s="105"/>
      <c r="AE150" s="105"/>
      <c r="AF150" s="105"/>
    </row>
    <row r="151" spans="1:32" ht="23.1" customHeight="1">
      <c r="A151" s="291"/>
      <c r="B151" s="292"/>
      <c r="C151" s="293"/>
      <c r="D151" s="94"/>
      <c r="E151" s="94"/>
      <c r="F151" s="294"/>
      <c r="G151" s="94"/>
      <c r="H151" s="94"/>
      <c r="I151" s="2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105"/>
      <c r="Y151" s="105"/>
      <c r="Z151" s="105"/>
      <c r="AA151" s="105"/>
      <c r="AB151" s="105"/>
      <c r="AC151" s="105"/>
      <c r="AD151" s="105"/>
      <c r="AE151" s="105"/>
      <c r="AF151" s="105"/>
    </row>
    <row r="152" spans="1:32" ht="23.1" customHeight="1">
      <c r="A152" s="291"/>
      <c r="B152" s="292"/>
      <c r="C152" s="293"/>
      <c r="D152" s="94"/>
      <c r="E152" s="94"/>
      <c r="F152" s="294"/>
      <c r="G152" s="94"/>
      <c r="H152" s="94"/>
      <c r="I152" s="2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105"/>
      <c r="Y152" s="105"/>
      <c r="Z152" s="105"/>
      <c r="AA152" s="105"/>
      <c r="AB152" s="105"/>
      <c r="AC152" s="105"/>
      <c r="AD152" s="105"/>
      <c r="AE152" s="105"/>
      <c r="AF152" s="105"/>
    </row>
    <row r="153" spans="1:32" ht="23.1" customHeight="1">
      <c r="A153" s="291"/>
      <c r="B153" s="292"/>
      <c r="C153" s="293"/>
      <c r="D153" s="94"/>
      <c r="E153" s="94"/>
      <c r="F153" s="294"/>
      <c r="G153" s="94"/>
      <c r="H153" s="94"/>
      <c r="I153" s="2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105"/>
      <c r="Y153" s="105"/>
      <c r="Z153" s="105"/>
      <c r="AA153" s="105"/>
      <c r="AB153" s="105"/>
      <c r="AC153" s="105"/>
      <c r="AD153" s="105"/>
      <c r="AE153" s="105"/>
      <c r="AF153" s="105"/>
    </row>
    <row r="154" spans="1:32" ht="23.1" customHeight="1">
      <c r="A154" s="291"/>
      <c r="B154" s="292"/>
      <c r="C154" s="293"/>
      <c r="D154" s="94"/>
      <c r="E154" s="94"/>
      <c r="F154" s="294"/>
      <c r="G154" s="94"/>
      <c r="H154" s="94"/>
      <c r="I154" s="2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105"/>
      <c r="Y154" s="105"/>
      <c r="Z154" s="105"/>
      <c r="AA154" s="105"/>
      <c r="AB154" s="105"/>
      <c r="AC154" s="105"/>
      <c r="AD154" s="105"/>
      <c r="AE154" s="105"/>
      <c r="AF154" s="105"/>
    </row>
    <row r="155" spans="1:32" ht="23.1" customHeight="1">
      <c r="A155" s="291"/>
      <c r="B155" s="292"/>
      <c r="C155" s="293"/>
      <c r="D155" s="94"/>
      <c r="E155" s="94"/>
      <c r="F155" s="294"/>
      <c r="G155" s="94"/>
      <c r="H155" s="94"/>
      <c r="I155" s="2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105"/>
      <c r="Y155" s="105"/>
      <c r="Z155" s="105"/>
      <c r="AA155" s="105"/>
      <c r="AB155" s="105"/>
      <c r="AC155" s="105"/>
      <c r="AD155" s="105"/>
      <c r="AE155" s="105"/>
      <c r="AF155" s="105"/>
    </row>
    <row r="156" spans="1:32" ht="23.1" customHeight="1">
      <c r="A156" s="291"/>
      <c r="B156" s="292"/>
      <c r="C156" s="293"/>
      <c r="D156" s="94"/>
      <c r="E156" s="94"/>
      <c r="F156" s="294"/>
      <c r="G156" s="94"/>
      <c r="H156" s="94"/>
      <c r="I156" s="2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105"/>
      <c r="Y156" s="105"/>
      <c r="Z156" s="105"/>
      <c r="AA156" s="105"/>
      <c r="AB156" s="105"/>
      <c r="AC156" s="105"/>
      <c r="AD156" s="105"/>
      <c r="AE156" s="105"/>
      <c r="AF156" s="105"/>
    </row>
    <row r="157" spans="1:32" ht="23.1" customHeight="1">
      <c r="A157" s="291"/>
      <c r="B157" s="292"/>
      <c r="C157" s="293"/>
      <c r="D157" s="94"/>
      <c r="E157" s="94"/>
      <c r="F157" s="294"/>
      <c r="G157" s="94"/>
      <c r="H157" s="94"/>
      <c r="I157" s="2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105"/>
      <c r="Y157" s="105"/>
      <c r="Z157" s="105"/>
      <c r="AA157" s="105"/>
      <c r="AB157" s="105"/>
      <c r="AC157" s="105"/>
      <c r="AD157" s="105"/>
      <c r="AE157" s="105"/>
      <c r="AF157" s="105"/>
    </row>
    <row r="158" spans="1:32" ht="23.1" customHeight="1">
      <c r="A158" s="291"/>
      <c r="B158" s="292"/>
      <c r="C158" s="293"/>
      <c r="D158" s="94"/>
      <c r="E158" s="94"/>
      <c r="F158" s="294"/>
      <c r="G158" s="94"/>
      <c r="H158" s="94"/>
      <c r="I158" s="2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105"/>
      <c r="Y158" s="105"/>
      <c r="Z158" s="105"/>
      <c r="AA158" s="105"/>
      <c r="AB158" s="105"/>
      <c r="AC158" s="105"/>
      <c r="AD158" s="105"/>
      <c r="AE158" s="105"/>
      <c r="AF158" s="105"/>
    </row>
    <row r="159" spans="1:32" ht="23.1" customHeight="1">
      <c r="A159" s="291"/>
      <c r="B159" s="292"/>
      <c r="C159" s="293"/>
      <c r="D159" s="94"/>
      <c r="E159" s="94"/>
      <c r="F159" s="294"/>
      <c r="G159" s="94"/>
      <c r="H159" s="94"/>
      <c r="I159" s="2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105"/>
      <c r="Y159" s="105"/>
      <c r="Z159" s="105"/>
      <c r="AA159" s="105"/>
      <c r="AB159" s="105"/>
      <c r="AC159" s="105"/>
      <c r="AD159" s="105"/>
      <c r="AE159" s="105"/>
      <c r="AF159" s="105"/>
    </row>
    <row r="160" spans="1:32" ht="23.1" customHeight="1">
      <c r="A160" s="291"/>
      <c r="B160" s="292"/>
      <c r="C160" s="293"/>
      <c r="D160" s="94"/>
      <c r="E160" s="94"/>
      <c r="F160" s="294"/>
      <c r="G160" s="94"/>
      <c r="H160" s="94"/>
      <c r="I160" s="2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105"/>
      <c r="Y160" s="105"/>
      <c r="Z160" s="105"/>
      <c r="AA160" s="105"/>
      <c r="AB160" s="105"/>
      <c r="AC160" s="105"/>
      <c r="AD160" s="105"/>
      <c r="AE160" s="105"/>
      <c r="AF160" s="105"/>
    </row>
    <row r="161" spans="1:32" ht="23.1" customHeight="1">
      <c r="A161" s="291"/>
      <c r="B161" s="292"/>
      <c r="C161" s="293"/>
      <c r="D161" s="94"/>
      <c r="E161" s="94"/>
      <c r="F161" s="294"/>
      <c r="G161" s="94"/>
      <c r="H161" s="94"/>
      <c r="I161" s="2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105"/>
      <c r="Y161" s="105"/>
      <c r="Z161" s="105"/>
      <c r="AA161" s="105"/>
      <c r="AB161" s="105"/>
      <c r="AC161" s="105"/>
      <c r="AD161" s="105"/>
      <c r="AE161" s="105"/>
      <c r="AF161" s="105"/>
    </row>
    <row r="162" spans="1:32" ht="23.1" customHeight="1">
      <c r="A162" s="291"/>
      <c r="B162" s="292"/>
      <c r="C162" s="293"/>
      <c r="D162" s="94"/>
      <c r="E162" s="94"/>
      <c r="F162" s="294"/>
      <c r="G162" s="94"/>
      <c r="H162" s="94"/>
      <c r="I162" s="2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105"/>
      <c r="Y162" s="105"/>
      <c r="Z162" s="105"/>
      <c r="AA162" s="105"/>
      <c r="AB162" s="105"/>
      <c r="AC162" s="105"/>
      <c r="AD162" s="105"/>
      <c r="AE162" s="105"/>
      <c r="AF162" s="105"/>
    </row>
    <row r="163" spans="1:32" ht="23.1" customHeight="1">
      <c r="A163" s="291"/>
      <c r="B163" s="292"/>
      <c r="C163" s="293"/>
      <c r="D163" s="94"/>
      <c r="E163" s="94"/>
      <c r="F163" s="294"/>
      <c r="G163" s="94"/>
      <c r="H163" s="94"/>
      <c r="I163" s="2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105"/>
      <c r="Y163" s="105"/>
      <c r="Z163" s="105"/>
      <c r="AA163" s="105"/>
      <c r="AB163" s="105"/>
      <c r="AC163" s="105"/>
      <c r="AD163" s="105"/>
      <c r="AE163" s="105"/>
      <c r="AF163" s="105"/>
    </row>
    <row r="164" spans="1:32" ht="23.1" customHeight="1">
      <c r="A164" s="291"/>
      <c r="B164" s="292"/>
      <c r="C164" s="293"/>
      <c r="D164" s="94"/>
      <c r="E164" s="94"/>
      <c r="F164" s="294"/>
      <c r="G164" s="94"/>
      <c r="H164" s="94"/>
      <c r="I164" s="2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105"/>
      <c r="Y164" s="105"/>
      <c r="Z164" s="105"/>
      <c r="AA164" s="105"/>
      <c r="AB164" s="105"/>
      <c r="AC164" s="105"/>
      <c r="AD164" s="105"/>
      <c r="AE164" s="105"/>
      <c r="AF164" s="105"/>
    </row>
    <row r="165" spans="1:32" ht="23.1" customHeight="1">
      <c r="A165" s="291"/>
      <c r="B165" s="292"/>
      <c r="C165" s="293"/>
      <c r="D165" s="94"/>
      <c r="E165" s="94"/>
      <c r="F165" s="294"/>
      <c r="G165" s="94"/>
      <c r="H165" s="94"/>
      <c r="I165" s="2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105"/>
      <c r="Y165" s="105"/>
      <c r="Z165" s="105"/>
      <c r="AA165" s="105"/>
      <c r="AB165" s="105"/>
      <c r="AC165" s="105"/>
      <c r="AD165" s="105"/>
      <c r="AE165" s="105"/>
      <c r="AF165" s="105"/>
    </row>
    <row r="166" spans="1:32" ht="23.1" customHeight="1">
      <c r="A166" s="291"/>
      <c r="B166" s="292"/>
      <c r="C166" s="293"/>
      <c r="D166" s="94"/>
      <c r="E166" s="94"/>
      <c r="F166" s="294"/>
      <c r="G166" s="94"/>
      <c r="H166" s="94"/>
      <c r="I166" s="2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105"/>
      <c r="Y166" s="105"/>
      <c r="Z166" s="105"/>
      <c r="AA166" s="105"/>
      <c r="AB166" s="105"/>
      <c r="AC166" s="105"/>
      <c r="AD166" s="105"/>
      <c r="AE166" s="105"/>
      <c r="AF166" s="105"/>
    </row>
    <row r="167" spans="1:32" ht="23.1" customHeight="1">
      <c r="A167" s="291"/>
      <c r="B167" s="292"/>
      <c r="C167" s="293"/>
      <c r="D167" s="94"/>
      <c r="E167" s="94"/>
      <c r="F167" s="294"/>
      <c r="G167" s="94"/>
      <c r="H167" s="94"/>
      <c r="I167" s="2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105"/>
      <c r="Y167" s="105"/>
      <c r="Z167" s="105"/>
      <c r="AA167" s="105"/>
      <c r="AB167" s="105"/>
      <c r="AC167" s="105"/>
      <c r="AD167" s="105"/>
      <c r="AE167" s="105"/>
      <c r="AF167" s="105"/>
    </row>
    <row r="168" spans="1:32" ht="23.1" customHeight="1">
      <c r="A168" s="291"/>
      <c r="B168" s="292"/>
      <c r="C168" s="293"/>
      <c r="D168" s="94"/>
      <c r="E168" s="94"/>
      <c r="F168" s="294"/>
      <c r="G168" s="94"/>
      <c r="H168" s="94"/>
      <c r="I168" s="2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105"/>
      <c r="Y168" s="105"/>
      <c r="Z168" s="105"/>
      <c r="AA168" s="105"/>
      <c r="AB168" s="105"/>
      <c r="AC168" s="105"/>
      <c r="AD168" s="105"/>
      <c r="AE168" s="105"/>
      <c r="AF168" s="105"/>
    </row>
    <row r="169" spans="1:32" ht="23.1" customHeight="1">
      <c r="A169" s="291"/>
      <c r="B169" s="292"/>
      <c r="C169" s="293"/>
      <c r="D169" s="94"/>
      <c r="E169" s="94"/>
      <c r="F169" s="294"/>
      <c r="G169" s="94"/>
      <c r="H169" s="94"/>
      <c r="I169" s="2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105"/>
      <c r="Y169" s="105"/>
      <c r="Z169" s="105"/>
      <c r="AA169" s="105"/>
      <c r="AB169" s="105"/>
      <c r="AC169" s="105"/>
      <c r="AD169" s="105"/>
      <c r="AE169" s="105"/>
      <c r="AF169" s="105"/>
    </row>
    <row r="170" spans="1:32" ht="23.1" customHeight="1">
      <c r="A170" s="291"/>
      <c r="B170" s="292"/>
      <c r="C170" s="293"/>
      <c r="D170" s="94"/>
      <c r="E170" s="94"/>
      <c r="F170" s="294"/>
      <c r="G170" s="94"/>
      <c r="H170" s="94"/>
      <c r="I170" s="2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105"/>
      <c r="Y170" s="105"/>
      <c r="Z170" s="105"/>
      <c r="AA170" s="105"/>
      <c r="AB170" s="105"/>
      <c r="AC170" s="105"/>
      <c r="AD170" s="105"/>
      <c r="AE170" s="105"/>
      <c r="AF170" s="105"/>
    </row>
    <row r="171" spans="1:32" ht="23.1" customHeight="1">
      <c r="A171" s="291"/>
      <c r="B171" s="292"/>
      <c r="C171" s="293"/>
      <c r="D171" s="94"/>
      <c r="E171" s="94"/>
      <c r="F171" s="294"/>
      <c r="G171" s="94"/>
      <c r="H171" s="94"/>
      <c r="I171" s="2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105"/>
      <c r="Y171" s="105"/>
      <c r="Z171" s="105"/>
      <c r="AA171" s="105"/>
      <c r="AB171" s="105"/>
      <c r="AC171" s="105"/>
      <c r="AD171" s="105"/>
      <c r="AE171" s="105"/>
      <c r="AF171" s="105"/>
    </row>
    <row r="172" spans="1:32" ht="23.1" customHeight="1">
      <c r="A172" s="291"/>
      <c r="B172" s="292"/>
      <c r="C172" s="293"/>
      <c r="D172" s="94"/>
      <c r="E172" s="94"/>
      <c r="F172" s="294"/>
      <c r="G172" s="94"/>
      <c r="H172" s="94"/>
      <c r="I172" s="2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105"/>
      <c r="Y172" s="105"/>
      <c r="Z172" s="105"/>
      <c r="AA172" s="105"/>
      <c r="AB172" s="105"/>
      <c r="AC172" s="105"/>
      <c r="AD172" s="105"/>
      <c r="AE172" s="105"/>
      <c r="AF172" s="105"/>
    </row>
    <row r="173" spans="1:32" ht="23.1" customHeight="1">
      <c r="A173" s="291"/>
      <c r="B173" s="292"/>
      <c r="C173" s="293"/>
      <c r="D173" s="94"/>
      <c r="E173" s="94"/>
      <c r="F173" s="294"/>
      <c r="G173" s="94"/>
      <c r="H173" s="94"/>
      <c r="I173" s="2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105"/>
      <c r="Y173" s="105"/>
      <c r="Z173" s="105"/>
      <c r="AA173" s="105"/>
      <c r="AB173" s="105"/>
      <c r="AC173" s="105"/>
      <c r="AD173" s="105"/>
      <c r="AE173" s="105"/>
      <c r="AF173" s="105"/>
    </row>
    <row r="174" spans="1:32" ht="23.1" customHeight="1">
      <c r="A174" s="291"/>
      <c r="B174" s="292"/>
      <c r="C174" s="293"/>
      <c r="D174" s="94"/>
      <c r="E174" s="94"/>
      <c r="F174" s="294"/>
      <c r="G174" s="94"/>
      <c r="H174" s="94"/>
      <c r="I174" s="2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105"/>
      <c r="Y174" s="105"/>
      <c r="Z174" s="105"/>
      <c r="AA174" s="105"/>
      <c r="AB174" s="105"/>
      <c r="AC174" s="105"/>
      <c r="AD174" s="105"/>
      <c r="AE174" s="105"/>
      <c r="AF174" s="105"/>
    </row>
    <row r="175" spans="1:32" ht="23.1" customHeight="1">
      <c r="A175" s="291"/>
      <c r="B175" s="292"/>
      <c r="C175" s="293"/>
      <c r="D175" s="94"/>
      <c r="E175" s="94"/>
      <c r="F175" s="294"/>
      <c r="G175" s="94"/>
      <c r="H175" s="94"/>
      <c r="I175" s="2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105"/>
      <c r="Y175" s="105"/>
      <c r="Z175" s="105"/>
      <c r="AA175" s="105"/>
      <c r="AB175" s="105"/>
      <c r="AC175" s="105"/>
      <c r="AD175" s="105"/>
      <c r="AE175" s="105"/>
      <c r="AF175" s="105"/>
    </row>
    <row r="176" spans="1:32" ht="23.1" customHeight="1">
      <c r="A176" s="291"/>
      <c r="B176" s="292"/>
      <c r="C176" s="293"/>
      <c r="D176" s="94"/>
      <c r="E176" s="94"/>
      <c r="F176" s="294"/>
      <c r="G176" s="94"/>
      <c r="H176" s="94"/>
      <c r="I176" s="2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105"/>
      <c r="Y176" s="105"/>
      <c r="Z176" s="105"/>
      <c r="AA176" s="105"/>
      <c r="AB176" s="105"/>
      <c r="AC176" s="105"/>
      <c r="AD176" s="105"/>
      <c r="AE176" s="105"/>
      <c r="AF176" s="105"/>
    </row>
    <row r="177" spans="1:32" ht="23.1" customHeight="1">
      <c r="A177" s="291"/>
      <c r="B177" s="292"/>
      <c r="C177" s="293"/>
      <c r="D177" s="94"/>
      <c r="E177" s="94"/>
      <c r="F177" s="294"/>
      <c r="G177" s="94"/>
      <c r="H177" s="94"/>
      <c r="I177" s="2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105"/>
      <c r="Y177" s="105"/>
      <c r="Z177" s="105"/>
      <c r="AA177" s="105"/>
      <c r="AB177" s="105"/>
      <c r="AC177" s="105"/>
      <c r="AD177" s="105"/>
      <c r="AE177" s="105"/>
      <c r="AF177" s="105"/>
    </row>
    <row r="178" spans="1:32" ht="23.1" customHeight="1">
      <c r="A178" s="291"/>
      <c r="B178" s="292"/>
      <c r="C178" s="293"/>
      <c r="D178" s="94"/>
      <c r="E178" s="94"/>
      <c r="F178" s="294"/>
      <c r="G178" s="94"/>
      <c r="H178" s="94"/>
      <c r="I178" s="2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105"/>
      <c r="Y178" s="105"/>
      <c r="Z178" s="105"/>
      <c r="AA178" s="105"/>
      <c r="AB178" s="105"/>
      <c r="AC178" s="105"/>
      <c r="AD178" s="105"/>
      <c r="AE178" s="105"/>
      <c r="AF178" s="105"/>
    </row>
    <row r="179" spans="1:32" ht="23.1" customHeight="1">
      <c r="A179" s="291"/>
      <c r="B179" s="292"/>
      <c r="C179" s="293"/>
      <c r="D179" s="94"/>
      <c r="E179" s="94"/>
      <c r="F179" s="294"/>
      <c r="G179" s="94"/>
      <c r="H179" s="94"/>
      <c r="I179" s="2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105"/>
      <c r="Y179" s="105"/>
      <c r="Z179" s="105"/>
      <c r="AA179" s="105"/>
      <c r="AB179" s="105"/>
      <c r="AC179" s="105"/>
      <c r="AD179" s="105"/>
      <c r="AE179" s="105"/>
      <c r="AF179" s="105"/>
    </row>
    <row r="180" spans="1:32" ht="23.1" customHeight="1">
      <c r="A180" s="291"/>
      <c r="B180" s="292"/>
      <c r="C180" s="293"/>
      <c r="D180" s="94"/>
      <c r="E180" s="94"/>
      <c r="F180" s="294"/>
      <c r="G180" s="94"/>
      <c r="H180" s="94"/>
      <c r="I180" s="2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105"/>
      <c r="Y180" s="105"/>
      <c r="Z180" s="105"/>
      <c r="AA180" s="105"/>
      <c r="AB180" s="105"/>
      <c r="AC180" s="105"/>
      <c r="AD180" s="105"/>
      <c r="AE180" s="105"/>
      <c r="AF180" s="105"/>
    </row>
    <row r="181" spans="1:32" ht="23.1" customHeight="1">
      <c r="A181" s="291"/>
      <c r="B181" s="292"/>
      <c r="C181" s="293"/>
      <c r="D181" s="94"/>
      <c r="E181" s="94"/>
      <c r="F181" s="294"/>
      <c r="G181" s="94"/>
      <c r="H181" s="94"/>
      <c r="I181" s="2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105"/>
      <c r="Y181" s="105"/>
      <c r="Z181" s="105"/>
      <c r="AA181" s="105"/>
      <c r="AB181" s="105"/>
      <c r="AC181" s="105"/>
      <c r="AD181" s="105"/>
      <c r="AE181" s="105"/>
      <c r="AF181" s="105"/>
    </row>
    <row r="182" spans="1:32" ht="23.1" customHeight="1">
      <c r="A182" s="291"/>
      <c r="B182" s="292"/>
      <c r="C182" s="293"/>
      <c r="D182" s="94"/>
      <c r="E182" s="94"/>
      <c r="F182" s="294"/>
      <c r="G182" s="94"/>
      <c r="H182" s="94"/>
      <c r="I182" s="2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105"/>
      <c r="Y182" s="105"/>
      <c r="Z182" s="105"/>
      <c r="AA182" s="105"/>
      <c r="AB182" s="105"/>
      <c r="AC182" s="105"/>
      <c r="AD182" s="105"/>
      <c r="AE182" s="105"/>
      <c r="AF182" s="105"/>
    </row>
    <row r="183" spans="1:32" ht="23.1" customHeight="1">
      <c r="A183" s="291"/>
      <c r="B183" s="292"/>
      <c r="C183" s="293"/>
      <c r="D183" s="94"/>
      <c r="E183" s="94"/>
      <c r="F183" s="294"/>
      <c r="G183" s="94"/>
      <c r="H183" s="94"/>
      <c r="I183" s="2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105"/>
      <c r="Y183" s="105"/>
      <c r="Z183" s="105"/>
      <c r="AA183" s="105"/>
      <c r="AB183" s="105"/>
      <c r="AC183" s="105"/>
      <c r="AD183" s="105"/>
      <c r="AE183" s="105"/>
      <c r="AF183" s="105"/>
    </row>
    <row r="184" spans="1:32" ht="23.1" customHeight="1">
      <c r="A184" s="291"/>
      <c r="B184" s="292"/>
      <c r="C184" s="293"/>
      <c r="D184" s="94"/>
      <c r="E184" s="94"/>
      <c r="F184" s="294"/>
      <c r="G184" s="94"/>
      <c r="H184" s="94"/>
      <c r="I184" s="2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105"/>
      <c r="Y184" s="105"/>
      <c r="Z184" s="105"/>
      <c r="AA184" s="105"/>
      <c r="AB184" s="105"/>
      <c r="AC184" s="105"/>
      <c r="AD184" s="105"/>
      <c r="AE184" s="105"/>
      <c r="AF184" s="105"/>
    </row>
    <row r="185" spans="1:32" ht="23.1" customHeight="1">
      <c r="A185" s="291"/>
      <c r="B185" s="292"/>
      <c r="C185" s="293"/>
      <c r="D185" s="94"/>
      <c r="E185" s="94"/>
      <c r="F185" s="294"/>
      <c r="G185" s="94"/>
      <c r="H185" s="94"/>
      <c r="I185" s="2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105"/>
      <c r="Y185" s="105"/>
      <c r="Z185" s="105"/>
      <c r="AA185" s="105"/>
      <c r="AB185" s="105"/>
      <c r="AC185" s="105"/>
      <c r="AD185" s="105"/>
      <c r="AE185" s="105"/>
      <c r="AF185" s="105"/>
    </row>
    <row r="186" spans="1:32" ht="23.1" customHeight="1">
      <c r="A186" s="291"/>
      <c r="B186" s="292"/>
      <c r="C186" s="293"/>
      <c r="D186" s="94"/>
      <c r="E186" s="94"/>
      <c r="F186" s="294"/>
      <c r="G186" s="94"/>
      <c r="H186" s="94"/>
      <c r="I186" s="2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105"/>
      <c r="Y186" s="105"/>
      <c r="Z186" s="105"/>
      <c r="AA186" s="105"/>
      <c r="AB186" s="105"/>
      <c r="AC186" s="105"/>
      <c r="AD186" s="105"/>
      <c r="AE186" s="105"/>
      <c r="AF186" s="105"/>
    </row>
    <row r="187" spans="1:32" ht="23.1" customHeight="1">
      <c r="A187" s="291"/>
      <c r="B187" s="292"/>
      <c r="C187" s="293"/>
      <c r="D187" s="94"/>
      <c r="E187" s="94"/>
      <c r="F187" s="294"/>
      <c r="G187" s="94"/>
      <c r="H187" s="94"/>
      <c r="I187" s="2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105"/>
      <c r="Y187" s="105"/>
      <c r="Z187" s="105"/>
      <c r="AA187" s="105"/>
      <c r="AB187" s="105"/>
      <c r="AC187" s="105"/>
      <c r="AD187" s="105"/>
      <c r="AE187" s="105"/>
      <c r="AF187" s="105"/>
    </row>
    <row r="188" spans="1:32" ht="23.1" customHeight="1">
      <c r="A188" s="291"/>
      <c r="B188" s="292"/>
      <c r="C188" s="293"/>
      <c r="D188" s="94"/>
      <c r="E188" s="94"/>
      <c r="F188" s="294"/>
      <c r="G188" s="94"/>
      <c r="H188" s="94"/>
      <c r="I188" s="2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105"/>
      <c r="Y188" s="105"/>
      <c r="Z188" s="105"/>
      <c r="AA188" s="105"/>
      <c r="AB188" s="105"/>
      <c r="AC188" s="105"/>
      <c r="AD188" s="105"/>
      <c r="AE188" s="105"/>
      <c r="AF188" s="105"/>
    </row>
    <row r="189" spans="1:32" ht="23.1" customHeight="1">
      <c r="A189" s="291"/>
      <c r="B189" s="292"/>
      <c r="C189" s="293"/>
      <c r="D189" s="94"/>
      <c r="E189" s="94"/>
      <c r="F189" s="294"/>
      <c r="G189" s="94"/>
      <c r="H189" s="94"/>
      <c r="I189" s="2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105"/>
      <c r="Y189" s="105"/>
      <c r="Z189" s="105"/>
      <c r="AA189" s="105"/>
      <c r="AB189" s="105"/>
      <c r="AC189" s="105"/>
      <c r="AD189" s="105"/>
      <c r="AE189" s="105"/>
      <c r="AF189" s="105"/>
    </row>
    <row r="190" spans="1:32" ht="23.1" customHeight="1">
      <c r="A190" s="291"/>
      <c r="B190" s="292"/>
      <c r="C190" s="293"/>
      <c r="D190" s="94"/>
      <c r="E190" s="94"/>
      <c r="F190" s="294"/>
      <c r="G190" s="94"/>
      <c r="H190" s="94"/>
      <c r="I190" s="2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105"/>
      <c r="Y190" s="105"/>
      <c r="Z190" s="105"/>
      <c r="AA190" s="105"/>
      <c r="AB190" s="105"/>
      <c r="AC190" s="105"/>
      <c r="AD190" s="105"/>
      <c r="AE190" s="105"/>
      <c r="AF190" s="105"/>
    </row>
    <row r="191" spans="1:32" ht="23.1" customHeight="1">
      <c r="A191" s="291"/>
      <c r="B191" s="292"/>
      <c r="C191" s="293"/>
      <c r="D191" s="94"/>
      <c r="E191" s="94"/>
      <c r="F191" s="294"/>
      <c r="G191" s="94"/>
      <c r="H191" s="94"/>
      <c r="I191" s="2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105"/>
      <c r="Y191" s="105"/>
      <c r="Z191" s="105"/>
      <c r="AA191" s="105"/>
      <c r="AB191" s="105"/>
      <c r="AC191" s="105"/>
      <c r="AD191" s="105"/>
      <c r="AE191" s="105"/>
      <c r="AF191" s="105"/>
    </row>
    <row r="192" spans="1:32" ht="23.1" customHeight="1">
      <c r="A192" s="291"/>
      <c r="B192" s="292"/>
      <c r="C192" s="293"/>
      <c r="D192" s="94"/>
      <c r="E192" s="94"/>
      <c r="F192" s="294"/>
      <c r="G192" s="94"/>
      <c r="H192" s="94"/>
      <c r="I192" s="2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105"/>
      <c r="Y192" s="105"/>
      <c r="Z192" s="105"/>
      <c r="AA192" s="105"/>
      <c r="AB192" s="105"/>
      <c r="AC192" s="105"/>
      <c r="AD192" s="105"/>
      <c r="AE192" s="105"/>
      <c r="AF192" s="105"/>
    </row>
    <row r="193" spans="1:32" ht="23.1" customHeight="1">
      <c r="A193" s="291"/>
      <c r="B193" s="292"/>
      <c r="C193" s="293"/>
      <c r="D193" s="94"/>
      <c r="E193" s="94"/>
      <c r="F193" s="294"/>
      <c r="G193" s="94"/>
      <c r="H193" s="94"/>
      <c r="I193" s="2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105"/>
      <c r="Y193" s="105"/>
      <c r="Z193" s="105"/>
      <c r="AA193" s="105"/>
      <c r="AB193" s="105"/>
      <c r="AC193" s="105"/>
      <c r="AD193" s="105"/>
      <c r="AE193" s="105"/>
      <c r="AF193" s="105"/>
    </row>
    <row r="194" spans="1:32" ht="23.1" customHeight="1">
      <c r="A194" s="291"/>
      <c r="B194" s="292"/>
      <c r="C194" s="293"/>
      <c r="D194" s="94"/>
      <c r="E194" s="94"/>
      <c r="F194" s="294"/>
      <c r="G194" s="94"/>
      <c r="H194" s="94"/>
      <c r="I194" s="2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105"/>
      <c r="Y194" s="105"/>
      <c r="Z194" s="105"/>
      <c r="AA194" s="105"/>
      <c r="AB194" s="105"/>
      <c r="AC194" s="105"/>
      <c r="AD194" s="105"/>
      <c r="AE194" s="105"/>
      <c r="AF194" s="105"/>
    </row>
    <row r="195" spans="1:32" ht="23.1" customHeight="1">
      <c r="A195" s="291"/>
      <c r="B195" s="292"/>
      <c r="C195" s="293"/>
      <c r="D195" s="94"/>
      <c r="E195" s="94"/>
      <c r="F195" s="294"/>
      <c r="G195" s="94"/>
      <c r="H195" s="94"/>
      <c r="I195" s="2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105"/>
      <c r="Y195" s="105"/>
      <c r="Z195" s="105"/>
      <c r="AA195" s="105"/>
      <c r="AB195" s="105"/>
      <c r="AC195" s="105"/>
      <c r="AD195" s="105"/>
      <c r="AE195" s="105"/>
      <c r="AF195" s="105"/>
    </row>
    <row r="196" spans="1:32" ht="23.1" customHeight="1">
      <c r="A196" s="291"/>
      <c r="B196" s="292"/>
      <c r="C196" s="293"/>
      <c r="D196" s="94"/>
      <c r="E196" s="94"/>
      <c r="F196" s="294"/>
      <c r="G196" s="94"/>
      <c r="H196" s="94"/>
      <c r="I196" s="2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105"/>
      <c r="Y196" s="105"/>
      <c r="Z196" s="105"/>
      <c r="AA196" s="105"/>
      <c r="AB196" s="105"/>
      <c r="AC196" s="105"/>
      <c r="AD196" s="105"/>
      <c r="AE196" s="105"/>
      <c r="AF196" s="105"/>
    </row>
    <row r="197" spans="1:32" ht="23.1" customHeight="1">
      <c r="A197" s="291"/>
      <c r="B197" s="292"/>
      <c r="C197" s="293"/>
      <c r="D197" s="94"/>
      <c r="E197" s="94"/>
      <c r="F197" s="294"/>
      <c r="G197" s="94"/>
      <c r="H197" s="94"/>
      <c r="I197" s="2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105"/>
      <c r="Y197" s="105"/>
      <c r="Z197" s="105"/>
      <c r="AA197" s="105"/>
      <c r="AB197" s="105"/>
      <c r="AC197" s="105"/>
      <c r="AD197" s="105"/>
      <c r="AE197" s="105"/>
      <c r="AF197" s="105"/>
    </row>
    <row r="198" spans="1:32" ht="23.1" customHeight="1">
      <c r="A198" s="291"/>
      <c r="B198" s="292"/>
      <c r="C198" s="293"/>
      <c r="D198" s="94"/>
      <c r="E198" s="94"/>
      <c r="F198" s="294"/>
      <c r="G198" s="94"/>
      <c r="H198" s="94"/>
      <c r="I198" s="2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105"/>
      <c r="Y198" s="105"/>
      <c r="Z198" s="105"/>
      <c r="AA198" s="105"/>
      <c r="AB198" s="105"/>
      <c r="AC198" s="105"/>
      <c r="AD198" s="105"/>
      <c r="AE198" s="105"/>
      <c r="AF198" s="105"/>
    </row>
    <row r="199" spans="1:32" ht="23.1" customHeight="1">
      <c r="A199" s="291"/>
      <c r="B199" s="292"/>
      <c r="C199" s="293"/>
      <c r="D199" s="94"/>
      <c r="E199" s="94"/>
      <c r="F199" s="294"/>
      <c r="G199" s="94"/>
      <c r="H199" s="94"/>
      <c r="I199" s="2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105"/>
      <c r="Y199" s="105"/>
      <c r="Z199" s="105"/>
      <c r="AA199" s="105"/>
      <c r="AB199" s="105"/>
      <c r="AC199" s="105"/>
      <c r="AD199" s="105"/>
      <c r="AE199" s="105"/>
      <c r="AF199" s="105"/>
    </row>
    <row r="200" spans="1:32" ht="23.1" customHeight="1">
      <c r="A200" s="291"/>
      <c r="B200" s="292"/>
      <c r="C200" s="293"/>
      <c r="D200" s="94"/>
      <c r="E200" s="94"/>
      <c r="F200" s="294"/>
      <c r="G200" s="94"/>
      <c r="H200" s="94"/>
      <c r="I200" s="2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105"/>
      <c r="Y200" s="105"/>
      <c r="Z200" s="105"/>
      <c r="AA200" s="105"/>
      <c r="AB200" s="105"/>
      <c r="AC200" s="105"/>
      <c r="AD200" s="105"/>
      <c r="AE200" s="105"/>
      <c r="AF200" s="105"/>
    </row>
    <row r="201" spans="1:32" ht="23.1" customHeight="1">
      <c r="A201" s="291"/>
      <c r="B201" s="292"/>
      <c r="C201" s="293"/>
      <c r="D201" s="94"/>
      <c r="E201" s="94"/>
      <c r="F201" s="294"/>
      <c r="G201" s="94"/>
      <c r="H201" s="94"/>
      <c r="I201" s="2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105"/>
      <c r="Y201" s="105"/>
      <c r="Z201" s="105"/>
      <c r="AA201" s="105"/>
      <c r="AB201" s="105"/>
      <c r="AC201" s="105"/>
      <c r="AD201" s="105"/>
      <c r="AE201" s="105"/>
      <c r="AF201" s="105"/>
    </row>
    <row r="202" spans="1:32" ht="23.1" customHeight="1">
      <c r="A202" s="291"/>
      <c r="B202" s="292"/>
      <c r="C202" s="293"/>
      <c r="D202" s="94"/>
      <c r="E202" s="94"/>
      <c r="F202" s="294"/>
      <c r="G202" s="94"/>
      <c r="H202" s="94"/>
      <c r="I202" s="2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105"/>
      <c r="Y202" s="105"/>
      <c r="Z202" s="105"/>
      <c r="AA202" s="105"/>
      <c r="AB202" s="105"/>
      <c r="AC202" s="105"/>
      <c r="AD202" s="105"/>
      <c r="AE202" s="105"/>
      <c r="AF202" s="105"/>
    </row>
    <row r="203" spans="1:32" ht="23.1" customHeight="1">
      <c r="A203" s="291"/>
      <c r="B203" s="292"/>
      <c r="C203" s="293"/>
      <c r="D203" s="94"/>
      <c r="E203" s="94"/>
      <c r="F203" s="294"/>
      <c r="G203" s="94"/>
      <c r="H203" s="94"/>
      <c r="I203" s="2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105"/>
      <c r="Y203" s="105"/>
      <c r="Z203" s="105"/>
      <c r="AA203" s="105"/>
      <c r="AB203" s="105"/>
      <c r="AC203" s="105"/>
      <c r="AD203" s="105"/>
      <c r="AE203" s="105"/>
      <c r="AF203" s="105"/>
    </row>
    <row r="204" spans="1:32" ht="23.1" customHeight="1">
      <c r="A204" s="291"/>
      <c r="B204" s="292"/>
      <c r="C204" s="293"/>
      <c r="D204" s="94"/>
      <c r="E204" s="94"/>
      <c r="F204" s="294"/>
      <c r="G204" s="94"/>
      <c r="H204" s="94"/>
      <c r="I204" s="2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105"/>
      <c r="Y204" s="105"/>
      <c r="Z204" s="105"/>
      <c r="AA204" s="105"/>
      <c r="AB204" s="105"/>
      <c r="AC204" s="105"/>
      <c r="AD204" s="105"/>
      <c r="AE204" s="105"/>
      <c r="AF204" s="105"/>
    </row>
    <row r="205" spans="1:32" ht="23.1" customHeight="1">
      <c r="A205" s="291"/>
      <c r="B205" s="292"/>
      <c r="C205" s="293"/>
      <c r="D205" s="94"/>
      <c r="E205" s="94"/>
      <c r="F205" s="294"/>
      <c r="G205" s="94"/>
      <c r="H205" s="94"/>
      <c r="I205" s="2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105"/>
      <c r="Y205" s="105"/>
      <c r="Z205" s="105"/>
      <c r="AA205" s="105"/>
      <c r="AB205" s="105"/>
      <c r="AC205" s="105"/>
      <c r="AD205" s="105"/>
      <c r="AE205" s="105"/>
      <c r="AF205" s="105"/>
    </row>
    <row r="206" spans="1:32" ht="23.1" customHeight="1">
      <c r="A206" s="291"/>
      <c r="B206" s="292"/>
      <c r="C206" s="293"/>
      <c r="D206" s="94"/>
      <c r="E206" s="94"/>
      <c r="F206" s="294"/>
      <c r="G206" s="94"/>
      <c r="H206" s="94"/>
      <c r="I206" s="2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105"/>
      <c r="Y206" s="105"/>
      <c r="Z206" s="105"/>
      <c r="AA206" s="105"/>
      <c r="AB206" s="105"/>
      <c r="AC206" s="105"/>
      <c r="AD206" s="105"/>
      <c r="AE206" s="105"/>
      <c r="AF206" s="105"/>
    </row>
    <row r="207" spans="1:32" ht="23.1" customHeight="1">
      <c r="A207" s="291"/>
      <c r="B207" s="292"/>
      <c r="C207" s="293"/>
      <c r="D207" s="94"/>
      <c r="E207" s="94"/>
      <c r="F207" s="294"/>
      <c r="G207" s="94"/>
      <c r="H207" s="94"/>
      <c r="I207" s="2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105"/>
      <c r="Y207" s="105"/>
      <c r="Z207" s="105"/>
      <c r="AA207" s="105"/>
      <c r="AB207" s="105"/>
      <c r="AC207" s="105"/>
      <c r="AD207" s="105"/>
      <c r="AE207" s="105"/>
      <c r="AF207" s="105"/>
    </row>
    <row r="208" spans="1:32" ht="23.1" customHeight="1">
      <c r="A208" s="291"/>
      <c r="B208" s="292"/>
      <c r="C208" s="293"/>
      <c r="D208" s="94"/>
      <c r="E208" s="94"/>
      <c r="F208" s="294"/>
      <c r="G208" s="94"/>
      <c r="H208" s="94"/>
      <c r="I208" s="2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105"/>
      <c r="Y208" s="105"/>
      <c r="Z208" s="105"/>
      <c r="AA208" s="105"/>
      <c r="AB208" s="105"/>
      <c r="AC208" s="105"/>
      <c r="AD208" s="105"/>
      <c r="AE208" s="105"/>
      <c r="AF208" s="105"/>
    </row>
    <row r="209" spans="1:32" ht="23.1" customHeight="1">
      <c r="A209" s="291"/>
      <c r="B209" s="292"/>
      <c r="C209" s="293"/>
      <c r="D209" s="94"/>
      <c r="E209" s="94"/>
      <c r="F209" s="294"/>
      <c r="G209" s="94"/>
      <c r="H209" s="94"/>
      <c r="I209" s="2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105"/>
      <c r="Y209" s="105"/>
      <c r="Z209" s="105"/>
      <c r="AA209" s="105"/>
      <c r="AB209" s="105"/>
      <c r="AC209" s="105"/>
      <c r="AD209" s="105"/>
      <c r="AE209" s="105"/>
      <c r="AF209" s="105"/>
    </row>
    <row r="210" spans="1:32" ht="23.1" customHeight="1">
      <c r="A210" s="291"/>
      <c r="B210" s="292"/>
      <c r="C210" s="293"/>
      <c r="D210" s="94"/>
      <c r="E210" s="94"/>
      <c r="F210" s="294"/>
      <c r="G210" s="94"/>
      <c r="H210" s="94"/>
      <c r="I210" s="2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105"/>
      <c r="Y210" s="105"/>
      <c r="Z210" s="105"/>
      <c r="AA210" s="105"/>
      <c r="AB210" s="105"/>
      <c r="AC210" s="105"/>
      <c r="AD210" s="105"/>
      <c r="AE210" s="105"/>
      <c r="AF210" s="105"/>
    </row>
    <row r="211" spans="1:32" ht="23.1" customHeight="1">
      <c r="A211" s="291"/>
      <c r="B211" s="292"/>
      <c r="C211" s="293"/>
      <c r="D211" s="94"/>
      <c r="E211" s="94"/>
      <c r="F211" s="294"/>
      <c r="G211" s="94"/>
      <c r="H211" s="94"/>
      <c r="I211" s="2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105"/>
      <c r="Y211" s="105"/>
      <c r="Z211" s="105"/>
      <c r="AA211" s="105"/>
      <c r="AB211" s="105"/>
      <c r="AC211" s="105"/>
      <c r="AD211" s="105"/>
      <c r="AE211" s="105"/>
      <c r="AF211" s="105"/>
    </row>
    <row r="212" spans="1:32" ht="23.1" customHeight="1">
      <c r="A212" s="291"/>
      <c r="B212" s="292"/>
      <c r="C212" s="293"/>
      <c r="D212" s="94"/>
      <c r="E212" s="94"/>
      <c r="F212" s="294"/>
      <c r="G212" s="94"/>
      <c r="H212" s="94"/>
      <c r="I212" s="2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105"/>
      <c r="Y212" s="105"/>
      <c r="Z212" s="105"/>
      <c r="AA212" s="105"/>
      <c r="AB212" s="105"/>
      <c r="AC212" s="105"/>
      <c r="AD212" s="105"/>
      <c r="AE212" s="105"/>
      <c r="AF212" s="105"/>
    </row>
    <row r="213" spans="1:32" ht="23.1" customHeight="1">
      <c r="A213" s="291"/>
      <c r="B213" s="292"/>
      <c r="C213" s="293"/>
      <c r="D213" s="94"/>
      <c r="E213" s="94"/>
      <c r="F213" s="294"/>
      <c r="G213" s="94"/>
      <c r="H213" s="94"/>
      <c r="I213" s="2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105"/>
      <c r="Y213" s="105"/>
      <c r="Z213" s="105"/>
      <c r="AA213" s="105"/>
      <c r="AB213" s="105"/>
      <c r="AC213" s="105"/>
      <c r="AD213" s="105"/>
      <c r="AE213" s="105"/>
      <c r="AF213" s="105"/>
    </row>
    <row r="214" spans="1:32" ht="23.1" customHeight="1">
      <c r="A214" s="291"/>
      <c r="B214" s="292"/>
      <c r="C214" s="293"/>
      <c r="D214" s="94"/>
      <c r="E214" s="94"/>
      <c r="F214" s="294"/>
      <c r="G214" s="94"/>
      <c r="H214" s="94"/>
      <c r="I214" s="2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105"/>
      <c r="Y214" s="105"/>
      <c r="Z214" s="105"/>
      <c r="AA214" s="105"/>
      <c r="AB214" s="105"/>
      <c r="AC214" s="105"/>
      <c r="AD214" s="105"/>
      <c r="AE214" s="105"/>
      <c r="AF214" s="105"/>
    </row>
    <row r="215" spans="1:32" ht="23.1" customHeight="1">
      <c r="A215" s="291"/>
      <c r="B215" s="292"/>
      <c r="C215" s="293"/>
      <c r="D215" s="94"/>
      <c r="E215" s="94"/>
      <c r="F215" s="294"/>
      <c r="G215" s="94"/>
      <c r="H215" s="94"/>
      <c r="I215" s="2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105"/>
      <c r="Y215" s="105"/>
      <c r="Z215" s="105"/>
      <c r="AA215" s="105"/>
      <c r="AB215" s="105"/>
      <c r="AC215" s="105"/>
      <c r="AD215" s="105"/>
      <c r="AE215" s="105"/>
      <c r="AF215" s="105"/>
    </row>
    <row r="216" spans="1:32" ht="23.1" customHeight="1">
      <c r="A216" s="291"/>
      <c r="B216" s="292"/>
      <c r="C216" s="293"/>
      <c r="D216" s="94"/>
      <c r="E216" s="94"/>
      <c r="F216" s="294"/>
      <c r="G216" s="94"/>
      <c r="H216" s="94"/>
      <c r="I216" s="2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105"/>
      <c r="Y216" s="105"/>
      <c r="Z216" s="105"/>
      <c r="AA216" s="105"/>
      <c r="AB216" s="105"/>
      <c r="AC216" s="105"/>
      <c r="AD216" s="105"/>
      <c r="AE216" s="105"/>
      <c r="AF216" s="105"/>
    </row>
    <row r="217" spans="1:32" ht="23.1" customHeight="1">
      <c r="A217" s="291"/>
      <c r="B217" s="292"/>
      <c r="C217" s="293"/>
      <c r="D217" s="94"/>
      <c r="E217" s="94"/>
      <c r="F217" s="294"/>
      <c r="G217" s="94"/>
      <c r="H217" s="94"/>
      <c r="I217" s="2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105"/>
      <c r="Y217" s="105"/>
      <c r="Z217" s="105"/>
      <c r="AA217" s="105"/>
      <c r="AB217" s="105"/>
      <c r="AC217" s="105"/>
      <c r="AD217" s="105"/>
      <c r="AE217" s="105"/>
      <c r="AF217" s="105"/>
    </row>
    <row r="218" spans="1:32" ht="23.1" customHeight="1">
      <c r="A218" s="291"/>
      <c r="B218" s="292"/>
      <c r="C218" s="293"/>
      <c r="D218" s="94"/>
      <c r="E218" s="94"/>
      <c r="F218" s="294"/>
      <c r="G218" s="94"/>
      <c r="H218" s="94"/>
      <c r="I218" s="2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105"/>
      <c r="Y218" s="105"/>
      <c r="Z218" s="105"/>
      <c r="AA218" s="105"/>
      <c r="AB218" s="105"/>
      <c r="AC218" s="105"/>
      <c r="AD218" s="105"/>
      <c r="AE218" s="105"/>
      <c r="AF218" s="105"/>
    </row>
    <row r="219" spans="1:32" ht="23.1" customHeight="1">
      <c r="A219" s="291"/>
      <c r="B219" s="292"/>
      <c r="C219" s="293"/>
      <c r="D219" s="94"/>
      <c r="E219" s="94"/>
      <c r="F219" s="294"/>
      <c r="G219" s="94"/>
      <c r="H219" s="94"/>
      <c r="I219" s="2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105"/>
      <c r="Y219" s="105"/>
      <c r="Z219" s="105"/>
      <c r="AA219" s="105"/>
      <c r="AB219" s="105"/>
      <c r="AC219" s="105"/>
      <c r="AD219" s="105"/>
      <c r="AE219" s="105"/>
      <c r="AF219" s="105"/>
    </row>
    <row r="220" spans="1:32" ht="23.1" customHeight="1">
      <c r="A220" s="291"/>
      <c r="B220" s="292"/>
      <c r="C220" s="293"/>
      <c r="D220" s="94"/>
      <c r="E220" s="94"/>
      <c r="F220" s="294"/>
      <c r="G220" s="94"/>
      <c r="H220" s="94"/>
      <c r="I220" s="2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105"/>
      <c r="Y220" s="105"/>
      <c r="Z220" s="105"/>
      <c r="AA220" s="105"/>
      <c r="AB220" s="105"/>
      <c r="AC220" s="105"/>
      <c r="AD220" s="105"/>
      <c r="AE220" s="105"/>
      <c r="AF220" s="105"/>
    </row>
    <row r="221" spans="1:32" ht="23.1" customHeight="1">
      <c r="A221" s="291"/>
      <c r="B221" s="292"/>
      <c r="C221" s="293"/>
      <c r="D221" s="94"/>
      <c r="E221" s="94"/>
      <c r="F221" s="294"/>
      <c r="G221" s="94"/>
      <c r="H221" s="94"/>
      <c r="I221" s="2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105"/>
      <c r="Y221" s="105"/>
      <c r="Z221" s="105"/>
      <c r="AA221" s="105"/>
      <c r="AB221" s="105"/>
      <c r="AC221" s="105"/>
      <c r="AD221" s="105"/>
      <c r="AE221" s="105"/>
      <c r="AF221" s="105"/>
    </row>
    <row r="222" spans="1:32" ht="23.1" customHeight="1">
      <c r="A222" s="291"/>
      <c r="B222" s="292"/>
      <c r="C222" s="293"/>
      <c r="D222" s="94"/>
      <c r="E222" s="94"/>
      <c r="F222" s="294"/>
      <c r="G222" s="94"/>
      <c r="H222" s="94"/>
      <c r="I222" s="2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105"/>
      <c r="Y222" s="105"/>
      <c r="Z222" s="105"/>
      <c r="AA222" s="105"/>
      <c r="AB222" s="105"/>
      <c r="AC222" s="105"/>
      <c r="AD222" s="105"/>
      <c r="AE222" s="105"/>
      <c r="AF222" s="105"/>
    </row>
    <row r="223" spans="1:32" ht="23.1" customHeight="1">
      <c r="A223" s="291"/>
      <c r="B223" s="292"/>
      <c r="C223" s="293"/>
      <c r="D223" s="94"/>
      <c r="E223" s="94"/>
      <c r="F223" s="294"/>
      <c r="G223" s="94"/>
      <c r="H223" s="94"/>
      <c r="I223" s="2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105"/>
      <c r="Y223" s="105"/>
      <c r="Z223" s="105"/>
      <c r="AA223" s="105"/>
      <c r="AB223" s="105"/>
      <c r="AC223" s="105"/>
      <c r="AD223" s="105"/>
      <c r="AE223" s="105"/>
      <c r="AF223" s="105"/>
    </row>
    <row r="224" spans="1:32" ht="23.1" customHeight="1">
      <c r="A224" s="291"/>
      <c r="B224" s="292"/>
      <c r="C224" s="293"/>
      <c r="D224" s="94"/>
      <c r="E224" s="94"/>
      <c r="F224" s="294"/>
      <c r="G224" s="94"/>
      <c r="H224" s="94"/>
      <c r="I224" s="2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105"/>
      <c r="Y224" s="105"/>
      <c r="Z224" s="105"/>
      <c r="AA224" s="105"/>
      <c r="AB224" s="105"/>
      <c r="AC224" s="105"/>
      <c r="AD224" s="105"/>
      <c r="AE224" s="105"/>
      <c r="AF224" s="105"/>
    </row>
    <row r="225" spans="1:32" ht="23.1" customHeight="1">
      <c r="A225" s="291"/>
      <c r="B225" s="292"/>
      <c r="C225" s="293"/>
      <c r="D225" s="94"/>
      <c r="E225" s="94"/>
      <c r="F225" s="294"/>
      <c r="G225" s="94"/>
      <c r="H225" s="94"/>
      <c r="I225" s="2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105"/>
      <c r="Y225" s="105"/>
      <c r="Z225" s="105"/>
      <c r="AA225" s="105"/>
      <c r="AB225" s="105"/>
      <c r="AC225" s="105"/>
      <c r="AD225" s="105"/>
      <c r="AE225" s="105"/>
      <c r="AF225" s="105"/>
    </row>
    <row r="226" spans="1:32" ht="23.1" customHeight="1">
      <c r="A226" s="291"/>
      <c r="B226" s="292"/>
      <c r="C226" s="293"/>
      <c r="D226" s="94"/>
      <c r="E226" s="94"/>
      <c r="F226" s="294"/>
      <c r="G226" s="94"/>
      <c r="H226" s="94"/>
      <c r="I226" s="2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105"/>
      <c r="Y226" s="105"/>
      <c r="Z226" s="105"/>
      <c r="AA226" s="105"/>
      <c r="AB226" s="105"/>
      <c r="AC226" s="105"/>
      <c r="AD226" s="105"/>
      <c r="AE226" s="105"/>
      <c r="AF226" s="105"/>
    </row>
    <row r="227" spans="1:32" ht="23.1" customHeight="1">
      <c r="A227" s="291"/>
      <c r="B227" s="292"/>
      <c r="C227" s="293"/>
      <c r="D227" s="94"/>
      <c r="E227" s="94"/>
      <c r="F227" s="294"/>
      <c r="G227" s="94"/>
      <c r="H227" s="94"/>
      <c r="I227" s="2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105"/>
      <c r="Y227" s="105"/>
      <c r="Z227" s="105"/>
      <c r="AA227" s="105"/>
      <c r="AB227" s="105"/>
      <c r="AC227" s="105"/>
      <c r="AD227" s="105"/>
      <c r="AE227" s="105"/>
      <c r="AF227" s="105"/>
    </row>
    <row r="228" spans="1:32" ht="23.1" customHeight="1">
      <c r="A228" s="291"/>
      <c r="B228" s="292"/>
      <c r="C228" s="293"/>
      <c r="D228" s="94"/>
      <c r="E228" s="94"/>
      <c r="F228" s="294"/>
      <c r="G228" s="94"/>
      <c r="H228" s="94"/>
      <c r="I228" s="2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105"/>
      <c r="Y228" s="105"/>
      <c r="Z228" s="105"/>
      <c r="AA228" s="105"/>
      <c r="AB228" s="105"/>
      <c r="AC228" s="105"/>
      <c r="AD228" s="105"/>
      <c r="AE228" s="105"/>
      <c r="AF228" s="105"/>
    </row>
    <row r="229" spans="1:32" ht="23.1" customHeight="1">
      <c r="A229" s="291"/>
      <c r="B229" s="292"/>
      <c r="C229" s="293"/>
      <c r="D229" s="94"/>
      <c r="E229" s="94"/>
      <c r="F229" s="294"/>
      <c r="G229" s="94"/>
      <c r="H229" s="94"/>
      <c r="I229" s="2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105"/>
      <c r="Y229" s="105"/>
      <c r="Z229" s="105"/>
      <c r="AA229" s="105"/>
      <c r="AB229" s="105"/>
      <c r="AC229" s="105"/>
      <c r="AD229" s="105"/>
      <c r="AE229" s="105"/>
      <c r="AF229" s="105"/>
    </row>
    <row r="230" spans="1:32" ht="23.1" customHeight="1">
      <c r="A230" s="291"/>
      <c r="B230" s="292"/>
      <c r="C230" s="293"/>
      <c r="D230" s="94"/>
      <c r="E230" s="94"/>
      <c r="F230" s="294"/>
      <c r="G230" s="94"/>
      <c r="H230" s="94"/>
      <c r="I230" s="2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105"/>
      <c r="Y230" s="105"/>
      <c r="Z230" s="105"/>
      <c r="AA230" s="105"/>
      <c r="AB230" s="105"/>
      <c r="AC230" s="105"/>
      <c r="AD230" s="105"/>
      <c r="AE230" s="105"/>
      <c r="AF230" s="105"/>
    </row>
    <row r="231" spans="1:32" ht="23.1" customHeight="1">
      <c r="A231" s="291"/>
      <c r="B231" s="292"/>
      <c r="C231" s="293"/>
      <c r="D231" s="94"/>
      <c r="E231" s="94"/>
      <c r="F231" s="294"/>
      <c r="G231" s="94"/>
      <c r="H231" s="94"/>
      <c r="I231" s="2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105"/>
      <c r="Y231" s="105"/>
      <c r="Z231" s="105"/>
      <c r="AA231" s="105"/>
      <c r="AB231" s="105"/>
      <c r="AC231" s="105"/>
      <c r="AD231" s="105"/>
      <c r="AE231" s="105"/>
      <c r="AF231" s="105"/>
    </row>
    <row r="232" spans="1:32" ht="23.1" customHeight="1">
      <c r="A232" s="291"/>
      <c r="B232" s="292"/>
      <c r="C232" s="293"/>
      <c r="D232" s="94"/>
      <c r="E232" s="94"/>
      <c r="F232" s="294"/>
      <c r="G232" s="94"/>
      <c r="H232" s="94"/>
      <c r="I232" s="2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105"/>
      <c r="Y232" s="105"/>
      <c r="Z232" s="105"/>
      <c r="AA232" s="105"/>
      <c r="AB232" s="105"/>
      <c r="AC232" s="105"/>
      <c r="AD232" s="105"/>
      <c r="AE232" s="105"/>
      <c r="AF232" s="105"/>
    </row>
    <row r="233" spans="1:32" ht="23.1" customHeight="1">
      <c r="A233" s="291"/>
      <c r="B233" s="292"/>
      <c r="C233" s="293"/>
      <c r="D233" s="94"/>
      <c r="E233" s="94"/>
      <c r="F233" s="294"/>
      <c r="G233" s="94"/>
      <c r="H233" s="94"/>
      <c r="I233" s="2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105"/>
      <c r="Y233" s="105"/>
      <c r="Z233" s="105"/>
      <c r="AA233" s="105"/>
      <c r="AB233" s="105"/>
      <c r="AC233" s="105"/>
      <c r="AD233" s="105"/>
      <c r="AE233" s="105"/>
      <c r="AF233" s="105"/>
    </row>
    <row r="234" spans="1:32" ht="23.1" customHeight="1">
      <c r="A234" s="291"/>
      <c r="B234" s="292"/>
      <c r="C234" s="293"/>
      <c r="D234" s="94"/>
      <c r="E234" s="94"/>
      <c r="F234" s="294"/>
      <c r="G234" s="94"/>
      <c r="H234" s="94"/>
      <c r="I234" s="2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105"/>
      <c r="Y234" s="105"/>
      <c r="Z234" s="105"/>
      <c r="AA234" s="105"/>
      <c r="AB234" s="105"/>
      <c r="AC234" s="105"/>
      <c r="AD234" s="105"/>
      <c r="AE234" s="105"/>
      <c r="AF234" s="105"/>
    </row>
    <row r="235" spans="1:32" ht="23.1" customHeight="1">
      <c r="A235" s="291"/>
      <c r="B235" s="292"/>
      <c r="C235" s="293"/>
      <c r="D235" s="94"/>
      <c r="E235" s="94"/>
      <c r="F235" s="294"/>
      <c r="G235" s="94"/>
      <c r="H235" s="94"/>
      <c r="I235" s="2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105"/>
      <c r="Y235" s="105"/>
      <c r="Z235" s="105"/>
      <c r="AA235" s="105"/>
      <c r="AB235" s="105"/>
      <c r="AC235" s="105"/>
      <c r="AD235" s="105"/>
      <c r="AE235" s="105"/>
      <c r="AF235" s="105"/>
    </row>
    <row r="236" spans="1:32" ht="23.1" customHeight="1">
      <c r="A236" s="291"/>
      <c r="B236" s="292"/>
      <c r="C236" s="293"/>
      <c r="D236" s="94"/>
      <c r="E236" s="94"/>
      <c r="F236" s="294"/>
      <c r="G236" s="94"/>
      <c r="H236" s="94"/>
      <c r="I236" s="2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105"/>
      <c r="Y236" s="105"/>
      <c r="Z236" s="105"/>
      <c r="AA236" s="105"/>
      <c r="AB236" s="105"/>
      <c r="AC236" s="105"/>
      <c r="AD236" s="105"/>
      <c r="AE236" s="105"/>
      <c r="AF236" s="105"/>
    </row>
    <row r="237" spans="1:32" ht="23.1" customHeight="1">
      <c r="A237" s="291"/>
      <c r="B237" s="292"/>
      <c r="C237" s="293"/>
      <c r="D237" s="94"/>
      <c r="E237" s="94"/>
      <c r="F237" s="294"/>
      <c r="G237" s="94"/>
      <c r="H237" s="94"/>
      <c r="I237" s="2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105"/>
      <c r="Y237" s="105"/>
      <c r="Z237" s="105"/>
      <c r="AA237" s="105"/>
      <c r="AB237" s="105"/>
      <c r="AC237" s="105"/>
      <c r="AD237" s="105"/>
      <c r="AE237" s="105"/>
      <c r="AF237" s="105"/>
    </row>
    <row r="238" spans="1:32" ht="23.1" customHeight="1">
      <c r="A238" s="291"/>
      <c r="B238" s="292"/>
      <c r="C238" s="293"/>
      <c r="D238" s="94"/>
      <c r="E238" s="94"/>
      <c r="F238" s="294"/>
      <c r="G238" s="94"/>
      <c r="H238" s="94"/>
      <c r="I238" s="2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105"/>
      <c r="Y238" s="105"/>
      <c r="Z238" s="105"/>
      <c r="AA238" s="105"/>
      <c r="AB238" s="105"/>
      <c r="AC238" s="105"/>
      <c r="AD238" s="105"/>
      <c r="AE238" s="105"/>
      <c r="AF238" s="105"/>
    </row>
    <row r="239" spans="1:32" ht="23.1" customHeight="1">
      <c r="A239" s="291"/>
      <c r="B239" s="292"/>
      <c r="C239" s="293"/>
      <c r="D239" s="94"/>
      <c r="E239" s="94"/>
      <c r="F239" s="294"/>
      <c r="G239" s="94"/>
      <c r="H239" s="94"/>
      <c r="I239" s="2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105"/>
      <c r="Y239" s="105"/>
      <c r="Z239" s="105"/>
      <c r="AA239" s="105"/>
      <c r="AB239" s="105"/>
      <c r="AC239" s="105"/>
      <c r="AD239" s="105"/>
      <c r="AE239" s="105"/>
      <c r="AF239" s="105"/>
    </row>
    <row r="240" spans="1:32" ht="23.1" customHeight="1">
      <c r="A240" s="291"/>
      <c r="B240" s="292"/>
      <c r="C240" s="293"/>
      <c r="D240" s="94"/>
      <c r="E240" s="94"/>
      <c r="F240" s="294"/>
      <c r="G240" s="94"/>
      <c r="H240" s="94"/>
      <c r="I240" s="2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105"/>
      <c r="Y240" s="105"/>
      <c r="Z240" s="105"/>
      <c r="AA240" s="105"/>
      <c r="AB240" s="105"/>
      <c r="AC240" s="105"/>
      <c r="AD240" s="105"/>
      <c r="AE240" s="105"/>
      <c r="AF240" s="105"/>
    </row>
    <row r="241" spans="1:32" ht="23.1" customHeight="1">
      <c r="A241" s="291"/>
      <c r="B241" s="292"/>
      <c r="C241" s="293"/>
      <c r="D241" s="94"/>
      <c r="E241" s="94"/>
      <c r="F241" s="294"/>
      <c r="G241" s="94"/>
      <c r="H241" s="94"/>
      <c r="I241" s="2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105"/>
      <c r="Y241" s="105"/>
      <c r="Z241" s="105"/>
      <c r="AA241" s="105"/>
      <c r="AB241" s="105"/>
      <c r="AC241" s="105"/>
      <c r="AD241" s="105"/>
      <c r="AE241" s="105"/>
      <c r="AF241" s="105"/>
    </row>
    <row r="242" spans="1:32" ht="23.1" customHeight="1">
      <c r="A242" s="291"/>
      <c r="B242" s="292"/>
      <c r="C242" s="293"/>
      <c r="D242" s="94"/>
      <c r="E242" s="94"/>
      <c r="F242" s="294"/>
      <c r="G242" s="94"/>
      <c r="H242" s="94"/>
      <c r="I242" s="2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105"/>
      <c r="Y242" s="105"/>
      <c r="Z242" s="105"/>
      <c r="AA242" s="105"/>
      <c r="AB242" s="105"/>
      <c r="AC242" s="105"/>
      <c r="AD242" s="105"/>
      <c r="AE242" s="105"/>
      <c r="AF242" s="105"/>
    </row>
    <row r="243" spans="1:32" ht="23.1" customHeight="1">
      <c r="A243" s="291"/>
      <c r="B243" s="292"/>
      <c r="C243" s="293"/>
      <c r="D243" s="94"/>
      <c r="E243" s="94"/>
      <c r="F243" s="294"/>
      <c r="G243" s="94"/>
      <c r="H243" s="94"/>
      <c r="I243" s="2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105"/>
      <c r="Y243" s="105"/>
      <c r="Z243" s="105"/>
      <c r="AA243" s="105"/>
      <c r="AB243" s="105"/>
      <c r="AC243" s="105"/>
      <c r="AD243" s="105"/>
      <c r="AE243" s="105"/>
      <c r="AF243" s="105"/>
    </row>
    <row r="244" spans="1:32" ht="23.1" customHeight="1">
      <c r="A244" s="291"/>
      <c r="B244" s="292"/>
      <c r="C244" s="293"/>
      <c r="D244" s="94"/>
      <c r="E244" s="94"/>
      <c r="F244" s="294"/>
      <c r="G244" s="94"/>
      <c r="H244" s="94"/>
      <c r="I244" s="2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105"/>
      <c r="Y244" s="105"/>
      <c r="Z244" s="105"/>
      <c r="AA244" s="105"/>
      <c r="AB244" s="105"/>
      <c r="AC244" s="105"/>
      <c r="AD244" s="105"/>
      <c r="AE244" s="105"/>
      <c r="AF244" s="105"/>
    </row>
    <row r="245" spans="1:32" ht="23.1" customHeight="1">
      <c r="A245" s="291"/>
      <c r="B245" s="292"/>
      <c r="C245" s="293"/>
      <c r="D245" s="94"/>
      <c r="E245" s="94"/>
      <c r="F245" s="294"/>
      <c r="G245" s="94"/>
      <c r="H245" s="94"/>
      <c r="I245" s="2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105"/>
      <c r="Y245" s="105"/>
      <c r="Z245" s="105"/>
      <c r="AA245" s="105"/>
      <c r="AB245" s="105"/>
      <c r="AC245" s="105"/>
      <c r="AD245" s="105"/>
      <c r="AE245" s="105"/>
      <c r="AF245" s="105"/>
    </row>
    <row r="246" spans="1:32" ht="23.1" customHeight="1">
      <c r="A246" s="291"/>
      <c r="B246" s="292"/>
      <c r="C246" s="293"/>
      <c r="D246" s="94"/>
      <c r="E246" s="94"/>
      <c r="F246" s="294"/>
      <c r="G246" s="94"/>
      <c r="H246" s="94"/>
      <c r="I246" s="2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105"/>
      <c r="Y246" s="105"/>
      <c r="Z246" s="105"/>
      <c r="AA246" s="105"/>
      <c r="AB246" s="105"/>
      <c r="AC246" s="105"/>
      <c r="AD246" s="105"/>
      <c r="AE246" s="105"/>
      <c r="AF246" s="105"/>
    </row>
    <row r="247" spans="1:32" ht="23.1" customHeight="1">
      <c r="A247" s="291"/>
      <c r="B247" s="292"/>
      <c r="C247" s="293"/>
      <c r="D247" s="94"/>
      <c r="E247" s="94"/>
      <c r="F247" s="294"/>
      <c r="G247" s="94"/>
      <c r="H247" s="94"/>
      <c r="I247" s="2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105"/>
      <c r="Y247" s="105"/>
      <c r="Z247" s="105"/>
      <c r="AA247" s="105"/>
      <c r="AB247" s="105"/>
      <c r="AC247" s="105"/>
      <c r="AD247" s="105"/>
      <c r="AE247" s="105"/>
      <c r="AF247" s="105"/>
    </row>
    <row r="248" spans="1:32" ht="23.1" customHeight="1">
      <c r="A248" s="291"/>
      <c r="B248" s="292"/>
      <c r="C248" s="293"/>
      <c r="D248" s="94"/>
      <c r="E248" s="94"/>
      <c r="F248" s="294"/>
      <c r="G248" s="94"/>
      <c r="H248" s="94"/>
      <c r="I248" s="2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105"/>
      <c r="Y248" s="105"/>
      <c r="Z248" s="105"/>
      <c r="AA248" s="105"/>
      <c r="AB248" s="105"/>
      <c r="AC248" s="105"/>
      <c r="AD248" s="105"/>
      <c r="AE248" s="105"/>
      <c r="AF248" s="105"/>
    </row>
    <row r="249" spans="1:32" ht="23.1" customHeight="1">
      <c r="A249" s="291"/>
      <c r="B249" s="292"/>
      <c r="C249" s="293"/>
      <c r="D249" s="94"/>
      <c r="E249" s="94"/>
      <c r="F249" s="294"/>
      <c r="G249" s="94"/>
      <c r="H249" s="94"/>
      <c r="I249" s="2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105"/>
      <c r="Y249" s="105"/>
      <c r="Z249" s="105"/>
      <c r="AA249" s="105"/>
      <c r="AB249" s="105"/>
      <c r="AC249" s="105"/>
      <c r="AD249" s="105"/>
      <c r="AE249" s="105"/>
      <c r="AF249" s="105"/>
    </row>
    <row r="250" spans="1:32" ht="23.1" customHeight="1">
      <c r="A250" s="291"/>
      <c r="B250" s="292"/>
      <c r="C250" s="293"/>
      <c r="D250" s="94"/>
      <c r="E250" s="94"/>
      <c r="F250" s="294"/>
      <c r="G250" s="94"/>
      <c r="H250" s="94"/>
      <c r="I250" s="2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105"/>
      <c r="Y250" s="105"/>
      <c r="Z250" s="105"/>
      <c r="AA250" s="105"/>
      <c r="AB250" s="105"/>
      <c r="AC250" s="105"/>
      <c r="AD250" s="105"/>
      <c r="AE250" s="105"/>
      <c r="AF250" s="105"/>
    </row>
    <row r="251" spans="1:32" ht="23.1" customHeight="1">
      <c r="A251" s="291"/>
      <c r="B251" s="292"/>
      <c r="C251" s="293"/>
      <c r="D251" s="94"/>
      <c r="E251" s="94"/>
      <c r="F251" s="294"/>
      <c r="G251" s="94"/>
      <c r="H251" s="94"/>
      <c r="I251" s="2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105"/>
      <c r="Y251" s="105"/>
      <c r="Z251" s="105"/>
      <c r="AA251" s="105"/>
      <c r="AB251" s="105"/>
      <c r="AC251" s="105"/>
      <c r="AD251" s="105"/>
      <c r="AE251" s="105"/>
      <c r="AF251" s="105"/>
    </row>
    <row r="252" spans="1:32" ht="23.1" customHeight="1">
      <c r="A252" s="291"/>
      <c r="B252" s="292"/>
      <c r="C252" s="293"/>
      <c r="D252" s="94"/>
      <c r="E252" s="94"/>
      <c r="F252" s="294"/>
      <c r="G252" s="94"/>
      <c r="H252" s="94"/>
      <c r="I252" s="2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105"/>
      <c r="Y252" s="105"/>
      <c r="Z252" s="105"/>
      <c r="AA252" s="105"/>
      <c r="AB252" s="105"/>
      <c r="AC252" s="105"/>
      <c r="AD252" s="105"/>
      <c r="AE252" s="105"/>
      <c r="AF252" s="105"/>
    </row>
    <row r="253" spans="1:32" ht="23.1" customHeight="1">
      <c r="A253" s="291"/>
      <c r="B253" s="292"/>
      <c r="C253" s="293"/>
      <c r="D253" s="94"/>
      <c r="E253" s="94"/>
      <c r="F253" s="294"/>
      <c r="G253" s="94"/>
      <c r="H253" s="94"/>
      <c r="I253" s="2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105"/>
      <c r="Y253" s="105"/>
      <c r="Z253" s="105"/>
      <c r="AA253" s="105"/>
      <c r="AB253" s="105"/>
      <c r="AC253" s="105"/>
      <c r="AD253" s="105"/>
      <c r="AE253" s="105"/>
      <c r="AF253" s="105"/>
    </row>
    <row r="254" spans="1:32" ht="23.1" customHeight="1">
      <c r="A254" s="291"/>
      <c r="B254" s="292"/>
      <c r="C254" s="293"/>
      <c r="D254" s="94"/>
      <c r="E254" s="94"/>
      <c r="F254" s="294"/>
      <c r="G254" s="94"/>
      <c r="H254" s="94"/>
      <c r="I254" s="2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105"/>
      <c r="Y254" s="105"/>
      <c r="Z254" s="105"/>
      <c r="AA254" s="105"/>
      <c r="AB254" s="105"/>
      <c r="AC254" s="105"/>
      <c r="AD254" s="105"/>
      <c r="AE254" s="105"/>
      <c r="AF254" s="105"/>
    </row>
    <row r="255" spans="1:32" ht="23.1" customHeight="1">
      <c r="A255" s="291"/>
      <c r="B255" s="292"/>
      <c r="C255" s="293"/>
      <c r="D255" s="94"/>
      <c r="E255" s="94"/>
      <c r="F255" s="294"/>
      <c r="G255" s="94"/>
      <c r="H255" s="94"/>
      <c r="I255" s="2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105"/>
      <c r="Y255" s="105"/>
      <c r="Z255" s="105"/>
      <c r="AA255" s="105"/>
      <c r="AB255" s="105"/>
      <c r="AC255" s="105"/>
      <c r="AD255" s="105"/>
      <c r="AE255" s="105"/>
      <c r="AF255" s="105"/>
    </row>
    <row r="256" spans="1:32" ht="23.1" customHeight="1">
      <c r="A256" s="291"/>
      <c r="B256" s="292"/>
      <c r="C256" s="293"/>
      <c r="D256" s="94"/>
      <c r="E256" s="94"/>
      <c r="F256" s="294"/>
      <c r="G256" s="94"/>
      <c r="H256" s="94"/>
      <c r="I256" s="2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105"/>
      <c r="Y256" s="105"/>
      <c r="Z256" s="105"/>
      <c r="AA256" s="105"/>
      <c r="AB256" s="105"/>
      <c r="AC256" s="105"/>
      <c r="AD256" s="105"/>
      <c r="AE256" s="105"/>
      <c r="AF256" s="105"/>
    </row>
    <row r="257" spans="1:32" ht="23.1" customHeight="1">
      <c r="A257" s="291"/>
      <c r="B257" s="292"/>
      <c r="C257" s="293"/>
      <c r="D257" s="94"/>
      <c r="E257" s="94"/>
      <c r="F257" s="294"/>
      <c r="G257" s="94"/>
      <c r="H257" s="94"/>
      <c r="I257" s="2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105"/>
      <c r="Y257" s="105"/>
      <c r="Z257" s="105"/>
      <c r="AA257" s="105"/>
      <c r="AB257" s="105"/>
      <c r="AC257" s="105"/>
      <c r="AD257" s="105"/>
      <c r="AE257" s="105"/>
      <c r="AF257" s="105"/>
    </row>
    <row r="258" spans="1:32" ht="23.1" customHeight="1">
      <c r="A258" s="291"/>
      <c r="B258" s="292"/>
      <c r="C258" s="293"/>
      <c r="D258" s="94"/>
      <c r="E258" s="94"/>
      <c r="F258" s="294"/>
      <c r="G258" s="94"/>
      <c r="H258" s="94"/>
      <c r="I258" s="2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105"/>
      <c r="Y258" s="105"/>
      <c r="Z258" s="105"/>
      <c r="AA258" s="105"/>
      <c r="AB258" s="105"/>
      <c r="AC258" s="105"/>
      <c r="AD258" s="105"/>
      <c r="AE258" s="105"/>
      <c r="AF258" s="105"/>
    </row>
    <row r="259" spans="1:32" ht="23.1" customHeight="1">
      <c r="A259" s="291"/>
      <c r="B259" s="292"/>
      <c r="C259" s="293"/>
      <c r="D259" s="94"/>
      <c r="E259" s="94"/>
      <c r="F259" s="294"/>
      <c r="G259" s="94"/>
      <c r="H259" s="94"/>
      <c r="I259" s="2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105"/>
      <c r="Y259" s="105"/>
      <c r="Z259" s="105"/>
      <c r="AA259" s="105"/>
      <c r="AB259" s="105"/>
      <c r="AC259" s="105"/>
      <c r="AD259" s="105"/>
      <c r="AE259" s="105"/>
      <c r="AF259" s="105"/>
    </row>
    <row r="260" spans="1:32" ht="23.1" customHeight="1">
      <c r="A260" s="291"/>
      <c r="B260" s="292"/>
      <c r="C260" s="293"/>
      <c r="D260" s="94"/>
      <c r="E260" s="94"/>
      <c r="F260" s="294"/>
      <c r="G260" s="94"/>
      <c r="H260" s="94"/>
      <c r="I260" s="2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105"/>
      <c r="Y260" s="105"/>
      <c r="Z260" s="105"/>
      <c r="AA260" s="105"/>
      <c r="AB260" s="105"/>
      <c r="AC260" s="105"/>
      <c r="AD260" s="105"/>
      <c r="AE260" s="105"/>
      <c r="AF260" s="105"/>
    </row>
    <row r="261" spans="1:32" ht="23.1" customHeight="1">
      <c r="A261" s="291"/>
      <c r="B261" s="292"/>
      <c r="C261" s="293"/>
      <c r="D261" s="94"/>
      <c r="E261" s="94"/>
      <c r="F261" s="294"/>
      <c r="G261" s="94"/>
      <c r="H261" s="94"/>
      <c r="I261" s="2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105"/>
      <c r="Y261" s="105"/>
      <c r="Z261" s="105"/>
      <c r="AA261" s="105"/>
      <c r="AB261" s="105"/>
      <c r="AC261" s="105"/>
      <c r="AD261" s="105"/>
      <c r="AE261" s="105"/>
      <c r="AF261" s="105"/>
    </row>
    <row r="262" spans="1:32" ht="23.1" customHeight="1">
      <c r="A262" s="291"/>
      <c r="B262" s="292"/>
      <c r="C262" s="293"/>
      <c r="D262" s="94"/>
      <c r="E262" s="94"/>
      <c r="F262" s="294"/>
      <c r="G262" s="94"/>
      <c r="H262" s="94"/>
      <c r="I262" s="2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105"/>
      <c r="Y262" s="105"/>
      <c r="Z262" s="105"/>
      <c r="AA262" s="105"/>
      <c r="AB262" s="105"/>
      <c r="AC262" s="105"/>
      <c r="AD262" s="105"/>
      <c r="AE262" s="105"/>
      <c r="AF262" s="105"/>
    </row>
    <row r="263" spans="1:32" ht="23.1" customHeight="1">
      <c r="A263" s="291"/>
      <c r="B263" s="292"/>
      <c r="C263" s="293"/>
      <c r="D263" s="94"/>
      <c r="E263" s="94"/>
      <c r="F263" s="294"/>
      <c r="G263" s="94"/>
      <c r="H263" s="94"/>
      <c r="I263" s="2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105"/>
      <c r="Y263" s="105"/>
      <c r="Z263" s="105"/>
      <c r="AA263" s="105"/>
      <c r="AB263" s="105"/>
      <c r="AC263" s="105"/>
      <c r="AD263" s="105"/>
      <c r="AE263" s="105"/>
      <c r="AF263" s="105"/>
    </row>
    <row r="264" spans="1:32" ht="23.1" customHeight="1">
      <c r="A264" s="291"/>
      <c r="B264" s="292"/>
      <c r="C264" s="293"/>
      <c r="D264" s="94"/>
      <c r="E264" s="94"/>
      <c r="F264" s="294"/>
      <c r="G264" s="94"/>
      <c r="H264" s="94"/>
      <c r="I264" s="2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105"/>
      <c r="Y264" s="105"/>
      <c r="Z264" s="105"/>
      <c r="AA264" s="105"/>
      <c r="AB264" s="105"/>
      <c r="AC264" s="105"/>
      <c r="AD264" s="105"/>
      <c r="AE264" s="105"/>
      <c r="AF264" s="105"/>
    </row>
    <row r="265" spans="1:32" ht="23.1" customHeight="1">
      <c r="A265" s="291"/>
      <c r="B265" s="292"/>
      <c r="C265" s="293"/>
      <c r="D265" s="94"/>
      <c r="E265" s="94"/>
      <c r="F265" s="294"/>
      <c r="G265" s="94"/>
      <c r="H265" s="94"/>
      <c r="I265" s="2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105"/>
      <c r="Y265" s="105"/>
      <c r="Z265" s="105"/>
      <c r="AA265" s="105"/>
      <c r="AB265" s="105"/>
      <c r="AC265" s="105"/>
      <c r="AD265" s="105"/>
      <c r="AE265" s="105"/>
      <c r="AF265" s="105"/>
    </row>
    <row r="266" spans="1:32" ht="23.1" customHeight="1">
      <c r="A266" s="291"/>
      <c r="B266" s="292"/>
      <c r="C266" s="293"/>
      <c r="D266" s="94"/>
      <c r="E266" s="94"/>
      <c r="F266" s="294"/>
      <c r="G266" s="94"/>
      <c r="H266" s="94"/>
      <c r="I266" s="2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105"/>
      <c r="Y266" s="105"/>
      <c r="Z266" s="105"/>
      <c r="AA266" s="105"/>
      <c r="AB266" s="105"/>
      <c r="AC266" s="105"/>
      <c r="AD266" s="105"/>
      <c r="AE266" s="105"/>
      <c r="AF266" s="105"/>
    </row>
    <row r="267" spans="1:32" ht="23.1" customHeight="1">
      <c r="A267" s="291"/>
      <c r="B267" s="292"/>
      <c r="C267" s="293"/>
      <c r="D267" s="94"/>
      <c r="E267" s="94"/>
      <c r="F267" s="294"/>
      <c r="G267" s="94"/>
      <c r="H267" s="94"/>
      <c r="I267" s="2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105"/>
      <c r="Y267" s="105"/>
      <c r="Z267" s="105"/>
      <c r="AA267" s="105"/>
      <c r="AB267" s="105"/>
      <c r="AC267" s="105"/>
      <c r="AD267" s="105"/>
      <c r="AE267" s="105"/>
      <c r="AF267" s="105"/>
    </row>
    <row r="268" spans="1:32" ht="23.1" customHeight="1">
      <c r="A268" s="291"/>
      <c r="B268" s="292"/>
      <c r="C268" s="293"/>
      <c r="D268" s="94"/>
      <c r="E268" s="94"/>
      <c r="F268" s="294"/>
      <c r="G268" s="94"/>
      <c r="H268" s="94"/>
      <c r="I268" s="2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105"/>
      <c r="Y268" s="105"/>
      <c r="Z268" s="105"/>
      <c r="AA268" s="105"/>
      <c r="AB268" s="105"/>
      <c r="AC268" s="105"/>
      <c r="AD268" s="105"/>
      <c r="AE268" s="105"/>
      <c r="AF268" s="105"/>
    </row>
    <row r="269" spans="1:32" ht="23.1" customHeight="1">
      <c r="A269" s="291"/>
      <c r="B269" s="292"/>
      <c r="C269" s="293"/>
      <c r="D269" s="94"/>
      <c r="E269" s="94"/>
      <c r="F269" s="294"/>
      <c r="G269" s="94"/>
      <c r="H269" s="94"/>
      <c r="I269" s="2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105"/>
      <c r="Y269" s="105"/>
      <c r="Z269" s="105"/>
      <c r="AA269" s="105"/>
      <c r="AB269" s="105"/>
      <c r="AC269" s="105"/>
      <c r="AD269" s="105"/>
      <c r="AE269" s="105"/>
      <c r="AF269" s="105"/>
    </row>
    <row r="270" spans="1:32" ht="23.1" customHeight="1">
      <c r="A270" s="291"/>
      <c r="B270" s="292"/>
      <c r="C270" s="293"/>
      <c r="D270" s="94"/>
      <c r="E270" s="94"/>
      <c r="F270" s="294"/>
      <c r="G270" s="94"/>
      <c r="H270" s="94"/>
      <c r="I270" s="2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105"/>
      <c r="Y270" s="105"/>
      <c r="Z270" s="105"/>
      <c r="AA270" s="105"/>
      <c r="AB270" s="105"/>
      <c r="AC270" s="105"/>
      <c r="AD270" s="105"/>
      <c r="AE270" s="105"/>
      <c r="AF270" s="105"/>
    </row>
    <row r="271" spans="1:32" ht="23.1" customHeight="1">
      <c r="A271" s="291"/>
      <c r="B271" s="292"/>
      <c r="C271" s="293"/>
      <c r="D271" s="94"/>
      <c r="E271" s="94"/>
      <c r="F271" s="294"/>
      <c r="G271" s="94"/>
      <c r="H271" s="94"/>
      <c r="I271" s="2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105"/>
      <c r="Y271" s="105"/>
      <c r="Z271" s="105"/>
      <c r="AA271" s="105"/>
      <c r="AB271" s="105"/>
      <c r="AC271" s="105"/>
      <c r="AD271" s="105"/>
      <c r="AE271" s="105"/>
      <c r="AF271" s="105"/>
    </row>
    <row r="272" spans="1:32" ht="23.1" customHeight="1">
      <c r="A272" s="291"/>
      <c r="B272" s="292"/>
      <c r="C272" s="293"/>
      <c r="D272" s="94"/>
      <c r="E272" s="94"/>
      <c r="F272" s="294"/>
      <c r="G272" s="94"/>
      <c r="H272" s="94"/>
      <c r="I272" s="2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105"/>
      <c r="Y272" s="105"/>
      <c r="Z272" s="105"/>
      <c r="AA272" s="105"/>
      <c r="AB272" s="105"/>
      <c r="AC272" s="105"/>
      <c r="AD272" s="105"/>
      <c r="AE272" s="105"/>
      <c r="AF272" s="105"/>
    </row>
    <row r="273" spans="1:32" ht="23.1" customHeight="1">
      <c r="A273" s="291"/>
      <c r="B273" s="292"/>
      <c r="C273" s="293"/>
      <c r="D273" s="94"/>
      <c r="E273" s="94"/>
      <c r="F273" s="294"/>
      <c r="G273" s="94"/>
      <c r="H273" s="94"/>
      <c r="I273" s="2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105"/>
      <c r="Y273" s="105"/>
      <c r="Z273" s="105"/>
      <c r="AA273" s="105"/>
      <c r="AB273" s="105"/>
      <c r="AC273" s="105"/>
      <c r="AD273" s="105"/>
      <c r="AE273" s="105"/>
      <c r="AF273" s="105"/>
    </row>
    <row r="274" spans="1:32" ht="23.1" customHeight="1">
      <c r="A274" s="291"/>
      <c r="B274" s="292"/>
      <c r="C274" s="293"/>
      <c r="D274" s="94"/>
      <c r="E274" s="94"/>
      <c r="F274" s="294"/>
      <c r="G274" s="94"/>
      <c r="H274" s="94"/>
      <c r="I274" s="2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105"/>
      <c r="Y274" s="105"/>
      <c r="Z274" s="105"/>
      <c r="AA274" s="105"/>
      <c r="AB274" s="105"/>
      <c r="AC274" s="105"/>
      <c r="AD274" s="105"/>
      <c r="AE274" s="105"/>
      <c r="AF274" s="105"/>
    </row>
    <row r="275" spans="1:32" ht="23.1" customHeight="1">
      <c r="A275" s="291"/>
      <c r="B275" s="292"/>
      <c r="C275" s="293"/>
      <c r="D275" s="94"/>
      <c r="E275" s="94"/>
      <c r="F275" s="294"/>
      <c r="G275" s="94"/>
      <c r="H275" s="94"/>
      <c r="I275" s="2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105"/>
      <c r="Y275" s="105"/>
      <c r="Z275" s="105"/>
      <c r="AA275" s="105"/>
      <c r="AB275" s="105"/>
      <c r="AC275" s="105"/>
      <c r="AD275" s="105"/>
      <c r="AE275" s="105"/>
      <c r="AF275" s="105"/>
    </row>
    <row r="276" spans="1:32" ht="23.1" customHeight="1">
      <c r="A276" s="291"/>
      <c r="B276" s="292"/>
      <c r="C276" s="293"/>
      <c r="D276" s="94"/>
      <c r="E276" s="94"/>
      <c r="F276" s="294"/>
      <c r="G276" s="94"/>
      <c r="H276" s="94"/>
      <c r="I276" s="2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105"/>
      <c r="Y276" s="105"/>
      <c r="Z276" s="105"/>
      <c r="AA276" s="105"/>
      <c r="AB276" s="105"/>
      <c r="AC276" s="105"/>
      <c r="AD276" s="105"/>
      <c r="AE276" s="105"/>
      <c r="AF276" s="105"/>
    </row>
    <row r="277" spans="1:32" ht="23.1" customHeight="1">
      <c r="A277" s="291"/>
      <c r="B277" s="292"/>
      <c r="C277" s="293"/>
      <c r="D277" s="94"/>
      <c r="E277" s="94"/>
      <c r="F277" s="294"/>
      <c r="G277" s="94"/>
      <c r="H277" s="94"/>
      <c r="I277" s="2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105"/>
      <c r="Y277" s="105"/>
      <c r="Z277" s="105"/>
      <c r="AA277" s="105"/>
      <c r="AB277" s="105"/>
      <c r="AC277" s="105"/>
      <c r="AD277" s="105"/>
      <c r="AE277" s="105"/>
      <c r="AF277" s="105"/>
    </row>
    <row r="278" spans="1:32" ht="23.1" customHeight="1">
      <c r="A278" s="291"/>
      <c r="B278" s="292"/>
      <c r="C278" s="293"/>
      <c r="D278" s="94"/>
      <c r="E278" s="94"/>
      <c r="F278" s="294"/>
      <c r="G278" s="94"/>
      <c r="H278" s="94"/>
      <c r="I278" s="2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105"/>
      <c r="Y278" s="105"/>
      <c r="Z278" s="105"/>
      <c r="AA278" s="105"/>
      <c r="AB278" s="105"/>
      <c r="AC278" s="105"/>
      <c r="AD278" s="105"/>
      <c r="AE278" s="105"/>
      <c r="AF278" s="105"/>
    </row>
    <row r="279" spans="1:32" ht="23.1" customHeight="1">
      <c r="A279" s="291"/>
      <c r="B279" s="292"/>
      <c r="C279" s="293"/>
      <c r="D279" s="94"/>
      <c r="E279" s="94"/>
      <c r="F279" s="294"/>
      <c r="G279" s="94"/>
      <c r="H279" s="94"/>
      <c r="I279" s="2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105"/>
      <c r="Y279" s="105"/>
      <c r="Z279" s="105"/>
      <c r="AA279" s="105"/>
      <c r="AB279" s="105"/>
      <c r="AC279" s="105"/>
      <c r="AD279" s="105"/>
      <c r="AE279" s="105"/>
      <c r="AF279" s="105"/>
    </row>
    <row r="280" spans="1:32" ht="23.1" customHeight="1">
      <c r="A280" s="291"/>
      <c r="B280" s="292"/>
      <c r="C280" s="293"/>
      <c r="D280" s="94"/>
      <c r="E280" s="94"/>
      <c r="F280" s="294"/>
      <c r="G280" s="94"/>
      <c r="H280" s="94"/>
      <c r="I280" s="2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105"/>
      <c r="Y280" s="105"/>
      <c r="Z280" s="105"/>
      <c r="AA280" s="105"/>
      <c r="AB280" s="105"/>
      <c r="AC280" s="105"/>
      <c r="AD280" s="105"/>
      <c r="AE280" s="105"/>
      <c r="AF280" s="105"/>
    </row>
    <row r="281" spans="1:32" ht="23.1" customHeight="1">
      <c r="A281" s="291"/>
      <c r="B281" s="292"/>
      <c r="C281" s="293"/>
      <c r="D281" s="94"/>
      <c r="E281" s="94"/>
      <c r="F281" s="294"/>
      <c r="G281" s="94"/>
      <c r="H281" s="94"/>
      <c r="I281" s="2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105"/>
      <c r="Y281" s="105"/>
      <c r="Z281" s="105"/>
      <c r="AA281" s="105"/>
      <c r="AB281" s="105"/>
      <c r="AC281" s="105"/>
      <c r="AD281" s="105"/>
      <c r="AE281" s="105"/>
      <c r="AF281" s="105"/>
    </row>
    <row r="282" spans="1:32" ht="23.1" customHeight="1">
      <c r="A282" s="291"/>
      <c r="B282" s="292"/>
      <c r="C282" s="293"/>
      <c r="D282" s="94"/>
      <c r="E282" s="94"/>
      <c r="F282" s="294"/>
      <c r="G282" s="94"/>
      <c r="H282" s="94"/>
      <c r="I282" s="2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105"/>
      <c r="Y282" s="105"/>
      <c r="Z282" s="105"/>
      <c r="AA282" s="105"/>
      <c r="AB282" s="105"/>
      <c r="AC282" s="105"/>
      <c r="AD282" s="105"/>
      <c r="AE282" s="105"/>
      <c r="AF282" s="105"/>
    </row>
    <row r="283" spans="1:32" ht="23.1" customHeight="1">
      <c r="A283" s="291"/>
      <c r="B283" s="292"/>
      <c r="C283" s="293"/>
      <c r="D283" s="94"/>
      <c r="E283" s="94"/>
      <c r="F283" s="294"/>
      <c r="G283" s="94"/>
      <c r="H283" s="94"/>
      <c r="I283" s="2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105"/>
      <c r="Y283" s="105"/>
      <c r="Z283" s="105"/>
      <c r="AA283" s="105"/>
      <c r="AB283" s="105"/>
      <c r="AC283" s="105"/>
      <c r="AD283" s="105"/>
      <c r="AE283" s="105"/>
      <c r="AF283" s="105"/>
    </row>
    <row r="284" spans="1:32" ht="23.1" customHeight="1">
      <c r="A284" s="291"/>
      <c r="B284" s="292"/>
      <c r="C284" s="293"/>
      <c r="D284" s="94"/>
      <c r="E284" s="94"/>
      <c r="F284" s="294"/>
      <c r="G284" s="94"/>
      <c r="H284" s="94"/>
      <c r="I284" s="2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105"/>
      <c r="Y284" s="105"/>
      <c r="Z284" s="105"/>
      <c r="AA284" s="105"/>
      <c r="AB284" s="105"/>
      <c r="AC284" s="105"/>
      <c r="AD284" s="105"/>
      <c r="AE284" s="105"/>
      <c r="AF284" s="105"/>
    </row>
    <row r="285" spans="1:32" ht="23.1" customHeight="1">
      <c r="A285" s="291"/>
      <c r="B285" s="292"/>
      <c r="C285" s="293"/>
      <c r="D285" s="94"/>
      <c r="E285" s="94"/>
      <c r="F285" s="294"/>
      <c r="G285" s="94"/>
      <c r="H285" s="94"/>
      <c r="I285" s="2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105"/>
      <c r="Y285" s="105"/>
      <c r="Z285" s="105"/>
      <c r="AA285" s="105"/>
      <c r="AB285" s="105"/>
      <c r="AC285" s="105"/>
      <c r="AD285" s="105"/>
      <c r="AE285" s="105"/>
      <c r="AF285" s="105"/>
    </row>
    <row r="286" spans="1:32" ht="23.1" customHeight="1">
      <c r="A286" s="291"/>
      <c r="B286" s="292"/>
      <c r="C286" s="293"/>
      <c r="D286" s="94"/>
      <c r="E286" s="94"/>
      <c r="F286" s="294"/>
      <c r="G286" s="94"/>
      <c r="H286" s="94"/>
      <c r="I286" s="2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105"/>
      <c r="Y286" s="105"/>
      <c r="Z286" s="105"/>
      <c r="AA286" s="105"/>
      <c r="AB286" s="105"/>
      <c r="AC286" s="105"/>
      <c r="AD286" s="105"/>
      <c r="AE286" s="105"/>
      <c r="AF286" s="105"/>
    </row>
    <row r="287" spans="1:32" ht="23.1" customHeight="1">
      <c r="A287" s="291"/>
      <c r="B287" s="292"/>
      <c r="C287" s="293"/>
      <c r="D287" s="94"/>
      <c r="E287" s="94"/>
      <c r="F287" s="294"/>
      <c r="G287" s="94"/>
      <c r="H287" s="94"/>
      <c r="I287" s="2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105"/>
      <c r="Y287" s="105"/>
      <c r="Z287" s="105"/>
      <c r="AA287" s="105"/>
      <c r="AB287" s="105"/>
      <c r="AC287" s="105"/>
      <c r="AD287" s="105"/>
      <c r="AE287" s="105"/>
      <c r="AF287" s="105"/>
    </row>
    <row r="288" spans="1:32" ht="23.1" customHeight="1">
      <c r="A288" s="291"/>
      <c r="B288" s="292"/>
      <c r="C288" s="293"/>
      <c r="D288" s="94"/>
      <c r="E288" s="94"/>
      <c r="F288" s="294"/>
      <c r="G288" s="94"/>
      <c r="H288" s="94"/>
      <c r="I288" s="2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105"/>
      <c r="Y288" s="105"/>
      <c r="Z288" s="105"/>
      <c r="AA288" s="105"/>
      <c r="AB288" s="105"/>
      <c r="AC288" s="105"/>
      <c r="AD288" s="105"/>
      <c r="AE288" s="105"/>
      <c r="AF288" s="105"/>
    </row>
    <row r="289" spans="1:32" ht="23.1" customHeight="1">
      <c r="A289" s="291"/>
      <c r="B289" s="292"/>
      <c r="C289" s="293"/>
      <c r="D289" s="94"/>
      <c r="E289" s="94"/>
      <c r="F289" s="294"/>
      <c r="G289" s="94"/>
      <c r="H289" s="94"/>
      <c r="I289" s="2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105"/>
      <c r="Y289" s="105"/>
      <c r="Z289" s="105"/>
      <c r="AA289" s="105"/>
      <c r="AB289" s="105"/>
      <c r="AC289" s="105"/>
      <c r="AD289" s="105"/>
      <c r="AE289" s="105"/>
      <c r="AF289" s="105"/>
    </row>
    <row r="290" spans="1:32" ht="23.1" customHeight="1">
      <c r="A290" s="291"/>
      <c r="B290" s="292"/>
      <c r="C290" s="293"/>
      <c r="D290" s="94"/>
      <c r="E290" s="94"/>
      <c r="F290" s="294"/>
      <c r="G290" s="94"/>
      <c r="H290" s="94"/>
      <c r="I290" s="2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105"/>
      <c r="Y290" s="105"/>
      <c r="Z290" s="105"/>
      <c r="AA290" s="105"/>
      <c r="AB290" s="105"/>
      <c r="AC290" s="105"/>
      <c r="AD290" s="105"/>
      <c r="AE290" s="105"/>
      <c r="AF290" s="105"/>
    </row>
    <row r="291" spans="1:32" ht="23.1" customHeight="1">
      <c r="A291" s="291"/>
      <c r="B291" s="292"/>
      <c r="C291" s="293"/>
      <c r="D291" s="94"/>
      <c r="E291" s="94"/>
      <c r="F291" s="294"/>
      <c r="G291" s="94"/>
      <c r="H291" s="94"/>
      <c r="I291" s="2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105"/>
      <c r="Y291" s="105"/>
      <c r="Z291" s="105"/>
      <c r="AA291" s="105"/>
      <c r="AB291" s="105"/>
      <c r="AC291" s="105"/>
      <c r="AD291" s="105"/>
      <c r="AE291" s="105"/>
      <c r="AF291" s="105"/>
    </row>
  </sheetData>
  <mergeCells count="18">
    <mergeCell ref="J4:L4"/>
    <mergeCell ref="M4:P4"/>
    <mergeCell ref="AA3:AG3"/>
    <mergeCell ref="Q4:S4"/>
    <mergeCell ref="T4:W4"/>
    <mergeCell ref="A1:X1"/>
    <mergeCell ref="A2:X2"/>
    <mergeCell ref="D3:I3"/>
    <mergeCell ref="J3:P3"/>
    <mergeCell ref="Q3:W3"/>
    <mergeCell ref="AA4:AC4"/>
    <mergeCell ref="AD4:AG4"/>
    <mergeCell ref="A3:A5"/>
    <mergeCell ref="B3:B5"/>
    <mergeCell ref="C3:C5"/>
    <mergeCell ref="X3:X5"/>
    <mergeCell ref="D4:F4"/>
    <mergeCell ref="G4:I4"/>
  </mergeCells>
  <phoneticPr fontId="76" type="noConversion"/>
  <pageMargins left="0.75" right="0.75" top="1" bottom="1" header="0.5" footer="0.5"/>
  <pageSetup paperSize="9" scale="34" orientation="portrait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E014-334A-44A7-BD21-6DE614D7A58A}">
  <sheetPr>
    <outlinePr summaryBelow="0"/>
  </sheetPr>
  <dimension ref="A1:AD856"/>
  <sheetViews>
    <sheetView tabSelected="1" zoomScale="130" zoomScaleNormal="130" zoomScaleSheetLayoutView="85" workbookViewId="0">
      <pane ySplit="5" topLeftCell="A6" activePane="bottomLeft" state="frozen"/>
      <selection pane="bottomLeft" activeCell="A265" sqref="A265"/>
    </sheetView>
  </sheetViews>
  <sheetFormatPr defaultColWidth="8.75" defaultRowHeight="23.1" customHeight="1" outlineLevelRow="3"/>
  <cols>
    <col min="1" max="1" width="5.625" customWidth="1"/>
    <col min="2" max="2" width="20.375" customWidth="1"/>
    <col min="3" max="3" width="17.875" customWidth="1"/>
    <col min="4" max="4" width="5.625" customWidth="1"/>
    <col min="5" max="5" width="7.625" style="61" customWidth="1"/>
    <col min="6" max="6" width="11.625" style="61" customWidth="1"/>
    <col min="7" max="7" width="12.75" style="61" customWidth="1"/>
    <col min="8" max="9" width="7.625" style="61" customWidth="1"/>
    <col min="10" max="10" width="12.75" style="61" customWidth="1"/>
    <col min="11" max="11" width="10.125" customWidth="1"/>
    <col min="12" max="12" width="10.75" customWidth="1"/>
    <col min="13" max="13" width="10.625" style="61" customWidth="1"/>
    <col min="14" max="15" width="10.125" style="61" customWidth="1"/>
    <col min="16" max="16" width="10.625" style="61" customWidth="1"/>
    <col min="17" max="17" width="10.125" customWidth="1"/>
    <col min="18" max="18" width="11" customWidth="1"/>
    <col min="19" max="19" width="10.875" style="61" customWidth="1"/>
    <col min="20" max="20" width="10.125" style="61" customWidth="1"/>
    <col min="21" max="21" width="11.625" style="61" customWidth="1"/>
    <col min="22" max="22" width="10.875" style="61" customWidth="1"/>
    <col min="23" max="23" width="7.625" customWidth="1"/>
    <col min="24" max="24" width="9.5" style="256" customWidth="1"/>
    <col min="25" max="25" width="8.75" style="61" customWidth="1"/>
    <col min="26" max="26" width="11.625" customWidth="1"/>
    <col min="27" max="27" width="10.75" customWidth="1"/>
    <col min="28" max="28" width="8.375" customWidth="1"/>
    <col min="29" max="29" width="11.625" customWidth="1"/>
    <col min="30" max="30" width="10.75" customWidth="1"/>
  </cols>
  <sheetData>
    <row r="1" spans="1:30" ht="17.100000000000001" customHeight="1">
      <c r="A1" s="425" t="s">
        <v>1480</v>
      </c>
      <c r="B1" s="425"/>
      <c r="C1" s="425"/>
      <c r="D1" s="425"/>
      <c r="E1" s="426"/>
      <c r="F1" s="426"/>
      <c r="G1" s="426"/>
      <c r="H1" s="426"/>
      <c r="I1" s="426"/>
      <c r="J1" s="426"/>
      <c r="K1" s="425"/>
      <c r="L1" s="425"/>
      <c r="M1" s="426"/>
      <c r="N1" s="426"/>
      <c r="O1" s="426"/>
      <c r="P1" s="426"/>
      <c r="Q1" s="425"/>
      <c r="R1" s="425"/>
      <c r="S1" s="426"/>
      <c r="T1" s="426"/>
      <c r="U1" s="426"/>
      <c r="V1" s="426"/>
      <c r="W1" s="425"/>
    </row>
    <row r="2" spans="1:30" s="59" customFormat="1" ht="17.100000000000001" customHeight="1">
      <c r="A2" s="428" t="s">
        <v>367</v>
      </c>
      <c r="B2" s="428"/>
      <c r="C2" s="428"/>
      <c r="D2" s="428"/>
      <c r="E2" s="429"/>
      <c r="F2" s="429"/>
      <c r="G2" s="429"/>
      <c r="H2" s="429"/>
      <c r="I2" s="429"/>
      <c r="J2" s="429"/>
      <c r="K2" s="428"/>
      <c r="L2" s="428"/>
      <c r="M2" s="429"/>
      <c r="N2" s="429"/>
      <c r="O2" s="429"/>
      <c r="P2" s="429"/>
      <c r="Q2" s="428"/>
      <c r="R2" s="428"/>
      <c r="S2" s="429"/>
      <c r="T2" s="429"/>
      <c r="U2" s="429"/>
      <c r="V2" s="429"/>
      <c r="W2" s="428"/>
      <c r="X2" s="268"/>
      <c r="Y2" s="270"/>
    </row>
    <row r="3" spans="1:30" s="59" customFormat="1" ht="17.100000000000001" customHeight="1">
      <c r="A3" s="453" t="s">
        <v>32</v>
      </c>
      <c r="B3" s="454" t="s">
        <v>90</v>
      </c>
      <c r="C3" s="455" t="s">
        <v>91</v>
      </c>
      <c r="D3" s="457" t="s">
        <v>34</v>
      </c>
      <c r="E3" s="430" t="s">
        <v>92</v>
      </c>
      <c r="F3" s="430"/>
      <c r="G3" s="430"/>
      <c r="H3" s="430"/>
      <c r="I3" s="430"/>
      <c r="J3" s="430"/>
      <c r="K3" s="453" t="s">
        <v>36</v>
      </c>
      <c r="L3" s="453"/>
      <c r="M3" s="430"/>
      <c r="N3" s="430"/>
      <c r="O3" s="430"/>
      <c r="P3" s="430"/>
      <c r="Q3" s="453" t="s">
        <v>37</v>
      </c>
      <c r="R3" s="453"/>
      <c r="S3" s="430"/>
      <c r="T3" s="430"/>
      <c r="U3" s="430"/>
      <c r="V3" s="430"/>
      <c r="W3" s="447" t="s">
        <v>38</v>
      </c>
      <c r="X3" s="268"/>
      <c r="Y3" s="430" t="s">
        <v>93</v>
      </c>
      <c r="Z3" s="453"/>
      <c r="AA3" s="430"/>
      <c r="AB3" s="430"/>
      <c r="AC3" s="430"/>
      <c r="AD3" s="430"/>
    </row>
    <row r="4" spans="1:30" s="59" customFormat="1" ht="17.100000000000001" customHeight="1">
      <c r="A4" s="420"/>
      <c r="B4" s="420"/>
      <c r="C4" s="456"/>
      <c r="D4" s="420"/>
      <c r="E4" s="430" t="s">
        <v>42</v>
      </c>
      <c r="F4" s="430"/>
      <c r="G4" s="430"/>
      <c r="H4" s="430" t="s">
        <v>94</v>
      </c>
      <c r="I4" s="431"/>
      <c r="J4" s="431"/>
      <c r="K4" s="430" t="s">
        <v>42</v>
      </c>
      <c r="L4" s="430"/>
      <c r="M4" s="430"/>
      <c r="N4" s="430" t="s">
        <v>43</v>
      </c>
      <c r="O4" s="430"/>
      <c r="P4" s="430"/>
      <c r="Q4" s="430" t="s">
        <v>42</v>
      </c>
      <c r="R4" s="430"/>
      <c r="S4" s="430"/>
      <c r="T4" s="430" t="s">
        <v>43</v>
      </c>
      <c r="U4" s="430"/>
      <c r="V4" s="430"/>
      <c r="W4" s="447"/>
      <c r="X4" s="268"/>
      <c r="Y4" s="430" t="s">
        <v>42</v>
      </c>
      <c r="Z4" s="430"/>
      <c r="AA4" s="430"/>
      <c r="AB4" s="430" t="s">
        <v>43</v>
      </c>
      <c r="AC4" s="430"/>
      <c r="AD4" s="430"/>
    </row>
    <row r="5" spans="1:30" s="59" customFormat="1" ht="17.100000000000001" customHeight="1">
      <c r="A5" s="420"/>
      <c r="B5" s="420"/>
      <c r="C5" s="456"/>
      <c r="D5" s="420"/>
      <c r="E5" s="114" t="s">
        <v>95</v>
      </c>
      <c r="F5" s="114" t="s">
        <v>96</v>
      </c>
      <c r="G5" s="114" t="s">
        <v>97</v>
      </c>
      <c r="H5" s="114" t="s">
        <v>95</v>
      </c>
      <c r="I5" s="114" t="s">
        <v>96</v>
      </c>
      <c r="J5" s="114" t="s">
        <v>63</v>
      </c>
      <c r="K5" s="114" t="s">
        <v>95</v>
      </c>
      <c r="L5" s="116" t="s">
        <v>96</v>
      </c>
      <c r="M5" s="114" t="s">
        <v>97</v>
      </c>
      <c r="N5" s="114" t="s">
        <v>95</v>
      </c>
      <c r="O5" s="114" t="s">
        <v>96</v>
      </c>
      <c r="P5" s="114" t="s">
        <v>97</v>
      </c>
      <c r="Q5" s="114" t="s">
        <v>95</v>
      </c>
      <c r="R5" s="116" t="s">
        <v>96</v>
      </c>
      <c r="S5" s="114" t="s">
        <v>97</v>
      </c>
      <c r="T5" s="114" t="s">
        <v>95</v>
      </c>
      <c r="U5" s="114" t="s">
        <v>96</v>
      </c>
      <c r="V5" s="114" t="s">
        <v>97</v>
      </c>
      <c r="W5" s="447"/>
      <c r="X5" s="268">
        <f>+X294+X295+X296+X312+X313+X468</f>
        <v>1093058.6599999999</v>
      </c>
      <c r="Y5" s="114" t="s">
        <v>95</v>
      </c>
      <c r="Z5" s="116" t="s">
        <v>96</v>
      </c>
      <c r="AA5" s="114" t="s">
        <v>97</v>
      </c>
      <c r="AB5" s="114" t="s">
        <v>95</v>
      </c>
      <c r="AC5" s="114" t="s">
        <v>96</v>
      </c>
      <c r="AD5" s="114" t="s">
        <v>97</v>
      </c>
    </row>
    <row r="6" spans="1:30" s="215" customFormat="1" ht="23.1" customHeight="1" collapsed="1">
      <c r="A6" s="257" t="s">
        <v>98</v>
      </c>
      <c r="B6" s="221" t="s">
        <v>368</v>
      </c>
      <c r="C6" s="221"/>
      <c r="D6" s="221"/>
      <c r="E6" s="222"/>
      <c r="F6" s="222"/>
      <c r="G6" s="222">
        <f>SUM(G7:G15)</f>
        <v>748244.65717782616</v>
      </c>
      <c r="H6" s="222"/>
      <c r="I6" s="222"/>
      <c r="J6" s="222">
        <f>SUM(J7:J15)</f>
        <v>414077.95</v>
      </c>
      <c r="K6" s="119"/>
      <c r="L6" s="262"/>
      <c r="M6" s="262">
        <f>SUM(M7:M15)</f>
        <v>-37489.21304807339</v>
      </c>
      <c r="N6" s="222"/>
      <c r="O6" s="222"/>
      <c r="P6" s="262">
        <f>SUM(P7:P15)</f>
        <v>-312278.27954967372</v>
      </c>
      <c r="Q6" s="119"/>
      <c r="R6" s="262"/>
      <c r="S6" s="262">
        <f>SUM(S7:S15)</f>
        <v>2121654.5148777543</v>
      </c>
      <c r="T6" s="222"/>
      <c r="U6" s="222"/>
      <c r="V6" s="262">
        <f>SUM(V7:V15)</f>
        <v>1652037.2804503262</v>
      </c>
      <c r="W6" s="137"/>
      <c r="X6" s="269"/>
      <c r="Y6" s="222"/>
      <c r="Z6" s="262"/>
      <c r="AA6" s="262">
        <v>2121654.5148777543</v>
      </c>
      <c r="AB6" s="222"/>
      <c r="AC6" s="222"/>
      <c r="AD6" s="262">
        <v>1964315.56</v>
      </c>
    </row>
    <row r="7" spans="1:30" s="216" customFormat="1" ht="23.1" hidden="1" customHeight="1" outlineLevel="1">
      <c r="A7" s="258">
        <v>1</v>
      </c>
      <c r="B7" s="198" t="s">
        <v>369</v>
      </c>
      <c r="C7" s="198"/>
      <c r="D7" s="223" t="s">
        <v>103</v>
      </c>
      <c r="E7" s="207">
        <v>2029.36</v>
      </c>
      <c r="F7" s="205">
        <v>3.39549533944954</v>
      </c>
      <c r="G7" s="205">
        <v>6890.6824220653207</v>
      </c>
      <c r="H7" s="207">
        <v>2029.36</v>
      </c>
      <c r="I7" s="207"/>
      <c r="J7" s="207">
        <v>20293.599999999999</v>
      </c>
      <c r="K7" s="123">
        <f>+Q7-Y7</f>
        <v>0</v>
      </c>
      <c r="L7" s="263">
        <f>+R7</f>
        <v>3.3954953394495413</v>
      </c>
      <c r="M7" s="205">
        <f>+L7*K7</f>
        <v>0</v>
      </c>
      <c r="N7" s="207">
        <f t="shared" ref="N7:N15" si="0">+T7-AB7</f>
        <v>0</v>
      </c>
      <c r="O7" s="207">
        <f>+U7</f>
        <v>7</v>
      </c>
      <c r="P7" s="205">
        <f t="shared" ref="P7:P15" si="1">+O7*N7</f>
        <v>0</v>
      </c>
      <c r="Q7" s="123">
        <v>12899.8</v>
      </c>
      <c r="R7" s="263">
        <v>3.3954953394495413</v>
      </c>
      <c r="S7" s="205">
        <f t="shared" ref="S7:S15" si="2">+R7*Q7</f>
        <v>43801.210779831192</v>
      </c>
      <c r="T7" s="206">
        <f>+Q7</f>
        <v>12899.8</v>
      </c>
      <c r="U7" s="207">
        <v>7</v>
      </c>
      <c r="V7" s="205">
        <f>+U7*T7</f>
        <v>90298.599999999991</v>
      </c>
      <c r="W7" s="123" t="e" vm="1">
        <f ca="1">_xlfn.DISPIMG("ID_B109C0F5CA4242FF90574D65B8EAB85B",1)</f>
        <v>#NAME?</v>
      </c>
      <c r="X7" s="268"/>
      <c r="Y7" s="207">
        <v>12899.8</v>
      </c>
      <c r="Z7" s="263">
        <v>3.3954953394495413</v>
      </c>
      <c r="AA7" s="205">
        <v>43801.210779831192</v>
      </c>
      <c r="AB7" s="206">
        <v>12899.8</v>
      </c>
      <c r="AC7" s="207">
        <v>7</v>
      </c>
      <c r="AD7" s="205">
        <v>90298.6</v>
      </c>
    </row>
    <row r="8" spans="1:30" s="216" customFormat="1" ht="23.1" hidden="1" customHeight="1" outlineLevel="1">
      <c r="A8" s="258">
        <v>2</v>
      </c>
      <c r="B8" s="198" t="s">
        <v>370</v>
      </c>
      <c r="C8" s="198"/>
      <c r="D8" s="223" t="s">
        <v>103</v>
      </c>
      <c r="E8" s="207">
        <v>449.33</v>
      </c>
      <c r="F8" s="205">
        <v>8.6784308256880731</v>
      </c>
      <c r="G8" s="205">
        <v>3899.4793229064217</v>
      </c>
      <c r="H8" s="207">
        <v>449.33</v>
      </c>
      <c r="I8" s="207"/>
      <c r="J8" s="207">
        <v>6739.95</v>
      </c>
      <c r="K8" s="123">
        <f t="shared" ref="K8:K13" si="3">+Q8-Y8</f>
        <v>0</v>
      </c>
      <c r="L8" s="263">
        <f t="shared" ref="L8:L14" si="4">+R8</f>
        <v>8.6784308256880731</v>
      </c>
      <c r="M8" s="205">
        <f t="shared" ref="M8:M15" si="5">+L8*K8</f>
        <v>0</v>
      </c>
      <c r="N8" s="207">
        <f t="shared" si="0"/>
        <v>-1452.8657541641942</v>
      </c>
      <c r="O8" s="207">
        <f>+U8</f>
        <v>12</v>
      </c>
      <c r="P8" s="205">
        <f t="shared" si="1"/>
        <v>-17434.38904997033</v>
      </c>
      <c r="Q8" s="123">
        <v>2197.2800000000002</v>
      </c>
      <c r="R8" s="263">
        <v>8.6784308256880731</v>
      </c>
      <c r="S8" s="205">
        <f t="shared" si="2"/>
        <v>19068.942484667892</v>
      </c>
      <c r="T8" s="206">
        <v>744.41424583580601</v>
      </c>
      <c r="U8" s="207">
        <v>12</v>
      </c>
      <c r="V8" s="205">
        <f t="shared" ref="V8:V13" si="6">+U8*T8</f>
        <v>8932.9709500296722</v>
      </c>
      <c r="W8" s="123"/>
      <c r="X8" s="268"/>
      <c r="Y8" s="207">
        <v>2197.2800000000002</v>
      </c>
      <c r="Z8" s="263">
        <v>8.6784308256880731</v>
      </c>
      <c r="AA8" s="205">
        <v>19068.942484667892</v>
      </c>
      <c r="AB8" s="206">
        <v>2197.2800000000002</v>
      </c>
      <c r="AC8" s="207">
        <v>12</v>
      </c>
      <c r="AD8" s="205">
        <v>26367.360000000001</v>
      </c>
    </row>
    <row r="9" spans="1:30" s="216" customFormat="1" ht="23.1" hidden="1" customHeight="1" outlineLevel="1">
      <c r="A9" s="258">
        <v>3</v>
      </c>
      <c r="B9" s="198" t="s">
        <v>371</v>
      </c>
      <c r="C9" s="198"/>
      <c r="D9" s="223" t="s">
        <v>103</v>
      </c>
      <c r="E9" s="207">
        <v>299.55</v>
      </c>
      <c r="F9" s="205">
        <v>104.56797798165138</v>
      </c>
      <c r="G9" s="205">
        <v>31323.337804403673</v>
      </c>
      <c r="H9" s="207">
        <v>299.55</v>
      </c>
      <c r="I9" s="207"/>
      <c r="J9" s="207">
        <v>11982</v>
      </c>
      <c r="K9" s="123">
        <f t="shared" si="3"/>
        <v>0</v>
      </c>
      <c r="L9" s="263">
        <f t="shared" si="4"/>
        <v>104.56797798165138</v>
      </c>
      <c r="M9" s="205">
        <f t="shared" si="5"/>
        <v>0</v>
      </c>
      <c r="N9" s="207">
        <f t="shared" si="0"/>
        <v>0</v>
      </c>
      <c r="O9" s="207">
        <f>+U9</f>
        <v>35</v>
      </c>
      <c r="P9" s="205">
        <f t="shared" si="1"/>
        <v>0</v>
      </c>
      <c r="Q9" s="123">
        <v>16.13</v>
      </c>
      <c r="R9" s="263">
        <v>104.56797798165138</v>
      </c>
      <c r="S9" s="205">
        <f t="shared" si="2"/>
        <v>1686.6814848440367</v>
      </c>
      <c r="T9" s="207">
        <v>0</v>
      </c>
      <c r="U9" s="207">
        <v>35</v>
      </c>
      <c r="V9" s="205">
        <f t="shared" si="6"/>
        <v>0</v>
      </c>
      <c r="W9" s="123"/>
      <c r="X9" s="268"/>
      <c r="Y9" s="207">
        <v>16.13</v>
      </c>
      <c r="Z9" s="263">
        <v>104.56797798165138</v>
      </c>
      <c r="AA9" s="205">
        <v>1686.6814848440367</v>
      </c>
      <c r="AB9" s="207">
        <v>0</v>
      </c>
      <c r="AC9" s="207">
        <v>35</v>
      </c>
      <c r="AD9" s="205">
        <v>0</v>
      </c>
    </row>
    <row r="10" spans="1:30" s="216" customFormat="1" ht="23.1" hidden="1" customHeight="1" outlineLevel="1">
      <c r="A10" s="258">
        <v>4</v>
      </c>
      <c r="B10" s="198" t="s">
        <v>372</v>
      </c>
      <c r="C10" s="198"/>
      <c r="D10" s="223" t="s">
        <v>103</v>
      </c>
      <c r="E10" s="207">
        <v>2778.24</v>
      </c>
      <c r="F10" s="205">
        <v>137.52704587155964</v>
      </c>
      <c r="G10" s="205">
        <v>382083.13992220181</v>
      </c>
      <c r="H10" s="207">
        <v>2778.24</v>
      </c>
      <c r="I10" s="207"/>
      <c r="J10" s="207">
        <v>375062.4</v>
      </c>
      <c r="K10" s="123">
        <f t="shared" si="3"/>
        <v>0</v>
      </c>
      <c r="L10" s="263">
        <f t="shared" si="4"/>
        <v>137.52704587155964</v>
      </c>
      <c r="M10" s="205">
        <f t="shared" si="5"/>
        <v>0</v>
      </c>
      <c r="N10" s="207">
        <f t="shared" si="0"/>
        <v>-2070.3657541641951</v>
      </c>
      <c r="O10" s="207">
        <f>+U10</f>
        <v>120</v>
      </c>
      <c r="P10" s="205">
        <f t="shared" si="1"/>
        <v>-248443.89049970341</v>
      </c>
      <c r="Q10" s="123">
        <v>15397.08</v>
      </c>
      <c r="R10" s="263">
        <v>137.52704587155964</v>
      </c>
      <c r="S10" s="205">
        <f t="shared" si="2"/>
        <v>2117514.9274480734</v>
      </c>
      <c r="T10" s="240">
        <v>13326.714245835805</v>
      </c>
      <c r="U10" s="207">
        <v>120</v>
      </c>
      <c r="V10" s="205">
        <f t="shared" si="6"/>
        <v>1599205.7095002965</v>
      </c>
      <c r="W10" s="123"/>
      <c r="X10" s="268"/>
      <c r="Y10" s="207">
        <v>15397.08</v>
      </c>
      <c r="Z10" s="263">
        <v>137.52704587155964</v>
      </c>
      <c r="AA10" s="205">
        <v>2117514.9274480734</v>
      </c>
      <c r="AB10" s="206">
        <v>15397.08</v>
      </c>
      <c r="AC10" s="207">
        <v>120</v>
      </c>
      <c r="AD10" s="205">
        <v>1847649.6</v>
      </c>
    </row>
    <row r="11" spans="1:30" s="216" customFormat="1" ht="23.1" hidden="1" customHeight="1" outlineLevel="1">
      <c r="A11" s="258">
        <v>5</v>
      </c>
      <c r="B11" s="198" t="s">
        <v>373</v>
      </c>
      <c r="C11" s="198"/>
      <c r="D11" s="223" t="s">
        <v>103</v>
      </c>
      <c r="E11" s="207">
        <v>2478.69</v>
      </c>
      <c r="F11" s="205">
        <v>19.585748256880734</v>
      </c>
      <c r="G11" s="205">
        <v>48546.998346847708</v>
      </c>
      <c r="H11" s="207">
        <v>2478.69</v>
      </c>
      <c r="I11" s="205"/>
      <c r="J11" s="205">
        <v>0</v>
      </c>
      <c r="K11" s="123">
        <f t="shared" si="3"/>
        <v>0</v>
      </c>
      <c r="L11" s="263">
        <f t="shared" si="4"/>
        <v>19.585748256880734</v>
      </c>
      <c r="M11" s="205">
        <f t="shared" si="5"/>
        <v>0</v>
      </c>
      <c r="N11" s="123">
        <f t="shared" si="0"/>
        <v>0</v>
      </c>
      <c r="O11" s="207">
        <v>0</v>
      </c>
      <c r="P11" s="205">
        <f t="shared" si="1"/>
        <v>0</v>
      </c>
      <c r="Q11" s="123">
        <v>1264.78</v>
      </c>
      <c r="R11" s="263">
        <v>19.585748256880734</v>
      </c>
      <c r="S11" s="205">
        <f t="shared" si="2"/>
        <v>24771.662680337613</v>
      </c>
      <c r="T11" s="207">
        <v>0</v>
      </c>
      <c r="U11" s="207">
        <v>0</v>
      </c>
      <c r="V11" s="205">
        <f t="shared" si="6"/>
        <v>0</v>
      </c>
      <c r="W11" s="123"/>
      <c r="X11" s="268"/>
      <c r="Y11" s="207">
        <v>1264.78</v>
      </c>
      <c r="Z11" s="263">
        <v>19.585748256880734</v>
      </c>
      <c r="AA11" s="205">
        <v>24771.662680337613</v>
      </c>
      <c r="AB11" s="207">
        <v>0</v>
      </c>
      <c r="AC11" s="207">
        <v>0</v>
      </c>
      <c r="AD11" s="205">
        <v>0</v>
      </c>
    </row>
    <row r="12" spans="1:30" s="216" customFormat="1" ht="23.1" hidden="1" customHeight="1" outlineLevel="1">
      <c r="A12" s="258">
        <v>6</v>
      </c>
      <c r="B12" s="198" t="s">
        <v>374</v>
      </c>
      <c r="C12" s="198"/>
      <c r="D12" s="223" t="s">
        <v>103</v>
      </c>
      <c r="E12" s="207">
        <v>5907.12</v>
      </c>
      <c r="F12" s="205">
        <v>55.428141798165136</v>
      </c>
      <c r="G12" s="205">
        <v>327420.68497877725</v>
      </c>
      <c r="H12" s="207">
        <v>5907.12</v>
      </c>
      <c r="I12" s="205"/>
      <c r="J12" s="205">
        <v>0</v>
      </c>
      <c r="K12" s="123">
        <f t="shared" si="3"/>
        <v>0</v>
      </c>
      <c r="L12" s="263">
        <f t="shared" si="4"/>
        <v>55.428141798165136</v>
      </c>
      <c r="M12" s="205">
        <f t="shared" si="5"/>
        <v>0</v>
      </c>
      <c r="N12" s="123">
        <f t="shared" si="0"/>
        <v>2320</v>
      </c>
      <c r="O12" s="207">
        <v>-20</v>
      </c>
      <c r="P12" s="205">
        <f t="shared" si="1"/>
        <v>-46400</v>
      </c>
      <c r="Q12" s="123">
        <v>0</v>
      </c>
      <c r="R12" s="263">
        <v>55.428141798165136</v>
      </c>
      <c r="S12" s="205">
        <f t="shared" si="2"/>
        <v>0</v>
      </c>
      <c r="T12" s="206">
        <v>2320</v>
      </c>
      <c r="U12" s="207">
        <v>-20</v>
      </c>
      <c r="V12" s="205">
        <f t="shared" si="6"/>
        <v>-46400</v>
      </c>
      <c r="W12" s="123"/>
      <c r="X12" s="268"/>
      <c r="Y12" s="207">
        <v>0</v>
      </c>
      <c r="Z12" s="263">
        <v>55.428141798165136</v>
      </c>
      <c r="AA12" s="205">
        <v>0</v>
      </c>
      <c r="AB12" s="207">
        <v>0</v>
      </c>
      <c r="AC12" s="207">
        <v>-20</v>
      </c>
      <c r="AD12" s="205">
        <v>0</v>
      </c>
    </row>
    <row r="13" spans="1:30" s="216" customFormat="1" ht="23.1" hidden="1" customHeight="1" outlineLevel="1">
      <c r="A13" s="258">
        <v>7</v>
      </c>
      <c r="B13" s="198" t="s">
        <v>375</v>
      </c>
      <c r="C13" s="198"/>
      <c r="D13" s="223" t="s">
        <v>103</v>
      </c>
      <c r="E13" s="207">
        <v>150</v>
      </c>
      <c r="F13" s="205">
        <v>58.339921321100917</v>
      </c>
      <c r="G13" s="205">
        <v>8750.9881981651379</v>
      </c>
      <c r="H13" s="207">
        <v>150</v>
      </c>
      <c r="I13" s="205"/>
      <c r="J13" s="205">
        <v>0</v>
      </c>
      <c r="K13" s="123">
        <f t="shared" si="3"/>
        <v>0</v>
      </c>
      <c r="L13" s="263">
        <f t="shared" si="4"/>
        <v>58.339921321100917</v>
      </c>
      <c r="M13" s="205">
        <f t="shared" si="5"/>
        <v>0</v>
      </c>
      <c r="N13" s="123">
        <f t="shared" si="0"/>
        <v>0</v>
      </c>
      <c r="O13" s="207">
        <v>0</v>
      </c>
      <c r="P13" s="205">
        <f t="shared" si="1"/>
        <v>0</v>
      </c>
      <c r="Q13" s="123">
        <v>0</v>
      </c>
      <c r="R13" s="263">
        <v>58.339921321100917</v>
      </c>
      <c r="S13" s="205">
        <f t="shared" si="2"/>
        <v>0</v>
      </c>
      <c r="T13" s="207">
        <v>0</v>
      </c>
      <c r="U13" s="207">
        <v>0</v>
      </c>
      <c r="V13" s="205">
        <f t="shared" si="6"/>
        <v>0</v>
      </c>
      <c r="W13" s="123"/>
      <c r="X13" s="268"/>
      <c r="Y13" s="207">
        <v>0</v>
      </c>
      <c r="Z13" s="263">
        <v>58.339921321100917</v>
      </c>
      <c r="AA13" s="205">
        <v>0</v>
      </c>
      <c r="AB13" s="207">
        <v>0</v>
      </c>
      <c r="AC13" s="207">
        <v>0</v>
      </c>
      <c r="AD13" s="205">
        <v>0</v>
      </c>
    </row>
    <row r="14" spans="1:30" s="216" customFormat="1" ht="23.1" hidden="1" customHeight="1" outlineLevel="1">
      <c r="A14" s="258">
        <v>8</v>
      </c>
      <c r="B14" s="198" t="s">
        <v>376</v>
      </c>
      <c r="C14" s="198"/>
      <c r="D14" s="198" t="s">
        <v>143</v>
      </c>
      <c r="E14" s="207">
        <v>1</v>
      </c>
      <c r="F14" s="205">
        <v>-29515.940769467888</v>
      </c>
      <c r="G14" s="205">
        <v>-29515.940769467888</v>
      </c>
      <c r="H14" s="207">
        <v>1</v>
      </c>
      <c r="I14" s="207"/>
      <c r="J14" s="207">
        <v>0</v>
      </c>
      <c r="K14" s="123">
        <v>1</v>
      </c>
      <c r="L14" s="263">
        <f t="shared" si="4"/>
        <v>-6334.5</v>
      </c>
      <c r="M14" s="205">
        <f t="shared" si="5"/>
        <v>-6334.5</v>
      </c>
      <c r="N14" s="123">
        <f t="shared" si="0"/>
        <v>0</v>
      </c>
      <c r="O14" s="207">
        <v>0</v>
      </c>
      <c r="P14" s="205">
        <f t="shared" si="1"/>
        <v>0</v>
      </c>
      <c r="Q14" s="123">
        <v>1</v>
      </c>
      <c r="R14" s="263">
        <v>-6334.5</v>
      </c>
      <c r="S14" s="205">
        <f t="shared" si="2"/>
        <v>-6334.5</v>
      </c>
      <c r="T14" s="207"/>
      <c r="U14" s="207"/>
      <c r="V14" s="205"/>
      <c r="W14" s="123"/>
      <c r="X14" s="268"/>
      <c r="Y14" s="207">
        <v>1</v>
      </c>
      <c r="Z14" s="263">
        <v>-6334.5</v>
      </c>
      <c r="AA14" s="205">
        <v>-6334.5</v>
      </c>
      <c r="AB14" s="207">
        <v>0</v>
      </c>
      <c r="AC14" s="207">
        <v>0</v>
      </c>
      <c r="AD14" s="205">
        <v>0</v>
      </c>
    </row>
    <row r="15" spans="1:30" s="216" customFormat="1" ht="23.1" hidden="1" customHeight="1" outlineLevel="1">
      <c r="A15" s="258">
        <v>9</v>
      </c>
      <c r="B15" s="198" t="s">
        <v>377</v>
      </c>
      <c r="C15" s="198"/>
      <c r="D15" s="198" t="s">
        <v>143</v>
      </c>
      <c r="E15" s="207">
        <v>1</v>
      </c>
      <c r="F15" s="205">
        <v>-31154.713048073394</v>
      </c>
      <c r="G15" s="205">
        <v>-31154.713048073394</v>
      </c>
      <c r="H15" s="207">
        <v>1</v>
      </c>
      <c r="I15" s="207"/>
      <c r="J15" s="207">
        <v>0</v>
      </c>
      <c r="K15" s="123">
        <v>1</v>
      </c>
      <c r="L15" s="263">
        <f>F15</f>
        <v>-31154.713048073394</v>
      </c>
      <c r="M15" s="205">
        <f t="shared" si="5"/>
        <v>-31154.713048073394</v>
      </c>
      <c r="N15" s="123">
        <f t="shared" si="0"/>
        <v>0</v>
      </c>
      <c r="O15" s="207">
        <v>0</v>
      </c>
      <c r="P15" s="205">
        <f t="shared" si="1"/>
        <v>0</v>
      </c>
      <c r="Q15" s="123">
        <v>1</v>
      </c>
      <c r="R15" s="263">
        <v>-78854.41</v>
      </c>
      <c r="S15" s="205">
        <f t="shared" si="2"/>
        <v>-78854.41</v>
      </c>
      <c r="T15" s="207"/>
      <c r="U15" s="207"/>
      <c r="V15" s="205"/>
      <c r="W15" s="123"/>
      <c r="X15" s="268"/>
      <c r="Y15" s="207">
        <v>1</v>
      </c>
      <c r="Z15" s="263">
        <v>-78854.41</v>
      </c>
      <c r="AA15" s="205">
        <v>-78854.41</v>
      </c>
      <c r="AB15" s="207">
        <v>0</v>
      </c>
      <c r="AC15" s="207">
        <v>0</v>
      </c>
      <c r="AD15" s="205">
        <v>0</v>
      </c>
    </row>
    <row r="16" spans="1:30" s="215" customFormat="1" ht="23.1" customHeight="1" collapsed="1">
      <c r="A16" s="220" t="s">
        <v>169</v>
      </c>
      <c r="B16" s="224" t="s">
        <v>378</v>
      </c>
      <c r="C16" s="220"/>
      <c r="D16" s="259"/>
      <c r="E16" s="229"/>
      <c r="F16" s="222"/>
      <c r="G16" s="222">
        <v>2682918.9155930728</v>
      </c>
      <c r="H16" s="229"/>
      <c r="I16" s="229"/>
      <c r="J16" s="229">
        <v>5551864.2451999998</v>
      </c>
      <c r="K16" s="137"/>
      <c r="L16" s="264"/>
      <c r="M16" s="222">
        <f>SUM(M17:M31)</f>
        <v>-234160.22547611012</v>
      </c>
      <c r="N16" s="229"/>
      <c r="O16" s="229"/>
      <c r="P16" s="222">
        <f>SUM(P17:P31)</f>
        <v>0</v>
      </c>
      <c r="Q16" s="137"/>
      <c r="R16" s="264"/>
      <c r="S16" s="222">
        <f>SUM(S17:S31)</f>
        <v>-234160.22547611012</v>
      </c>
      <c r="T16" s="229"/>
      <c r="U16" s="229"/>
      <c r="V16" s="222">
        <f>SUM(V17:V31)</f>
        <v>0</v>
      </c>
      <c r="W16" s="137"/>
      <c r="X16" s="269"/>
      <c r="Y16" s="229"/>
      <c r="Z16" s="264"/>
      <c r="AA16" s="222">
        <v>0</v>
      </c>
      <c r="AB16" s="229"/>
      <c r="AC16" s="229"/>
      <c r="AD16" s="222">
        <v>0</v>
      </c>
    </row>
    <row r="17" spans="1:30" s="216" customFormat="1" ht="23.1" hidden="1" customHeight="1" outlineLevel="1">
      <c r="A17" s="223">
        <v>1</v>
      </c>
      <c r="B17" s="225" t="s">
        <v>379</v>
      </c>
      <c r="C17" s="223" t="s">
        <v>380</v>
      </c>
      <c r="D17" s="260" t="s">
        <v>247</v>
      </c>
      <c r="E17" s="207">
        <v>668.56</v>
      </c>
      <c r="F17" s="205">
        <v>542.7860538715596</v>
      </c>
      <c r="G17" s="205">
        <v>362885.04417636985</v>
      </c>
      <c r="H17" s="207">
        <v>668.56</v>
      </c>
      <c r="I17" s="207"/>
      <c r="J17" s="207">
        <v>735415.99999999988</v>
      </c>
      <c r="K17" s="123"/>
      <c r="L17" s="265">
        <v>542.7860538715596</v>
      </c>
      <c r="M17" s="205">
        <f>+L17*K17</f>
        <v>0</v>
      </c>
      <c r="N17" s="207"/>
      <c r="O17" s="207"/>
      <c r="P17" s="205">
        <f>+O17*N17</f>
        <v>0</v>
      </c>
      <c r="Q17" s="123"/>
      <c r="R17" s="265">
        <v>542.7860538715596</v>
      </c>
      <c r="S17" s="205">
        <f>+R17*Q17</f>
        <v>0</v>
      </c>
      <c r="T17" s="207"/>
      <c r="U17" s="207"/>
      <c r="V17" s="205">
        <f>+U17*T17</f>
        <v>0</v>
      </c>
      <c r="W17" s="123"/>
      <c r="X17" s="268"/>
      <c r="Y17" s="207"/>
      <c r="Z17" s="265">
        <v>542.7860538715596</v>
      </c>
      <c r="AA17" s="205">
        <v>0</v>
      </c>
      <c r="AB17" s="207"/>
      <c r="AC17" s="207"/>
      <c r="AD17" s="205">
        <v>0</v>
      </c>
    </row>
    <row r="18" spans="1:30" s="216" customFormat="1" ht="23.1" hidden="1" customHeight="1" outlineLevel="1">
      <c r="A18" s="223">
        <v>2</v>
      </c>
      <c r="B18" s="225" t="s">
        <v>381</v>
      </c>
      <c r="C18" s="223" t="s">
        <v>382</v>
      </c>
      <c r="D18" s="260" t="s">
        <v>247</v>
      </c>
      <c r="E18" s="207">
        <v>3205.63</v>
      </c>
      <c r="F18" s="205">
        <v>450.26354818348625</v>
      </c>
      <c r="G18" s="205">
        <v>1443378.337963429</v>
      </c>
      <c r="H18" s="207">
        <v>3205.63</v>
      </c>
      <c r="I18" s="207"/>
      <c r="J18" s="207">
        <v>3109461.1</v>
      </c>
      <c r="K18" s="123"/>
      <c r="L18" s="265">
        <v>450.26354818348625</v>
      </c>
      <c r="M18" s="205">
        <f t="shared" ref="M18:M31" si="7">+L18*K18</f>
        <v>0</v>
      </c>
      <c r="N18" s="207"/>
      <c r="O18" s="207"/>
      <c r="P18" s="205">
        <f t="shared" ref="P18:P31" si="8">+O18*N18</f>
        <v>0</v>
      </c>
      <c r="Q18" s="123"/>
      <c r="R18" s="265">
        <v>450.26354818348625</v>
      </c>
      <c r="S18" s="205">
        <f t="shared" ref="S18:S31" si="9">+R18*Q18</f>
        <v>0</v>
      </c>
      <c r="T18" s="207"/>
      <c r="U18" s="207"/>
      <c r="V18" s="205">
        <f t="shared" ref="V18:V31" si="10">+U18*T18</f>
        <v>0</v>
      </c>
      <c r="W18" s="123"/>
      <c r="X18" s="268"/>
      <c r="Y18" s="207"/>
      <c r="Z18" s="265">
        <v>450.26354818348625</v>
      </c>
      <c r="AA18" s="205">
        <v>0</v>
      </c>
      <c r="AB18" s="207"/>
      <c r="AC18" s="207"/>
      <c r="AD18" s="205">
        <v>0</v>
      </c>
    </row>
    <row r="19" spans="1:30" s="216" customFormat="1" ht="23.1" hidden="1" customHeight="1" outlineLevel="1">
      <c r="A19" s="223">
        <v>3</v>
      </c>
      <c r="B19" s="225" t="s">
        <v>383</v>
      </c>
      <c r="C19" s="223" t="s">
        <v>384</v>
      </c>
      <c r="D19" s="260" t="s">
        <v>247</v>
      </c>
      <c r="E19" s="207">
        <v>177.54</v>
      </c>
      <c r="F19" s="205">
        <v>447.39919177981653</v>
      </c>
      <c r="G19" s="205">
        <v>79431.25250858863</v>
      </c>
      <c r="H19" s="207">
        <v>177.54</v>
      </c>
      <c r="I19" s="207"/>
      <c r="J19" s="207">
        <v>213048</v>
      </c>
      <c r="K19" s="123"/>
      <c r="L19" s="265">
        <v>447.39919177981653</v>
      </c>
      <c r="M19" s="205">
        <f t="shared" si="7"/>
        <v>0</v>
      </c>
      <c r="N19" s="207"/>
      <c r="O19" s="207"/>
      <c r="P19" s="205">
        <f t="shared" si="8"/>
        <v>0</v>
      </c>
      <c r="Q19" s="123"/>
      <c r="R19" s="265">
        <v>447.39919177981653</v>
      </c>
      <c r="S19" s="205">
        <f t="shared" si="9"/>
        <v>0</v>
      </c>
      <c r="T19" s="207"/>
      <c r="U19" s="207"/>
      <c r="V19" s="205">
        <f t="shared" si="10"/>
        <v>0</v>
      </c>
      <c r="W19" s="123"/>
      <c r="X19" s="268"/>
      <c r="Y19" s="207"/>
      <c r="Z19" s="265">
        <v>447.39919177981653</v>
      </c>
      <c r="AA19" s="205">
        <v>0</v>
      </c>
      <c r="AB19" s="207"/>
      <c r="AC19" s="207"/>
      <c r="AD19" s="205">
        <v>0</v>
      </c>
    </row>
    <row r="20" spans="1:30" s="216" customFormat="1" ht="23.1" hidden="1" customHeight="1" outlineLevel="1">
      <c r="A20" s="223">
        <v>4</v>
      </c>
      <c r="B20" s="225" t="s">
        <v>385</v>
      </c>
      <c r="C20" s="223" t="s">
        <v>386</v>
      </c>
      <c r="D20" s="260" t="s">
        <v>247</v>
      </c>
      <c r="E20" s="207">
        <v>773.15</v>
      </c>
      <c r="F20" s="205">
        <v>253.23945688073397</v>
      </c>
      <c r="G20" s="205">
        <v>195792.08608733947</v>
      </c>
      <c r="H20" s="207">
        <v>773.15</v>
      </c>
      <c r="I20" s="207"/>
      <c r="J20" s="207">
        <v>564399.5</v>
      </c>
      <c r="K20" s="123"/>
      <c r="L20" s="265">
        <v>253.23945688073397</v>
      </c>
      <c r="M20" s="205">
        <f t="shared" si="7"/>
        <v>0</v>
      </c>
      <c r="N20" s="207"/>
      <c r="O20" s="207"/>
      <c r="P20" s="205">
        <f t="shared" si="8"/>
        <v>0</v>
      </c>
      <c r="Q20" s="123"/>
      <c r="R20" s="265">
        <v>253.23945688073397</v>
      </c>
      <c r="S20" s="205">
        <f t="shared" si="9"/>
        <v>0</v>
      </c>
      <c r="T20" s="207"/>
      <c r="U20" s="207"/>
      <c r="V20" s="205">
        <f t="shared" si="10"/>
        <v>0</v>
      </c>
      <c r="W20" s="123"/>
      <c r="X20" s="268"/>
      <c r="Y20" s="207"/>
      <c r="Z20" s="265">
        <v>253.23945688073397</v>
      </c>
      <c r="AA20" s="205">
        <v>0</v>
      </c>
      <c r="AB20" s="207"/>
      <c r="AC20" s="207"/>
      <c r="AD20" s="205">
        <v>0</v>
      </c>
    </row>
    <row r="21" spans="1:30" s="216" customFormat="1" ht="23.1" hidden="1" customHeight="1" outlineLevel="1">
      <c r="A21" s="223">
        <v>5</v>
      </c>
      <c r="B21" s="225" t="s">
        <v>387</v>
      </c>
      <c r="C21" s="223" t="s">
        <v>388</v>
      </c>
      <c r="D21" s="260" t="s">
        <v>247</v>
      </c>
      <c r="E21" s="207">
        <v>86</v>
      </c>
      <c r="F21" s="205">
        <v>537.63590311926612</v>
      </c>
      <c r="G21" s="205">
        <v>46236.687668256884</v>
      </c>
      <c r="H21" s="207">
        <v>86</v>
      </c>
      <c r="I21" s="207"/>
      <c r="J21" s="207">
        <v>48749.1</v>
      </c>
      <c r="K21" s="123"/>
      <c r="L21" s="265">
        <v>537.63590311926612</v>
      </c>
      <c r="M21" s="205">
        <f t="shared" si="7"/>
        <v>0</v>
      </c>
      <c r="N21" s="207"/>
      <c r="O21" s="207"/>
      <c r="P21" s="205">
        <f t="shared" si="8"/>
        <v>0</v>
      </c>
      <c r="Q21" s="123"/>
      <c r="R21" s="265">
        <v>537.63590311926612</v>
      </c>
      <c r="S21" s="205">
        <f t="shared" si="9"/>
        <v>0</v>
      </c>
      <c r="T21" s="207"/>
      <c r="U21" s="207"/>
      <c r="V21" s="205">
        <f t="shared" si="10"/>
        <v>0</v>
      </c>
      <c r="W21" s="123"/>
      <c r="X21" s="268"/>
      <c r="Y21" s="207"/>
      <c r="Z21" s="265">
        <v>537.63590311926612</v>
      </c>
      <c r="AA21" s="205">
        <v>0</v>
      </c>
      <c r="AB21" s="207"/>
      <c r="AC21" s="207"/>
      <c r="AD21" s="205">
        <v>0</v>
      </c>
    </row>
    <row r="22" spans="1:30" s="216" customFormat="1" ht="23.1" hidden="1" customHeight="1" outlineLevel="1">
      <c r="A22" s="223">
        <v>6</v>
      </c>
      <c r="B22" s="225" t="s">
        <v>389</v>
      </c>
      <c r="C22" s="223" t="s">
        <v>390</v>
      </c>
      <c r="D22" s="260" t="s">
        <v>247</v>
      </c>
      <c r="E22" s="207">
        <v>62.87</v>
      </c>
      <c r="F22" s="205">
        <v>479.1252585688074</v>
      </c>
      <c r="G22" s="205">
        <v>30122.605006220921</v>
      </c>
      <c r="H22" s="207">
        <v>62.87</v>
      </c>
      <c r="I22" s="207"/>
      <c r="J22" s="207">
        <v>31759.409200000002</v>
      </c>
      <c r="K22" s="123"/>
      <c r="L22" s="265">
        <v>479.1252585688074</v>
      </c>
      <c r="M22" s="205">
        <f t="shared" si="7"/>
        <v>0</v>
      </c>
      <c r="N22" s="207"/>
      <c r="O22" s="207"/>
      <c r="P22" s="205">
        <f t="shared" si="8"/>
        <v>0</v>
      </c>
      <c r="Q22" s="123"/>
      <c r="R22" s="265">
        <v>479.1252585688074</v>
      </c>
      <c r="S22" s="205">
        <f t="shared" si="9"/>
        <v>0</v>
      </c>
      <c r="T22" s="207"/>
      <c r="U22" s="207"/>
      <c r="V22" s="205">
        <f t="shared" si="10"/>
        <v>0</v>
      </c>
      <c r="W22" s="123"/>
      <c r="X22" s="268"/>
      <c r="Y22" s="207"/>
      <c r="Z22" s="265">
        <v>479.1252585688074</v>
      </c>
      <c r="AA22" s="205">
        <v>0</v>
      </c>
      <c r="AB22" s="207"/>
      <c r="AC22" s="207"/>
      <c r="AD22" s="205">
        <v>0</v>
      </c>
    </row>
    <row r="23" spans="1:30" s="216" customFormat="1" ht="23.1" hidden="1" customHeight="1" outlineLevel="1">
      <c r="A23" s="223">
        <v>7</v>
      </c>
      <c r="B23" s="225" t="s">
        <v>391</v>
      </c>
      <c r="C23" s="223" t="s">
        <v>392</v>
      </c>
      <c r="D23" s="260" t="s">
        <v>247</v>
      </c>
      <c r="E23" s="207">
        <v>850</v>
      </c>
      <c r="F23" s="205">
        <v>347.61146422018345</v>
      </c>
      <c r="G23" s="205">
        <v>295469.74458715593</v>
      </c>
      <c r="H23" s="207">
        <v>850</v>
      </c>
      <c r="I23" s="207"/>
      <c r="J23" s="207">
        <v>306000</v>
      </c>
      <c r="K23" s="123"/>
      <c r="L23" s="265">
        <v>347.61146422018345</v>
      </c>
      <c r="M23" s="205">
        <f t="shared" si="7"/>
        <v>0</v>
      </c>
      <c r="N23" s="207"/>
      <c r="O23" s="207"/>
      <c r="P23" s="205">
        <f t="shared" si="8"/>
        <v>0</v>
      </c>
      <c r="Q23" s="123"/>
      <c r="R23" s="265">
        <v>347.61146422018345</v>
      </c>
      <c r="S23" s="205">
        <f t="shared" si="9"/>
        <v>0</v>
      </c>
      <c r="T23" s="207"/>
      <c r="U23" s="207"/>
      <c r="V23" s="205">
        <f t="shared" si="10"/>
        <v>0</v>
      </c>
      <c r="W23" s="123"/>
      <c r="X23" s="268"/>
      <c r="Y23" s="207"/>
      <c r="Z23" s="265">
        <v>347.61146422018345</v>
      </c>
      <c r="AA23" s="205">
        <v>0</v>
      </c>
      <c r="AB23" s="207"/>
      <c r="AC23" s="207"/>
      <c r="AD23" s="205">
        <v>0</v>
      </c>
    </row>
    <row r="24" spans="1:30" s="216" customFormat="1" ht="23.1" hidden="1" customHeight="1" outlineLevel="1">
      <c r="A24" s="223">
        <v>8</v>
      </c>
      <c r="B24" s="225" t="s">
        <v>393</v>
      </c>
      <c r="C24" s="223" t="s">
        <v>394</v>
      </c>
      <c r="D24" s="260" t="s">
        <v>247</v>
      </c>
      <c r="E24" s="207">
        <v>47.68</v>
      </c>
      <c r="F24" s="205">
        <v>520.29801071559632</v>
      </c>
      <c r="G24" s="205">
        <v>24807.809150919631</v>
      </c>
      <c r="H24" s="207">
        <v>47.68</v>
      </c>
      <c r="I24" s="207"/>
      <c r="J24" s="207">
        <v>61030.400000000001</v>
      </c>
      <c r="K24" s="123"/>
      <c r="L24" s="265">
        <v>520.29801071559632</v>
      </c>
      <c r="M24" s="205">
        <f t="shared" si="7"/>
        <v>0</v>
      </c>
      <c r="N24" s="207"/>
      <c r="O24" s="207"/>
      <c r="P24" s="205">
        <f t="shared" si="8"/>
        <v>0</v>
      </c>
      <c r="Q24" s="123"/>
      <c r="R24" s="265">
        <v>520.29801071559632</v>
      </c>
      <c r="S24" s="205">
        <f t="shared" si="9"/>
        <v>0</v>
      </c>
      <c r="T24" s="207"/>
      <c r="U24" s="207"/>
      <c r="V24" s="205">
        <f t="shared" si="10"/>
        <v>0</v>
      </c>
      <c r="W24" s="123"/>
      <c r="X24" s="268"/>
      <c r="Y24" s="207"/>
      <c r="Z24" s="265">
        <v>520.29801071559632</v>
      </c>
      <c r="AA24" s="205">
        <v>0</v>
      </c>
      <c r="AB24" s="207"/>
      <c r="AC24" s="207"/>
      <c r="AD24" s="205">
        <v>0</v>
      </c>
    </row>
    <row r="25" spans="1:30" s="216" customFormat="1" ht="23.1" hidden="1" customHeight="1" outlineLevel="1">
      <c r="A25" s="223">
        <v>9</v>
      </c>
      <c r="B25" s="225" t="s">
        <v>395</v>
      </c>
      <c r="C25" s="223" t="s">
        <v>396</v>
      </c>
      <c r="D25" s="260" t="s">
        <v>397</v>
      </c>
      <c r="E25" s="207">
        <v>120.4</v>
      </c>
      <c r="F25" s="205">
        <v>76.152044917431198</v>
      </c>
      <c r="G25" s="205">
        <v>9168.7062080587166</v>
      </c>
      <c r="H25" s="207">
        <v>120.4</v>
      </c>
      <c r="I25" s="207"/>
      <c r="J25" s="207">
        <v>9666.9160000000011</v>
      </c>
      <c r="K25" s="123"/>
      <c r="L25" s="265">
        <v>76.152044917431198</v>
      </c>
      <c r="M25" s="205">
        <f t="shared" si="7"/>
        <v>0</v>
      </c>
      <c r="N25" s="207"/>
      <c r="O25" s="207"/>
      <c r="P25" s="205">
        <f t="shared" si="8"/>
        <v>0</v>
      </c>
      <c r="Q25" s="123"/>
      <c r="R25" s="265">
        <v>76.152044917431198</v>
      </c>
      <c r="S25" s="205">
        <f t="shared" si="9"/>
        <v>0</v>
      </c>
      <c r="T25" s="207"/>
      <c r="U25" s="207"/>
      <c r="V25" s="205">
        <f t="shared" si="10"/>
        <v>0</v>
      </c>
      <c r="W25" s="123"/>
      <c r="X25" s="268"/>
      <c r="Y25" s="207"/>
      <c r="Z25" s="265">
        <v>76.152044917431198</v>
      </c>
      <c r="AA25" s="205">
        <v>0</v>
      </c>
      <c r="AB25" s="207"/>
      <c r="AC25" s="207"/>
      <c r="AD25" s="205">
        <v>0</v>
      </c>
    </row>
    <row r="26" spans="1:30" s="216" customFormat="1" ht="23.1" hidden="1" customHeight="1" outlineLevel="1">
      <c r="A26" s="223">
        <v>10</v>
      </c>
      <c r="B26" s="225" t="s">
        <v>398</v>
      </c>
      <c r="C26" s="223" t="s">
        <v>399</v>
      </c>
      <c r="D26" s="260" t="s">
        <v>397</v>
      </c>
      <c r="E26" s="207">
        <v>54</v>
      </c>
      <c r="F26" s="205">
        <v>25.902507743119266</v>
      </c>
      <c r="G26" s="205">
        <v>1398.7354181284404</v>
      </c>
      <c r="H26" s="207">
        <v>54</v>
      </c>
      <c r="I26" s="207"/>
      <c r="J26" s="207">
        <v>1474.74</v>
      </c>
      <c r="K26" s="123"/>
      <c r="L26" s="265">
        <v>25.902507743119266</v>
      </c>
      <c r="M26" s="205">
        <f t="shared" si="7"/>
        <v>0</v>
      </c>
      <c r="N26" s="207"/>
      <c r="O26" s="207"/>
      <c r="P26" s="205">
        <f t="shared" si="8"/>
        <v>0</v>
      </c>
      <c r="Q26" s="123"/>
      <c r="R26" s="265">
        <v>25.902507743119266</v>
      </c>
      <c r="S26" s="205">
        <f t="shared" si="9"/>
        <v>0</v>
      </c>
      <c r="T26" s="207"/>
      <c r="U26" s="207"/>
      <c r="V26" s="205">
        <f t="shared" si="10"/>
        <v>0</v>
      </c>
      <c r="W26" s="123"/>
      <c r="X26" s="268"/>
      <c r="Y26" s="207"/>
      <c r="Z26" s="265">
        <v>25.902507743119266</v>
      </c>
      <c r="AA26" s="205">
        <v>0</v>
      </c>
      <c r="AB26" s="207"/>
      <c r="AC26" s="207"/>
      <c r="AD26" s="205">
        <v>0</v>
      </c>
    </row>
    <row r="27" spans="1:30" s="216" customFormat="1" ht="23.1" hidden="1" customHeight="1" outlineLevel="1">
      <c r="A27" s="223">
        <v>11</v>
      </c>
      <c r="B27" s="225" t="s">
        <v>400</v>
      </c>
      <c r="C27" s="223" t="s">
        <v>401</v>
      </c>
      <c r="D27" s="260" t="s">
        <v>247</v>
      </c>
      <c r="E27" s="207">
        <v>321.70999999999998</v>
      </c>
      <c r="F27" s="205">
        <v>929.57849922935782</v>
      </c>
      <c r="G27" s="205">
        <v>299054.6989870767</v>
      </c>
      <c r="H27" s="207">
        <v>321.70999999999998</v>
      </c>
      <c r="I27" s="207"/>
      <c r="J27" s="207">
        <v>337152.07999999996</v>
      </c>
      <c r="K27" s="123"/>
      <c r="L27" s="265">
        <v>929.57849922935782</v>
      </c>
      <c r="M27" s="205">
        <f t="shared" si="7"/>
        <v>0</v>
      </c>
      <c r="N27" s="207"/>
      <c r="O27" s="207"/>
      <c r="P27" s="205">
        <f t="shared" si="8"/>
        <v>0</v>
      </c>
      <c r="Q27" s="123"/>
      <c r="R27" s="265">
        <v>929.57849922935782</v>
      </c>
      <c r="S27" s="205">
        <f t="shared" si="9"/>
        <v>0</v>
      </c>
      <c r="T27" s="207"/>
      <c r="U27" s="207"/>
      <c r="V27" s="205">
        <f t="shared" si="10"/>
        <v>0</v>
      </c>
      <c r="W27" s="123"/>
      <c r="X27" s="268"/>
      <c r="Y27" s="207"/>
      <c r="Z27" s="265">
        <v>929.57849922935782</v>
      </c>
      <c r="AA27" s="205">
        <v>0</v>
      </c>
      <c r="AB27" s="207"/>
      <c r="AC27" s="207"/>
      <c r="AD27" s="205">
        <v>0</v>
      </c>
    </row>
    <row r="28" spans="1:30" s="216" customFormat="1" ht="23.1" hidden="1" customHeight="1" outlineLevel="1">
      <c r="A28" s="223">
        <v>12</v>
      </c>
      <c r="B28" s="225" t="s">
        <v>402</v>
      </c>
      <c r="C28" s="223" t="s">
        <v>403</v>
      </c>
      <c r="D28" s="260" t="s">
        <v>147</v>
      </c>
      <c r="E28" s="207">
        <v>9.7230000000000008</v>
      </c>
      <c r="F28" s="205">
        <v>8810.6939053211026</v>
      </c>
      <c r="G28" s="205">
        <v>85666.376841437086</v>
      </c>
      <c r="H28" s="207">
        <v>9.7230000000000008</v>
      </c>
      <c r="I28" s="207"/>
      <c r="J28" s="207">
        <v>87507</v>
      </c>
      <c r="K28" s="123"/>
      <c r="L28" s="265">
        <v>8810.6939053211026</v>
      </c>
      <c r="M28" s="205">
        <f t="shared" si="7"/>
        <v>0</v>
      </c>
      <c r="N28" s="207"/>
      <c r="O28" s="207"/>
      <c r="P28" s="205">
        <f t="shared" si="8"/>
        <v>0</v>
      </c>
      <c r="Q28" s="123"/>
      <c r="R28" s="265">
        <v>8810.6939053211026</v>
      </c>
      <c r="S28" s="205">
        <f t="shared" si="9"/>
        <v>0</v>
      </c>
      <c r="T28" s="207"/>
      <c r="U28" s="207"/>
      <c r="V28" s="205">
        <f t="shared" si="10"/>
        <v>0</v>
      </c>
      <c r="W28" s="123"/>
      <c r="X28" s="268"/>
      <c r="Y28" s="207"/>
      <c r="Z28" s="265">
        <v>8810.6939053211026</v>
      </c>
      <c r="AA28" s="205">
        <v>0</v>
      </c>
      <c r="AB28" s="207"/>
      <c r="AC28" s="207"/>
      <c r="AD28" s="205">
        <v>0</v>
      </c>
    </row>
    <row r="29" spans="1:30" s="216" customFormat="1" ht="23.1" hidden="1" customHeight="1" outlineLevel="1">
      <c r="A29" s="223">
        <v>13</v>
      </c>
      <c r="B29" s="225" t="s">
        <v>404</v>
      </c>
      <c r="C29" s="223" t="s">
        <v>405</v>
      </c>
      <c r="D29" s="260" t="s">
        <v>406</v>
      </c>
      <c r="E29" s="207">
        <v>308</v>
      </c>
      <c r="F29" s="205">
        <v>141.77615735779816</v>
      </c>
      <c r="G29" s="205">
        <v>43667.05646620183</v>
      </c>
      <c r="H29" s="207">
        <v>308</v>
      </c>
      <c r="I29" s="207"/>
      <c r="J29" s="207">
        <v>46200</v>
      </c>
      <c r="K29" s="123"/>
      <c r="L29" s="265">
        <v>141.77615735779816</v>
      </c>
      <c r="M29" s="205">
        <f t="shared" si="7"/>
        <v>0</v>
      </c>
      <c r="N29" s="207"/>
      <c r="O29" s="207"/>
      <c r="P29" s="205">
        <f t="shared" si="8"/>
        <v>0</v>
      </c>
      <c r="Q29" s="123"/>
      <c r="R29" s="265">
        <v>141.77615735779816</v>
      </c>
      <c r="S29" s="205">
        <f t="shared" si="9"/>
        <v>0</v>
      </c>
      <c r="T29" s="207"/>
      <c r="U29" s="207"/>
      <c r="V29" s="205">
        <f t="shared" si="10"/>
        <v>0</v>
      </c>
      <c r="W29" s="123"/>
      <c r="X29" s="268"/>
      <c r="Y29" s="207"/>
      <c r="Z29" s="265">
        <v>141.77615735779816</v>
      </c>
      <c r="AA29" s="205">
        <v>0</v>
      </c>
      <c r="AB29" s="207"/>
      <c r="AC29" s="207"/>
      <c r="AD29" s="205">
        <v>0</v>
      </c>
    </row>
    <row r="30" spans="1:30" s="216" customFormat="1" ht="23.1" hidden="1" customHeight="1" outlineLevel="1">
      <c r="A30" s="223">
        <v>14</v>
      </c>
      <c r="B30" s="225" t="s">
        <v>376</v>
      </c>
      <c r="C30" s="223"/>
      <c r="D30" s="261" t="s">
        <v>143</v>
      </c>
      <c r="E30" s="207">
        <v>1</v>
      </c>
      <c r="F30" s="205">
        <v>-95274.298575853216</v>
      </c>
      <c r="G30" s="205">
        <v>-95274.298575853216</v>
      </c>
      <c r="H30" s="207">
        <v>1</v>
      </c>
      <c r="I30" s="207"/>
      <c r="J30" s="207">
        <v>0</v>
      </c>
      <c r="K30" s="123">
        <v>1</v>
      </c>
      <c r="L30" s="265">
        <v>-95274.298575853216</v>
      </c>
      <c r="M30" s="205">
        <f t="shared" si="7"/>
        <v>-95274.298575853216</v>
      </c>
      <c r="N30" s="207"/>
      <c r="O30" s="207"/>
      <c r="P30" s="205">
        <f t="shared" si="8"/>
        <v>0</v>
      </c>
      <c r="Q30" s="123">
        <v>1</v>
      </c>
      <c r="R30" s="265">
        <v>-95274.298575853216</v>
      </c>
      <c r="S30" s="205">
        <f t="shared" si="9"/>
        <v>-95274.298575853216</v>
      </c>
      <c r="T30" s="207"/>
      <c r="U30" s="207"/>
      <c r="V30" s="205">
        <f t="shared" si="10"/>
        <v>0</v>
      </c>
      <c r="W30" s="123"/>
      <c r="X30" s="268"/>
      <c r="Y30" s="207"/>
      <c r="Z30" s="265">
        <v>-95274.298575853216</v>
      </c>
      <c r="AA30" s="205">
        <v>0</v>
      </c>
      <c r="AB30" s="207"/>
      <c r="AC30" s="207"/>
      <c r="AD30" s="205">
        <v>0</v>
      </c>
    </row>
    <row r="31" spans="1:30" s="216" customFormat="1" ht="23.1" hidden="1" customHeight="1" outlineLevel="1">
      <c r="A31" s="223">
        <v>15</v>
      </c>
      <c r="B31" s="225" t="s">
        <v>377</v>
      </c>
      <c r="C31" s="223"/>
      <c r="D31" s="261" t="s">
        <v>143</v>
      </c>
      <c r="E31" s="207">
        <v>1</v>
      </c>
      <c r="F31" s="205">
        <v>-138885.92690025689</v>
      </c>
      <c r="G31" s="205">
        <v>-138885.92690025689</v>
      </c>
      <c r="H31" s="207">
        <v>1</v>
      </c>
      <c r="I31" s="207"/>
      <c r="J31" s="207">
        <v>0</v>
      </c>
      <c r="K31" s="123">
        <v>1</v>
      </c>
      <c r="L31" s="265">
        <v>-138885.92690025689</v>
      </c>
      <c r="M31" s="205">
        <f t="shared" si="7"/>
        <v>-138885.92690025689</v>
      </c>
      <c r="N31" s="207"/>
      <c r="O31" s="207"/>
      <c r="P31" s="205">
        <f t="shared" si="8"/>
        <v>0</v>
      </c>
      <c r="Q31" s="123">
        <v>1</v>
      </c>
      <c r="R31" s="265">
        <v>-138885.92690025689</v>
      </c>
      <c r="S31" s="205">
        <f t="shared" si="9"/>
        <v>-138885.92690025689</v>
      </c>
      <c r="T31" s="207"/>
      <c r="U31" s="207"/>
      <c r="V31" s="205">
        <f t="shared" si="10"/>
        <v>0</v>
      </c>
      <c r="W31" s="123"/>
      <c r="X31" s="268"/>
      <c r="Y31" s="207"/>
      <c r="Z31" s="265">
        <v>-138885.92690025689</v>
      </c>
      <c r="AA31" s="205">
        <v>0</v>
      </c>
      <c r="AB31" s="207"/>
      <c r="AC31" s="207"/>
      <c r="AD31" s="205">
        <v>0</v>
      </c>
    </row>
    <row r="32" spans="1:30" s="215" customFormat="1" ht="23.1" customHeight="1" collapsed="1">
      <c r="A32" s="220" t="s">
        <v>204</v>
      </c>
      <c r="B32" s="220" t="s">
        <v>407</v>
      </c>
      <c r="C32" s="220"/>
      <c r="D32" s="220"/>
      <c r="E32" s="229"/>
      <c r="F32" s="222"/>
      <c r="G32" s="222">
        <v>6371514.4941332871</v>
      </c>
      <c r="H32" s="229"/>
      <c r="I32" s="229"/>
      <c r="J32" s="229">
        <v>7029195.7846999997</v>
      </c>
      <c r="K32" s="137"/>
      <c r="L32" s="266"/>
      <c r="M32" s="222">
        <f>+M33+M60+M96+M131</f>
        <v>-13057.699805064221</v>
      </c>
      <c r="N32" s="229"/>
      <c r="O32" s="229"/>
      <c r="P32" s="222">
        <f>+P33+P60+P96+P131</f>
        <v>0</v>
      </c>
      <c r="Q32" s="137"/>
      <c r="R32" s="266"/>
      <c r="S32" s="222">
        <f>+S33+S60+S96+S131</f>
        <v>-13057.699805064221</v>
      </c>
      <c r="T32" s="229"/>
      <c r="U32" s="229"/>
      <c r="V32" s="222">
        <f>+V33+V60+V96+V131</f>
        <v>0</v>
      </c>
      <c r="W32" s="137"/>
      <c r="X32" s="269"/>
      <c r="Y32" s="229"/>
      <c r="Z32" s="266"/>
      <c r="AA32" s="222">
        <v>0</v>
      </c>
      <c r="AB32" s="229"/>
      <c r="AC32" s="229"/>
      <c r="AD32" s="222">
        <v>0</v>
      </c>
    </row>
    <row r="33" spans="1:30" s="215" customFormat="1" ht="23.1" hidden="1" customHeight="1" outlineLevel="1" collapsed="1">
      <c r="A33" s="220">
        <v>1</v>
      </c>
      <c r="B33" s="220" t="s">
        <v>408</v>
      </c>
      <c r="C33" s="220"/>
      <c r="D33" s="220"/>
      <c r="E33" s="229"/>
      <c r="F33" s="222">
        <v>0</v>
      </c>
      <c r="G33" s="222"/>
      <c r="H33" s="229"/>
      <c r="I33" s="229"/>
      <c r="J33" s="229"/>
      <c r="K33" s="137"/>
      <c r="L33" s="266"/>
      <c r="M33" s="222">
        <f>+M34+M39+M44+M47+M50+M58+M59</f>
        <v>-13057.699805064221</v>
      </c>
      <c r="N33" s="229"/>
      <c r="O33" s="229"/>
      <c r="P33" s="222">
        <f>+P34+P39+P44+P47+P50+P58+P59</f>
        <v>0</v>
      </c>
      <c r="Q33" s="137"/>
      <c r="R33" s="266">
        <v>0</v>
      </c>
      <c r="S33" s="222">
        <f>+S34+S39+S44+S47+S50+S58+S59</f>
        <v>-13057.699805064221</v>
      </c>
      <c r="T33" s="229"/>
      <c r="U33" s="229"/>
      <c r="V33" s="222">
        <f>+V34+V39+V44+V47+V50+V58+V59</f>
        <v>0</v>
      </c>
      <c r="W33" s="137"/>
      <c r="X33" s="269"/>
      <c r="Y33" s="229"/>
      <c r="Z33" s="266">
        <v>0</v>
      </c>
      <c r="AA33" s="222">
        <v>0</v>
      </c>
      <c r="AB33" s="229"/>
      <c r="AC33" s="229"/>
      <c r="AD33" s="222">
        <v>0</v>
      </c>
    </row>
    <row r="34" spans="1:30" s="215" customFormat="1" ht="23.1" hidden="1" customHeight="1" outlineLevel="2" collapsed="1">
      <c r="A34" s="220">
        <v>1.1000000000000001</v>
      </c>
      <c r="B34" s="220" t="s">
        <v>409</v>
      </c>
      <c r="C34" s="220"/>
      <c r="D34" s="220"/>
      <c r="E34" s="229"/>
      <c r="F34" s="222">
        <v>0</v>
      </c>
      <c r="G34" s="222"/>
      <c r="H34" s="229"/>
      <c r="I34" s="229"/>
      <c r="J34" s="229"/>
      <c r="K34" s="137"/>
      <c r="L34" s="266"/>
      <c r="M34" s="222">
        <f>SUM(M35:M38)</f>
        <v>0</v>
      </c>
      <c r="N34" s="229"/>
      <c r="O34" s="229"/>
      <c r="P34" s="222">
        <f>SUM(P35:P38)</f>
        <v>0</v>
      </c>
      <c r="Q34" s="137"/>
      <c r="R34" s="266">
        <v>0</v>
      </c>
      <c r="S34" s="222">
        <f>SUM(S35:S38)</f>
        <v>0</v>
      </c>
      <c r="T34" s="229"/>
      <c r="U34" s="229"/>
      <c r="V34" s="222">
        <f>SUM(V35:V38)</f>
        <v>0</v>
      </c>
      <c r="W34" s="137"/>
      <c r="X34" s="269"/>
      <c r="Y34" s="229"/>
      <c r="Z34" s="266">
        <v>0</v>
      </c>
      <c r="AA34" s="222">
        <v>0</v>
      </c>
      <c r="AB34" s="229"/>
      <c r="AC34" s="229"/>
      <c r="AD34" s="222">
        <v>0</v>
      </c>
    </row>
    <row r="35" spans="1:30" s="216" customFormat="1" ht="23.1" hidden="1" customHeight="1" outlineLevel="3">
      <c r="A35" s="223" t="s">
        <v>410</v>
      </c>
      <c r="B35" s="223" t="s">
        <v>411</v>
      </c>
      <c r="C35" s="223" t="s">
        <v>412</v>
      </c>
      <c r="D35" s="223" t="s">
        <v>413</v>
      </c>
      <c r="E35" s="207">
        <v>1</v>
      </c>
      <c r="F35" s="205">
        <v>543.99060110091739</v>
      </c>
      <c r="G35" s="205">
        <v>543.99060110091739</v>
      </c>
      <c r="H35" s="207">
        <v>1</v>
      </c>
      <c r="I35" s="207"/>
      <c r="J35" s="207">
        <v>535.79999999999995</v>
      </c>
      <c r="K35" s="123"/>
      <c r="L35" s="267">
        <v>543.99060110091739</v>
      </c>
      <c r="M35" s="205">
        <f>+L35*K35</f>
        <v>0</v>
      </c>
      <c r="N35" s="207"/>
      <c r="O35" s="207"/>
      <c r="P35" s="207">
        <f>+O35*N35</f>
        <v>0</v>
      </c>
      <c r="Q35" s="123"/>
      <c r="R35" s="267">
        <v>543.99060110091739</v>
      </c>
      <c r="S35" s="207">
        <f t="shared" ref="S35:S43" si="11">+R35*Q35</f>
        <v>0</v>
      </c>
      <c r="T35" s="207"/>
      <c r="U35" s="207"/>
      <c r="V35" s="207">
        <f>+U35*T35</f>
        <v>0</v>
      </c>
      <c r="W35" s="123"/>
      <c r="X35" s="268"/>
      <c r="Y35" s="207"/>
      <c r="Z35" s="267">
        <v>543.99060110091739</v>
      </c>
      <c r="AA35" s="207">
        <v>0</v>
      </c>
      <c r="AB35" s="207"/>
      <c r="AC35" s="207"/>
      <c r="AD35" s="207">
        <v>0</v>
      </c>
    </row>
    <row r="36" spans="1:30" s="216" customFormat="1" ht="23.1" hidden="1" customHeight="1" outlineLevel="3">
      <c r="A36" s="223" t="s">
        <v>414</v>
      </c>
      <c r="B36" s="223" t="s">
        <v>411</v>
      </c>
      <c r="C36" s="223" t="s">
        <v>415</v>
      </c>
      <c r="D36" s="223" t="s">
        <v>413</v>
      </c>
      <c r="E36" s="207">
        <v>1</v>
      </c>
      <c r="F36" s="205">
        <v>801.67834656880734</v>
      </c>
      <c r="G36" s="205">
        <v>801.67834656880734</v>
      </c>
      <c r="H36" s="207">
        <v>1</v>
      </c>
      <c r="I36" s="207"/>
      <c r="J36" s="207">
        <v>789.6</v>
      </c>
      <c r="K36" s="123"/>
      <c r="L36" s="267">
        <v>801.67834656880734</v>
      </c>
      <c r="M36" s="205">
        <f>+L36*K36</f>
        <v>0</v>
      </c>
      <c r="N36" s="207"/>
      <c r="O36" s="207"/>
      <c r="P36" s="207">
        <f>+O36*N36</f>
        <v>0</v>
      </c>
      <c r="Q36" s="123"/>
      <c r="R36" s="267">
        <v>801.67834656880734</v>
      </c>
      <c r="S36" s="207">
        <f t="shared" si="11"/>
        <v>0</v>
      </c>
      <c r="T36" s="207"/>
      <c r="U36" s="207"/>
      <c r="V36" s="207">
        <f>+U36*T36</f>
        <v>0</v>
      </c>
      <c r="W36" s="123"/>
      <c r="X36" s="268"/>
      <c r="Y36" s="207"/>
      <c r="Z36" s="267">
        <v>801.67834656880734</v>
      </c>
      <c r="AA36" s="207">
        <v>0</v>
      </c>
      <c r="AB36" s="207"/>
      <c r="AC36" s="207"/>
      <c r="AD36" s="207">
        <v>0</v>
      </c>
    </row>
    <row r="37" spans="1:30" s="216" customFormat="1" ht="23.1" hidden="1" customHeight="1" outlineLevel="3">
      <c r="A37" s="223" t="s">
        <v>416</v>
      </c>
      <c r="B37" s="223" t="s">
        <v>411</v>
      </c>
      <c r="C37" s="223" t="s">
        <v>417</v>
      </c>
      <c r="D37" s="223" t="s">
        <v>413</v>
      </c>
      <c r="E37" s="207">
        <v>10</v>
      </c>
      <c r="F37" s="205">
        <v>1102.3029842201836</v>
      </c>
      <c r="G37" s="205">
        <v>11023.029842201835</v>
      </c>
      <c r="H37" s="207">
        <v>10</v>
      </c>
      <c r="I37" s="207"/>
      <c r="J37" s="207">
        <v>9870</v>
      </c>
      <c r="K37" s="123"/>
      <c r="L37" s="267">
        <v>1102.3029842201836</v>
      </c>
      <c r="M37" s="205">
        <f>+L37*K37</f>
        <v>0</v>
      </c>
      <c r="N37" s="207"/>
      <c r="O37" s="207"/>
      <c r="P37" s="207">
        <f t="shared" ref="P37:P49" si="12">+O37*N37</f>
        <v>0</v>
      </c>
      <c r="Q37" s="123"/>
      <c r="R37" s="267">
        <v>1102.3029842201836</v>
      </c>
      <c r="S37" s="207">
        <f t="shared" si="11"/>
        <v>0</v>
      </c>
      <c r="T37" s="207"/>
      <c r="U37" s="207"/>
      <c r="V37" s="207">
        <f>+U37*T37</f>
        <v>0</v>
      </c>
      <c r="W37" s="123"/>
      <c r="X37" s="268"/>
      <c r="Y37" s="207"/>
      <c r="Z37" s="267">
        <v>1102.3029842201836</v>
      </c>
      <c r="AA37" s="207">
        <v>0</v>
      </c>
      <c r="AB37" s="207"/>
      <c r="AC37" s="207"/>
      <c r="AD37" s="207">
        <v>0</v>
      </c>
    </row>
    <row r="38" spans="1:30" s="216" customFormat="1" ht="23.1" hidden="1" customHeight="1" outlineLevel="3">
      <c r="A38" s="223" t="s">
        <v>418</v>
      </c>
      <c r="B38" s="223" t="s">
        <v>411</v>
      </c>
      <c r="C38" s="223" t="s">
        <v>419</v>
      </c>
      <c r="D38" s="223" t="s">
        <v>413</v>
      </c>
      <c r="E38" s="207">
        <v>36</v>
      </c>
      <c r="F38" s="205">
        <v>1503.1421575045872</v>
      </c>
      <c r="G38" s="205">
        <v>54113.117670165142</v>
      </c>
      <c r="H38" s="207">
        <v>36</v>
      </c>
      <c r="I38" s="207"/>
      <c r="J38" s="207">
        <v>53298</v>
      </c>
      <c r="K38" s="123"/>
      <c r="L38" s="267">
        <v>1503.1421575045872</v>
      </c>
      <c r="M38" s="205">
        <f>+L38*K38</f>
        <v>0</v>
      </c>
      <c r="N38" s="207"/>
      <c r="O38" s="207"/>
      <c r="P38" s="207">
        <f t="shared" si="12"/>
        <v>0</v>
      </c>
      <c r="Q38" s="123"/>
      <c r="R38" s="267">
        <v>1503.1421575045872</v>
      </c>
      <c r="S38" s="207">
        <f t="shared" si="11"/>
        <v>0</v>
      </c>
      <c r="T38" s="207"/>
      <c r="U38" s="207"/>
      <c r="V38" s="207">
        <f>+U38*T38</f>
        <v>0</v>
      </c>
      <c r="W38" s="123"/>
      <c r="X38" s="268"/>
      <c r="Y38" s="207"/>
      <c r="Z38" s="267">
        <v>1503.1421575045872</v>
      </c>
      <c r="AA38" s="207">
        <v>0</v>
      </c>
      <c r="AB38" s="207"/>
      <c r="AC38" s="207"/>
      <c r="AD38" s="207">
        <v>0</v>
      </c>
    </row>
    <row r="39" spans="1:30" s="215" customFormat="1" ht="23.1" hidden="1" customHeight="1" outlineLevel="2" collapsed="1">
      <c r="A39" s="220">
        <v>1.2</v>
      </c>
      <c r="B39" s="220" t="s">
        <v>420</v>
      </c>
      <c r="C39" s="220"/>
      <c r="D39" s="220"/>
      <c r="E39" s="229"/>
      <c r="F39" s="222">
        <v>0</v>
      </c>
      <c r="G39" s="222"/>
      <c r="H39" s="229"/>
      <c r="I39" s="229"/>
      <c r="J39" s="229">
        <v>0</v>
      </c>
      <c r="K39" s="137"/>
      <c r="L39" s="266"/>
      <c r="M39" s="222">
        <f>SUM(M40:M43)</f>
        <v>0</v>
      </c>
      <c r="N39" s="229"/>
      <c r="O39" s="229"/>
      <c r="P39" s="222">
        <f>SUM(P40:P43)</f>
        <v>0</v>
      </c>
      <c r="Q39" s="137"/>
      <c r="R39" s="266"/>
      <c r="S39" s="222">
        <f>SUM(S40:S43)</f>
        <v>0</v>
      </c>
      <c r="T39" s="229"/>
      <c r="U39" s="229"/>
      <c r="V39" s="222">
        <f>SUM(V40:V43)</f>
        <v>0</v>
      </c>
      <c r="W39" s="137"/>
      <c r="X39" s="269"/>
      <c r="Y39" s="229"/>
      <c r="Z39" s="266"/>
      <c r="AA39" s="222">
        <v>0</v>
      </c>
      <c r="AB39" s="229"/>
      <c r="AC39" s="229"/>
      <c r="AD39" s="222">
        <v>0</v>
      </c>
    </row>
    <row r="40" spans="1:30" s="216" customFormat="1" ht="23.1" hidden="1" customHeight="1" outlineLevel="3">
      <c r="A40" s="223" t="s">
        <v>421</v>
      </c>
      <c r="B40" s="223" t="s">
        <v>411</v>
      </c>
      <c r="C40" s="223" t="s">
        <v>422</v>
      </c>
      <c r="D40" s="223" t="s">
        <v>413</v>
      </c>
      <c r="E40" s="207">
        <v>21</v>
      </c>
      <c r="F40" s="205">
        <v>1064.4403657981652</v>
      </c>
      <c r="G40" s="205">
        <v>22353.24768176147</v>
      </c>
      <c r="H40" s="207">
        <v>21</v>
      </c>
      <c r="I40" s="207"/>
      <c r="J40" s="207">
        <v>21763.35</v>
      </c>
      <c r="K40" s="123"/>
      <c r="L40" s="267">
        <v>1064.4403657981652</v>
      </c>
      <c r="M40" s="205">
        <f>+L40*K40</f>
        <v>0</v>
      </c>
      <c r="N40" s="207"/>
      <c r="O40" s="207"/>
      <c r="P40" s="207">
        <f t="shared" si="12"/>
        <v>0</v>
      </c>
      <c r="Q40" s="123"/>
      <c r="R40" s="267">
        <v>1064.4403657981652</v>
      </c>
      <c r="S40" s="207">
        <f t="shared" si="11"/>
        <v>0</v>
      </c>
      <c r="T40" s="207"/>
      <c r="U40" s="207"/>
      <c r="V40" s="207">
        <f t="shared" ref="V40:V103" si="13">+U40*T40</f>
        <v>0</v>
      </c>
      <c r="W40" s="123"/>
      <c r="X40" s="268"/>
      <c r="Y40" s="207"/>
      <c r="Z40" s="267">
        <v>1064.4403657981652</v>
      </c>
      <c r="AA40" s="207">
        <v>0</v>
      </c>
      <c r="AB40" s="207"/>
      <c r="AC40" s="207"/>
      <c r="AD40" s="207">
        <v>0</v>
      </c>
    </row>
    <row r="41" spans="1:30" s="216" customFormat="1" ht="23.1" hidden="1" customHeight="1" outlineLevel="3">
      <c r="A41" s="223" t="s">
        <v>423</v>
      </c>
      <c r="B41" s="223" t="s">
        <v>411</v>
      </c>
      <c r="C41" s="223" t="s">
        <v>424</v>
      </c>
      <c r="D41" s="223" t="s">
        <v>413</v>
      </c>
      <c r="E41" s="207">
        <v>1</v>
      </c>
      <c r="F41" s="205">
        <v>1105.9071412844037</v>
      </c>
      <c r="G41" s="205">
        <v>1105.9071412844037</v>
      </c>
      <c r="H41" s="207">
        <v>1</v>
      </c>
      <c r="I41" s="207"/>
      <c r="J41" s="207">
        <v>1128</v>
      </c>
      <c r="K41" s="123"/>
      <c r="L41" s="267">
        <v>1105.9071412844037</v>
      </c>
      <c r="M41" s="205">
        <f>+L41*K41</f>
        <v>0</v>
      </c>
      <c r="N41" s="207"/>
      <c r="O41" s="207"/>
      <c r="P41" s="207">
        <f t="shared" si="12"/>
        <v>0</v>
      </c>
      <c r="Q41" s="123"/>
      <c r="R41" s="267">
        <v>1105.9071412844037</v>
      </c>
      <c r="S41" s="207">
        <f t="shared" si="11"/>
        <v>0</v>
      </c>
      <c r="T41" s="207"/>
      <c r="U41" s="207"/>
      <c r="V41" s="207">
        <f t="shared" si="13"/>
        <v>0</v>
      </c>
      <c r="W41" s="123"/>
      <c r="X41" s="268"/>
      <c r="Y41" s="207"/>
      <c r="Z41" s="267">
        <v>1105.9071412844037</v>
      </c>
      <c r="AA41" s="207">
        <v>0</v>
      </c>
      <c r="AB41" s="207"/>
      <c r="AC41" s="207"/>
      <c r="AD41" s="207">
        <v>0</v>
      </c>
    </row>
    <row r="42" spans="1:30" s="216" customFormat="1" ht="23.1" hidden="1" customHeight="1" outlineLevel="3">
      <c r="A42" s="223" t="s">
        <v>425</v>
      </c>
      <c r="B42" s="223" t="s">
        <v>411</v>
      </c>
      <c r="C42" s="223" t="s">
        <v>426</v>
      </c>
      <c r="D42" s="223" t="s">
        <v>413</v>
      </c>
      <c r="E42" s="207">
        <v>2</v>
      </c>
      <c r="F42" s="205">
        <v>1161.2024983486237</v>
      </c>
      <c r="G42" s="205">
        <v>2322.4049966972475</v>
      </c>
      <c r="H42" s="207">
        <v>2</v>
      </c>
      <c r="I42" s="207"/>
      <c r="J42" s="207">
        <v>2368.8000000000002</v>
      </c>
      <c r="K42" s="123"/>
      <c r="L42" s="267">
        <v>1161.2024983486237</v>
      </c>
      <c r="M42" s="205">
        <f>+L42*K42</f>
        <v>0</v>
      </c>
      <c r="N42" s="207"/>
      <c r="O42" s="207"/>
      <c r="P42" s="207">
        <f t="shared" si="12"/>
        <v>0</v>
      </c>
      <c r="Q42" s="123"/>
      <c r="R42" s="267">
        <v>1161.2024983486237</v>
      </c>
      <c r="S42" s="207">
        <f t="shared" si="11"/>
        <v>0</v>
      </c>
      <c r="T42" s="207"/>
      <c r="U42" s="207"/>
      <c r="V42" s="207">
        <f t="shared" si="13"/>
        <v>0</v>
      </c>
      <c r="W42" s="123"/>
      <c r="X42" s="268"/>
      <c r="Y42" s="207"/>
      <c r="Z42" s="267">
        <v>1161.2024983486237</v>
      </c>
      <c r="AA42" s="207">
        <v>0</v>
      </c>
      <c r="AB42" s="207"/>
      <c r="AC42" s="207"/>
      <c r="AD42" s="207">
        <v>0</v>
      </c>
    </row>
    <row r="43" spans="1:30" s="216" customFormat="1" ht="23.1" hidden="1" customHeight="1" outlineLevel="3">
      <c r="A43" s="223" t="s">
        <v>427</v>
      </c>
      <c r="B43" s="223" t="s">
        <v>411</v>
      </c>
      <c r="C43" s="223" t="s">
        <v>428</v>
      </c>
      <c r="D43" s="223" t="s">
        <v>413</v>
      </c>
      <c r="E43" s="207">
        <v>6</v>
      </c>
      <c r="F43" s="205">
        <v>1451.5078652477064</v>
      </c>
      <c r="G43" s="205">
        <v>8709.0471914862392</v>
      </c>
      <c r="H43" s="207">
        <v>6</v>
      </c>
      <c r="I43" s="207"/>
      <c r="J43" s="207">
        <v>8883</v>
      </c>
      <c r="K43" s="123"/>
      <c r="L43" s="267">
        <v>1451.5078652477064</v>
      </c>
      <c r="M43" s="205">
        <f>+L43*K43</f>
        <v>0</v>
      </c>
      <c r="N43" s="207"/>
      <c r="O43" s="207"/>
      <c r="P43" s="207">
        <f t="shared" si="12"/>
        <v>0</v>
      </c>
      <c r="Q43" s="123"/>
      <c r="R43" s="267">
        <v>1451.5078652477064</v>
      </c>
      <c r="S43" s="207">
        <f t="shared" si="11"/>
        <v>0</v>
      </c>
      <c r="T43" s="207"/>
      <c r="U43" s="207"/>
      <c r="V43" s="207">
        <f t="shared" si="13"/>
        <v>0</v>
      </c>
      <c r="W43" s="123"/>
      <c r="X43" s="268"/>
      <c r="Y43" s="207"/>
      <c r="Z43" s="267">
        <v>1451.5078652477064</v>
      </c>
      <c r="AA43" s="207">
        <v>0</v>
      </c>
      <c r="AB43" s="207"/>
      <c r="AC43" s="207"/>
      <c r="AD43" s="207">
        <v>0</v>
      </c>
    </row>
    <row r="44" spans="1:30" s="215" customFormat="1" ht="23.1" hidden="1" customHeight="1" outlineLevel="2" collapsed="1">
      <c r="A44" s="220">
        <v>1.3</v>
      </c>
      <c r="B44" s="220" t="s">
        <v>429</v>
      </c>
      <c r="C44" s="220"/>
      <c r="D44" s="220"/>
      <c r="E44" s="229"/>
      <c r="F44" s="222">
        <v>0</v>
      </c>
      <c r="G44" s="222"/>
      <c r="H44" s="229"/>
      <c r="I44" s="229"/>
      <c r="J44" s="229">
        <v>0</v>
      </c>
      <c r="K44" s="137"/>
      <c r="L44" s="266"/>
      <c r="M44" s="222">
        <f>SUM(M45:M46)</f>
        <v>0</v>
      </c>
      <c r="N44" s="229"/>
      <c r="O44" s="229"/>
      <c r="P44" s="222">
        <f>SUM(P45:P46)</f>
        <v>0</v>
      </c>
      <c r="Q44" s="137"/>
      <c r="R44" s="266"/>
      <c r="S44" s="222">
        <f>SUM(S45:S46)</f>
        <v>0</v>
      </c>
      <c r="T44" s="229"/>
      <c r="U44" s="229"/>
      <c r="V44" s="222">
        <f>SUM(V45:V46)</f>
        <v>0</v>
      </c>
      <c r="W44" s="137"/>
      <c r="X44" s="269"/>
      <c r="Y44" s="229"/>
      <c r="Z44" s="266"/>
      <c r="AA44" s="222">
        <v>0</v>
      </c>
      <c r="AB44" s="229"/>
      <c r="AC44" s="229"/>
      <c r="AD44" s="222">
        <v>0</v>
      </c>
    </row>
    <row r="45" spans="1:30" s="216" customFormat="1" ht="23.1" hidden="1" customHeight="1" outlineLevel="3">
      <c r="A45" s="223" t="s">
        <v>430</v>
      </c>
      <c r="B45" s="223" t="s">
        <v>411</v>
      </c>
      <c r="C45" s="223" t="s">
        <v>431</v>
      </c>
      <c r="D45" s="223" t="s">
        <v>413</v>
      </c>
      <c r="E45" s="207">
        <v>9</v>
      </c>
      <c r="F45" s="205">
        <v>506.62118311926605</v>
      </c>
      <c r="G45" s="205">
        <v>4559.5906480733947</v>
      </c>
      <c r="H45" s="207">
        <v>9</v>
      </c>
      <c r="I45" s="207"/>
      <c r="J45" s="207">
        <v>4822.2</v>
      </c>
      <c r="K45" s="123"/>
      <c r="L45" s="267">
        <v>506.62118311926605</v>
      </c>
      <c r="M45" s="205">
        <f>+L45*K45</f>
        <v>0</v>
      </c>
      <c r="N45" s="207"/>
      <c r="O45" s="207"/>
      <c r="P45" s="207">
        <f t="shared" si="12"/>
        <v>0</v>
      </c>
      <c r="Q45" s="123"/>
      <c r="R45" s="267">
        <v>506.62118311926605</v>
      </c>
      <c r="S45" s="207">
        <f t="shared" ref="S45:S108" si="14">+R45*Q45</f>
        <v>0</v>
      </c>
      <c r="T45" s="207"/>
      <c r="U45" s="207"/>
      <c r="V45" s="207">
        <f t="shared" si="13"/>
        <v>0</v>
      </c>
      <c r="W45" s="123"/>
      <c r="X45" s="268"/>
      <c r="Y45" s="207"/>
      <c r="Z45" s="267">
        <v>506.62118311926605</v>
      </c>
      <c r="AA45" s="207">
        <v>0</v>
      </c>
      <c r="AB45" s="207"/>
      <c r="AC45" s="207"/>
      <c r="AD45" s="207">
        <v>0</v>
      </c>
    </row>
    <row r="46" spans="1:30" s="216" customFormat="1" ht="23.1" hidden="1" customHeight="1" outlineLevel="3">
      <c r="A46" s="223" t="s">
        <v>432</v>
      </c>
      <c r="B46" s="223" t="s">
        <v>411</v>
      </c>
      <c r="C46" s="223" t="s">
        <v>433</v>
      </c>
      <c r="D46" s="223" t="s">
        <v>413</v>
      </c>
      <c r="E46" s="207">
        <v>3</v>
      </c>
      <c r="F46" s="205">
        <v>1013.2423662385321</v>
      </c>
      <c r="G46" s="205">
        <v>3039.7270987155962</v>
      </c>
      <c r="H46" s="207">
        <v>3</v>
      </c>
      <c r="I46" s="207"/>
      <c r="J46" s="207">
        <v>3214.8</v>
      </c>
      <c r="K46" s="123"/>
      <c r="L46" s="267">
        <v>1013.2423662385321</v>
      </c>
      <c r="M46" s="205">
        <f>+L46*K46</f>
        <v>0</v>
      </c>
      <c r="N46" s="207"/>
      <c r="O46" s="207"/>
      <c r="P46" s="207">
        <f t="shared" si="12"/>
        <v>0</v>
      </c>
      <c r="Q46" s="123"/>
      <c r="R46" s="267">
        <v>1013.2423662385321</v>
      </c>
      <c r="S46" s="207">
        <f t="shared" si="14"/>
        <v>0</v>
      </c>
      <c r="T46" s="207"/>
      <c r="U46" s="207"/>
      <c r="V46" s="207">
        <f t="shared" si="13"/>
        <v>0</v>
      </c>
      <c r="W46" s="123"/>
      <c r="X46" s="268"/>
      <c r="Y46" s="207"/>
      <c r="Z46" s="267">
        <v>1013.2423662385321</v>
      </c>
      <c r="AA46" s="207">
        <v>0</v>
      </c>
      <c r="AB46" s="207"/>
      <c r="AC46" s="207"/>
      <c r="AD46" s="207">
        <v>0</v>
      </c>
    </row>
    <row r="47" spans="1:30" s="215" customFormat="1" ht="23.1" hidden="1" customHeight="1" outlineLevel="2" collapsed="1">
      <c r="A47" s="220">
        <v>1.4</v>
      </c>
      <c r="B47" s="220" t="s">
        <v>434</v>
      </c>
      <c r="C47" s="220"/>
      <c r="D47" s="220"/>
      <c r="E47" s="229"/>
      <c r="F47" s="222">
        <v>0</v>
      </c>
      <c r="G47" s="222"/>
      <c r="H47" s="229"/>
      <c r="I47" s="229"/>
      <c r="J47" s="229">
        <v>0</v>
      </c>
      <c r="K47" s="137"/>
      <c r="L47" s="266"/>
      <c r="M47" s="222">
        <f>SUM(M48:M49)</f>
        <v>0</v>
      </c>
      <c r="N47" s="229"/>
      <c r="O47" s="229"/>
      <c r="P47" s="222">
        <f>SUM(P48:P49)</f>
        <v>0</v>
      </c>
      <c r="Q47" s="137"/>
      <c r="R47" s="266"/>
      <c r="S47" s="222">
        <f>SUM(S48:S49)</f>
        <v>0</v>
      </c>
      <c r="T47" s="229"/>
      <c r="U47" s="229"/>
      <c r="V47" s="222">
        <f>SUM(V48:V49)</f>
        <v>0</v>
      </c>
      <c r="W47" s="137"/>
      <c r="X47" s="269"/>
      <c r="Y47" s="229"/>
      <c r="Z47" s="266"/>
      <c r="AA47" s="222">
        <v>0</v>
      </c>
      <c r="AB47" s="229"/>
      <c r="AC47" s="229"/>
      <c r="AD47" s="222">
        <v>0</v>
      </c>
    </row>
    <row r="48" spans="1:30" s="216" customFormat="1" ht="23.1" hidden="1" customHeight="1" outlineLevel="3">
      <c r="A48" s="223" t="s">
        <v>435</v>
      </c>
      <c r="B48" s="223" t="s">
        <v>436</v>
      </c>
      <c r="C48" s="223" t="s">
        <v>437</v>
      </c>
      <c r="D48" s="223" t="s">
        <v>413</v>
      </c>
      <c r="E48" s="207">
        <v>1</v>
      </c>
      <c r="F48" s="205">
        <v>665.04285533944949</v>
      </c>
      <c r="G48" s="205">
        <v>665.04285533944949</v>
      </c>
      <c r="H48" s="207">
        <v>1</v>
      </c>
      <c r="I48" s="207"/>
      <c r="J48" s="207">
        <v>1290</v>
      </c>
      <c r="K48" s="123"/>
      <c r="L48" s="267">
        <v>665.04285533944949</v>
      </c>
      <c r="M48" s="205">
        <f>+L48*K48</f>
        <v>0</v>
      </c>
      <c r="N48" s="207"/>
      <c r="O48" s="207"/>
      <c r="P48" s="207">
        <f t="shared" si="12"/>
        <v>0</v>
      </c>
      <c r="Q48" s="123"/>
      <c r="R48" s="267">
        <v>665.04285533944949</v>
      </c>
      <c r="S48" s="207">
        <f t="shared" si="14"/>
        <v>0</v>
      </c>
      <c r="T48" s="207"/>
      <c r="U48" s="207"/>
      <c r="V48" s="207">
        <f t="shared" si="13"/>
        <v>0</v>
      </c>
      <c r="W48" s="123"/>
      <c r="X48" s="268"/>
      <c r="Y48" s="207"/>
      <c r="Z48" s="267">
        <v>665.04285533944949</v>
      </c>
      <c r="AA48" s="207">
        <v>0</v>
      </c>
      <c r="AB48" s="207"/>
      <c r="AC48" s="207"/>
      <c r="AD48" s="207">
        <v>0</v>
      </c>
    </row>
    <row r="49" spans="1:30" s="216" customFormat="1" ht="23.1" hidden="1" customHeight="1" outlineLevel="3">
      <c r="A49" s="223" t="s">
        <v>438</v>
      </c>
      <c r="B49" s="223" t="s">
        <v>436</v>
      </c>
      <c r="C49" s="223" t="s">
        <v>439</v>
      </c>
      <c r="D49" s="223" t="s">
        <v>413</v>
      </c>
      <c r="E49" s="207">
        <v>1</v>
      </c>
      <c r="F49" s="205">
        <v>997.55479838532108</v>
      </c>
      <c r="G49" s="205">
        <v>997.55479838532108</v>
      </c>
      <c r="H49" s="207">
        <v>1</v>
      </c>
      <c r="I49" s="207"/>
      <c r="J49" s="207">
        <v>1935</v>
      </c>
      <c r="K49" s="123"/>
      <c r="L49" s="267">
        <v>997.55479838532108</v>
      </c>
      <c r="M49" s="205">
        <f>+L49*K49</f>
        <v>0</v>
      </c>
      <c r="N49" s="207"/>
      <c r="O49" s="207"/>
      <c r="P49" s="207">
        <f t="shared" si="12"/>
        <v>0</v>
      </c>
      <c r="Q49" s="123"/>
      <c r="R49" s="267">
        <v>997.55479838532108</v>
      </c>
      <c r="S49" s="207">
        <f t="shared" si="14"/>
        <v>0</v>
      </c>
      <c r="T49" s="207"/>
      <c r="U49" s="207"/>
      <c r="V49" s="207">
        <f t="shared" si="13"/>
        <v>0</v>
      </c>
      <c r="W49" s="123"/>
      <c r="X49" s="268"/>
      <c r="Y49" s="207"/>
      <c r="Z49" s="267">
        <v>997.55479838532108</v>
      </c>
      <c r="AA49" s="207">
        <v>0</v>
      </c>
      <c r="AB49" s="207"/>
      <c r="AC49" s="207"/>
      <c r="AD49" s="207">
        <v>0</v>
      </c>
    </row>
    <row r="50" spans="1:30" s="215" customFormat="1" ht="23.1" hidden="1" customHeight="1" outlineLevel="2" collapsed="1">
      <c r="A50" s="220">
        <v>1.5</v>
      </c>
      <c r="B50" s="220" t="s">
        <v>440</v>
      </c>
      <c r="C50" s="220"/>
      <c r="D50" s="220"/>
      <c r="E50" s="229"/>
      <c r="F50" s="222">
        <v>0</v>
      </c>
      <c r="G50" s="222"/>
      <c r="H50" s="229"/>
      <c r="I50" s="229"/>
      <c r="J50" s="229">
        <v>0</v>
      </c>
      <c r="K50" s="137"/>
      <c r="L50" s="266"/>
      <c r="M50" s="222">
        <f>SUM(M51:M57)</f>
        <v>0</v>
      </c>
      <c r="N50" s="229"/>
      <c r="O50" s="229"/>
      <c r="P50" s="222">
        <f>SUM(P51:P57)</f>
        <v>0</v>
      </c>
      <c r="Q50" s="137"/>
      <c r="R50" s="266"/>
      <c r="S50" s="222">
        <f>SUM(S51:S57)</f>
        <v>0</v>
      </c>
      <c r="T50" s="229"/>
      <c r="U50" s="229"/>
      <c r="V50" s="222">
        <f>SUM(V51:V57)</f>
        <v>0</v>
      </c>
      <c r="W50" s="137"/>
      <c r="X50" s="269"/>
      <c r="Y50" s="229"/>
      <c r="Z50" s="266"/>
      <c r="AA50" s="222">
        <v>0</v>
      </c>
      <c r="AB50" s="229"/>
      <c r="AC50" s="229"/>
      <c r="AD50" s="222">
        <v>0</v>
      </c>
    </row>
    <row r="51" spans="1:30" s="216" customFormat="1" ht="23.1" hidden="1" customHeight="1" outlineLevel="3">
      <c r="A51" s="223" t="s">
        <v>441</v>
      </c>
      <c r="B51" s="223" t="s">
        <v>442</v>
      </c>
      <c r="C51" s="223" t="s">
        <v>443</v>
      </c>
      <c r="D51" s="223" t="s">
        <v>413</v>
      </c>
      <c r="E51" s="207">
        <v>2</v>
      </c>
      <c r="F51" s="205">
        <v>8245.6379546422031</v>
      </c>
      <c r="G51" s="205">
        <v>16491.275909284406</v>
      </c>
      <c r="H51" s="207">
        <v>2</v>
      </c>
      <c r="I51" s="207"/>
      <c r="J51" s="207">
        <v>7425</v>
      </c>
      <c r="K51" s="123"/>
      <c r="L51" s="267">
        <v>8245.6379546422031</v>
      </c>
      <c r="M51" s="205">
        <f t="shared" ref="M51:M58" si="15">+L51*K51</f>
        <v>0</v>
      </c>
      <c r="N51" s="207"/>
      <c r="O51" s="207"/>
      <c r="P51" s="207">
        <f t="shared" ref="P51:P113" si="16">+O51*N51</f>
        <v>0</v>
      </c>
      <c r="Q51" s="123"/>
      <c r="R51" s="267">
        <v>8245.6379546422031</v>
      </c>
      <c r="S51" s="207">
        <f t="shared" si="14"/>
        <v>0</v>
      </c>
      <c r="T51" s="207"/>
      <c r="U51" s="207"/>
      <c r="V51" s="207">
        <f t="shared" si="13"/>
        <v>0</v>
      </c>
      <c r="W51" s="123"/>
      <c r="X51" s="268"/>
      <c r="Y51" s="207"/>
      <c r="Z51" s="267">
        <v>8245.6379546422031</v>
      </c>
      <c r="AA51" s="207">
        <v>0</v>
      </c>
      <c r="AB51" s="207"/>
      <c r="AC51" s="207"/>
      <c r="AD51" s="207">
        <v>0</v>
      </c>
    </row>
    <row r="52" spans="1:30" s="216" customFormat="1" ht="23.1" hidden="1" customHeight="1" outlineLevel="3">
      <c r="A52" s="223" t="s">
        <v>444</v>
      </c>
      <c r="B52" s="223" t="s">
        <v>442</v>
      </c>
      <c r="C52" s="223" t="s">
        <v>445</v>
      </c>
      <c r="D52" s="223" t="s">
        <v>413</v>
      </c>
      <c r="E52" s="207">
        <v>7</v>
      </c>
      <c r="F52" s="205">
        <v>9001.3632986422017</v>
      </c>
      <c r="G52" s="205">
        <v>63009.543090495412</v>
      </c>
      <c r="H52" s="207">
        <v>7</v>
      </c>
      <c r="I52" s="207"/>
      <c r="J52" s="207">
        <v>28875</v>
      </c>
      <c r="K52" s="123"/>
      <c r="L52" s="267">
        <v>9001.3632986422017</v>
      </c>
      <c r="M52" s="205">
        <f t="shared" si="15"/>
        <v>0</v>
      </c>
      <c r="N52" s="207"/>
      <c r="O52" s="207"/>
      <c r="P52" s="207">
        <f t="shared" si="16"/>
        <v>0</v>
      </c>
      <c r="Q52" s="123"/>
      <c r="R52" s="267">
        <v>9001.3632986422017</v>
      </c>
      <c r="S52" s="207">
        <f t="shared" si="14"/>
        <v>0</v>
      </c>
      <c r="T52" s="207"/>
      <c r="U52" s="207"/>
      <c r="V52" s="207">
        <f t="shared" si="13"/>
        <v>0</v>
      </c>
      <c r="W52" s="123"/>
      <c r="X52" s="268"/>
      <c r="Y52" s="207"/>
      <c r="Z52" s="267">
        <v>9001.3632986422017</v>
      </c>
      <c r="AA52" s="207">
        <v>0</v>
      </c>
      <c r="AB52" s="207"/>
      <c r="AC52" s="207"/>
      <c r="AD52" s="207">
        <v>0</v>
      </c>
    </row>
    <row r="53" spans="1:30" s="216" customFormat="1" ht="23.1" hidden="1" customHeight="1" outlineLevel="3">
      <c r="A53" s="223" t="s">
        <v>446</v>
      </c>
      <c r="B53" s="223" t="s">
        <v>447</v>
      </c>
      <c r="C53" s="223"/>
      <c r="D53" s="223"/>
      <c r="E53" s="207"/>
      <c r="F53" s="205">
        <v>0</v>
      </c>
      <c r="G53" s="205"/>
      <c r="H53" s="207"/>
      <c r="I53" s="207"/>
      <c r="J53" s="207">
        <v>0</v>
      </c>
      <c r="K53" s="123"/>
      <c r="L53" s="267">
        <v>0</v>
      </c>
      <c r="M53" s="205">
        <f t="shared" si="15"/>
        <v>0</v>
      </c>
      <c r="N53" s="207"/>
      <c r="O53" s="207"/>
      <c r="P53" s="207">
        <f t="shared" si="16"/>
        <v>0</v>
      </c>
      <c r="Q53" s="123"/>
      <c r="R53" s="267">
        <v>0</v>
      </c>
      <c r="S53" s="207">
        <f t="shared" si="14"/>
        <v>0</v>
      </c>
      <c r="T53" s="207"/>
      <c r="U53" s="207"/>
      <c r="V53" s="207">
        <f t="shared" si="13"/>
        <v>0</v>
      </c>
      <c r="W53" s="123"/>
      <c r="X53" s="268"/>
      <c r="Y53" s="207"/>
      <c r="Z53" s="267">
        <v>0</v>
      </c>
      <c r="AA53" s="207">
        <v>0</v>
      </c>
      <c r="AB53" s="207"/>
      <c r="AC53" s="207"/>
      <c r="AD53" s="207">
        <v>0</v>
      </c>
    </row>
    <row r="54" spans="1:30" s="216" customFormat="1" ht="23.1" hidden="1" customHeight="1" outlineLevel="3">
      <c r="A54" s="223" t="s">
        <v>448</v>
      </c>
      <c r="B54" s="223" t="s">
        <v>447</v>
      </c>
      <c r="C54" s="223" t="s">
        <v>449</v>
      </c>
      <c r="D54" s="223" t="s">
        <v>413</v>
      </c>
      <c r="E54" s="207">
        <v>1</v>
      </c>
      <c r="F54" s="205">
        <v>4260.1705576513759</v>
      </c>
      <c r="G54" s="205">
        <v>4260.1705576513759</v>
      </c>
      <c r="H54" s="207">
        <v>1</v>
      </c>
      <c r="I54" s="207"/>
      <c r="J54" s="207">
        <v>4491.66</v>
      </c>
      <c r="K54" s="123"/>
      <c r="L54" s="267">
        <v>4260.1705576513759</v>
      </c>
      <c r="M54" s="205">
        <f t="shared" si="15"/>
        <v>0</v>
      </c>
      <c r="N54" s="207"/>
      <c r="O54" s="207"/>
      <c r="P54" s="207">
        <f t="shared" si="16"/>
        <v>0</v>
      </c>
      <c r="Q54" s="123"/>
      <c r="R54" s="267">
        <v>4260.1705576513759</v>
      </c>
      <c r="S54" s="207">
        <f t="shared" si="14"/>
        <v>0</v>
      </c>
      <c r="T54" s="207"/>
      <c r="U54" s="207"/>
      <c r="V54" s="207">
        <f t="shared" si="13"/>
        <v>0</v>
      </c>
      <c r="W54" s="123"/>
      <c r="X54" s="268"/>
      <c r="Y54" s="207"/>
      <c r="Z54" s="267">
        <v>4260.1705576513759</v>
      </c>
      <c r="AA54" s="207">
        <v>0</v>
      </c>
      <c r="AB54" s="207"/>
      <c r="AC54" s="207"/>
      <c r="AD54" s="207">
        <v>0</v>
      </c>
    </row>
    <row r="55" spans="1:30" s="216" customFormat="1" ht="23.1" hidden="1" customHeight="1" outlineLevel="3">
      <c r="A55" s="223" t="s">
        <v>450</v>
      </c>
      <c r="B55" s="223" t="s">
        <v>447</v>
      </c>
      <c r="C55" s="223" t="s">
        <v>451</v>
      </c>
      <c r="D55" s="223" t="s">
        <v>413</v>
      </c>
      <c r="E55" s="207">
        <v>1</v>
      </c>
      <c r="F55" s="205">
        <v>4352.7784249541292</v>
      </c>
      <c r="G55" s="205">
        <v>4352.7784249541292</v>
      </c>
      <c r="H55" s="207">
        <v>1</v>
      </c>
      <c r="I55" s="207"/>
      <c r="J55" s="207">
        <v>4589.3</v>
      </c>
      <c r="K55" s="123"/>
      <c r="L55" s="267">
        <v>4352.7784249541292</v>
      </c>
      <c r="M55" s="205">
        <f t="shared" si="15"/>
        <v>0</v>
      </c>
      <c r="N55" s="207"/>
      <c r="O55" s="207"/>
      <c r="P55" s="207">
        <f t="shared" si="16"/>
        <v>0</v>
      </c>
      <c r="Q55" s="123"/>
      <c r="R55" s="267">
        <v>4352.7784249541292</v>
      </c>
      <c r="S55" s="207">
        <f t="shared" si="14"/>
        <v>0</v>
      </c>
      <c r="T55" s="207"/>
      <c r="U55" s="207"/>
      <c r="V55" s="207">
        <f t="shared" si="13"/>
        <v>0</v>
      </c>
      <c r="W55" s="123"/>
      <c r="X55" s="268"/>
      <c r="Y55" s="207"/>
      <c r="Z55" s="267">
        <v>4352.7784249541292</v>
      </c>
      <c r="AA55" s="207">
        <v>0</v>
      </c>
      <c r="AB55" s="207"/>
      <c r="AC55" s="207"/>
      <c r="AD55" s="207">
        <v>0</v>
      </c>
    </row>
    <row r="56" spans="1:30" s="216" customFormat="1" ht="23.1" hidden="1" customHeight="1" outlineLevel="3">
      <c r="A56" s="223" t="s">
        <v>452</v>
      </c>
      <c r="B56" s="223" t="s">
        <v>453</v>
      </c>
      <c r="C56" s="223"/>
      <c r="D56" s="223"/>
      <c r="E56" s="207"/>
      <c r="F56" s="205">
        <v>0</v>
      </c>
      <c r="G56" s="205"/>
      <c r="H56" s="207"/>
      <c r="I56" s="207"/>
      <c r="J56" s="207">
        <v>0</v>
      </c>
      <c r="K56" s="123"/>
      <c r="L56" s="267">
        <v>0</v>
      </c>
      <c r="M56" s="205">
        <f t="shared" si="15"/>
        <v>0</v>
      </c>
      <c r="N56" s="207"/>
      <c r="O56" s="207"/>
      <c r="P56" s="207">
        <f t="shared" si="16"/>
        <v>0</v>
      </c>
      <c r="Q56" s="123"/>
      <c r="R56" s="267">
        <v>0</v>
      </c>
      <c r="S56" s="207">
        <f t="shared" si="14"/>
        <v>0</v>
      </c>
      <c r="T56" s="207"/>
      <c r="U56" s="207"/>
      <c r="V56" s="207">
        <f t="shared" si="13"/>
        <v>0</v>
      </c>
      <c r="W56" s="123"/>
      <c r="X56" s="268"/>
      <c r="Y56" s="207"/>
      <c r="Z56" s="267">
        <v>0</v>
      </c>
      <c r="AA56" s="207">
        <v>0</v>
      </c>
      <c r="AB56" s="207"/>
      <c r="AC56" s="207"/>
      <c r="AD56" s="207">
        <v>0</v>
      </c>
    </row>
    <row r="57" spans="1:30" s="216" customFormat="1" ht="23.1" hidden="1" customHeight="1" outlineLevel="3">
      <c r="A57" s="223" t="s">
        <v>454</v>
      </c>
      <c r="B57" s="223" t="s">
        <v>455</v>
      </c>
      <c r="C57" s="223" t="s">
        <v>456</v>
      </c>
      <c r="D57" s="223" t="s">
        <v>247</v>
      </c>
      <c r="E57" s="207">
        <v>11.93</v>
      </c>
      <c r="F57" s="205">
        <v>266.85937673394494</v>
      </c>
      <c r="G57" s="205">
        <v>3183.6323644359632</v>
      </c>
      <c r="H57" s="207">
        <v>11.93</v>
      </c>
      <c r="I57" s="207"/>
      <c r="J57" s="207">
        <v>3356.6248000000001</v>
      </c>
      <c r="K57" s="123"/>
      <c r="L57" s="267">
        <v>266.85937673394494</v>
      </c>
      <c r="M57" s="205">
        <f t="shared" si="15"/>
        <v>0</v>
      </c>
      <c r="N57" s="207"/>
      <c r="O57" s="207"/>
      <c r="P57" s="207">
        <f t="shared" si="16"/>
        <v>0</v>
      </c>
      <c r="Q57" s="123"/>
      <c r="R57" s="267">
        <v>266.85937673394494</v>
      </c>
      <c r="S57" s="207">
        <f t="shared" si="14"/>
        <v>0</v>
      </c>
      <c r="T57" s="207"/>
      <c r="U57" s="207"/>
      <c r="V57" s="207">
        <f t="shared" si="13"/>
        <v>0</v>
      </c>
      <c r="W57" s="123"/>
      <c r="X57" s="268"/>
      <c r="Y57" s="207"/>
      <c r="Z57" s="267">
        <v>266.85937673394494</v>
      </c>
      <c r="AA57" s="207">
        <v>0</v>
      </c>
      <c r="AB57" s="207"/>
      <c r="AC57" s="207"/>
      <c r="AD57" s="207">
        <v>0</v>
      </c>
    </row>
    <row r="58" spans="1:30" s="215" customFormat="1" ht="23.1" hidden="1" customHeight="1" outlineLevel="2">
      <c r="A58" s="220">
        <v>1.6</v>
      </c>
      <c r="B58" s="220" t="s">
        <v>376</v>
      </c>
      <c r="C58" s="220"/>
      <c r="D58" s="220" t="s">
        <v>143</v>
      </c>
      <c r="E58" s="229">
        <v>1</v>
      </c>
      <c r="F58" s="222">
        <v>-3460.9202747889913</v>
      </c>
      <c r="G58" s="222">
        <v>-3460.9202747889913</v>
      </c>
      <c r="H58" s="229">
        <v>1</v>
      </c>
      <c r="I58" s="229"/>
      <c r="J58" s="229">
        <v>0</v>
      </c>
      <c r="K58" s="137">
        <v>1</v>
      </c>
      <c r="L58" s="222">
        <v>-3460.9202747889913</v>
      </c>
      <c r="M58" s="205">
        <f t="shared" si="15"/>
        <v>-3460.9202747889913</v>
      </c>
      <c r="N58" s="229"/>
      <c r="O58" s="229"/>
      <c r="P58" s="207">
        <f t="shared" si="16"/>
        <v>0</v>
      </c>
      <c r="Q58" s="137">
        <v>1</v>
      </c>
      <c r="R58" s="266">
        <v>-3460.9202747889913</v>
      </c>
      <c r="S58" s="207">
        <f t="shared" si="14"/>
        <v>-3460.9202747889913</v>
      </c>
      <c r="T58" s="229"/>
      <c r="U58" s="229"/>
      <c r="V58" s="207">
        <f t="shared" si="13"/>
        <v>0</v>
      </c>
      <c r="W58" s="137"/>
      <c r="X58" s="269"/>
      <c r="Y58" s="229"/>
      <c r="Z58" s="266">
        <v>-3460.9202747889913</v>
      </c>
      <c r="AA58" s="207">
        <v>0</v>
      </c>
      <c r="AB58" s="229"/>
      <c r="AC58" s="229"/>
      <c r="AD58" s="207">
        <v>0</v>
      </c>
    </row>
    <row r="59" spans="1:30" s="215" customFormat="1" ht="23.1" hidden="1" customHeight="1" outlineLevel="2">
      <c r="A59" s="220">
        <v>1.7</v>
      </c>
      <c r="B59" s="220" t="s">
        <v>377</v>
      </c>
      <c r="C59" s="220"/>
      <c r="D59" s="220" t="s">
        <v>143</v>
      </c>
      <c r="E59" s="229">
        <v>1</v>
      </c>
      <c r="F59" s="222">
        <v>-9596.7795302752293</v>
      </c>
      <c r="G59" s="222">
        <v>-9596.7795302752293</v>
      </c>
      <c r="H59" s="229">
        <v>1</v>
      </c>
      <c r="I59" s="229"/>
      <c r="J59" s="229">
        <v>0</v>
      </c>
      <c r="K59" s="137">
        <v>1</v>
      </c>
      <c r="L59" s="266">
        <v>-9596.7795302752293</v>
      </c>
      <c r="M59" s="205">
        <f t="shared" ref="M59:M122" si="17">+L59*K59</f>
        <v>-9596.7795302752293</v>
      </c>
      <c r="N59" s="229"/>
      <c r="O59" s="229"/>
      <c r="P59" s="207">
        <f t="shared" si="16"/>
        <v>0</v>
      </c>
      <c r="Q59" s="137">
        <v>1</v>
      </c>
      <c r="R59" s="266">
        <v>-9596.7795302752293</v>
      </c>
      <c r="S59" s="207">
        <f t="shared" si="14"/>
        <v>-9596.7795302752293</v>
      </c>
      <c r="T59" s="229"/>
      <c r="U59" s="229"/>
      <c r="V59" s="207">
        <f t="shared" si="13"/>
        <v>0</v>
      </c>
      <c r="W59" s="137"/>
      <c r="X59" s="269"/>
      <c r="Y59" s="229"/>
      <c r="Z59" s="266">
        <v>-9596.7795302752293</v>
      </c>
      <c r="AA59" s="207">
        <v>0</v>
      </c>
      <c r="AB59" s="229"/>
      <c r="AC59" s="229"/>
      <c r="AD59" s="207">
        <v>0</v>
      </c>
    </row>
    <row r="60" spans="1:30" s="215" customFormat="1" ht="23.1" hidden="1" customHeight="1" outlineLevel="1" collapsed="1">
      <c r="A60" s="220">
        <v>2</v>
      </c>
      <c r="B60" s="220" t="s">
        <v>457</v>
      </c>
      <c r="C60" s="220"/>
      <c r="D60" s="220"/>
      <c r="E60" s="229"/>
      <c r="F60" s="222">
        <v>0</v>
      </c>
      <c r="G60" s="222"/>
      <c r="H60" s="229"/>
      <c r="I60" s="229"/>
      <c r="J60" s="229">
        <v>0</v>
      </c>
      <c r="K60" s="137"/>
      <c r="L60" s="266">
        <v>0</v>
      </c>
      <c r="M60" s="205">
        <f t="shared" si="17"/>
        <v>0</v>
      </c>
      <c r="N60" s="229"/>
      <c r="O60" s="229"/>
      <c r="P60" s="207">
        <f t="shared" si="16"/>
        <v>0</v>
      </c>
      <c r="Q60" s="137"/>
      <c r="R60" s="266">
        <v>0</v>
      </c>
      <c r="S60" s="207">
        <f t="shared" si="14"/>
        <v>0</v>
      </c>
      <c r="T60" s="229"/>
      <c r="U60" s="229"/>
      <c r="V60" s="207">
        <f t="shared" si="13"/>
        <v>0</v>
      </c>
      <c r="W60" s="137"/>
      <c r="X60" s="269"/>
      <c r="Y60" s="229"/>
      <c r="Z60" s="266">
        <v>0</v>
      </c>
      <c r="AA60" s="207">
        <v>0</v>
      </c>
      <c r="AB60" s="229"/>
      <c r="AC60" s="229"/>
      <c r="AD60" s="207">
        <v>0</v>
      </c>
    </row>
    <row r="61" spans="1:30" s="215" customFormat="1" ht="23.1" hidden="1" customHeight="1" outlineLevel="2" collapsed="1">
      <c r="A61" s="220">
        <v>2.1</v>
      </c>
      <c r="B61" s="220" t="s">
        <v>409</v>
      </c>
      <c r="C61" s="220"/>
      <c r="D61" s="220"/>
      <c r="E61" s="229"/>
      <c r="F61" s="222">
        <v>0</v>
      </c>
      <c r="G61" s="222"/>
      <c r="H61" s="229"/>
      <c r="I61" s="229"/>
      <c r="J61" s="229">
        <v>0</v>
      </c>
      <c r="K61" s="137"/>
      <c r="L61" s="266">
        <v>0</v>
      </c>
      <c r="M61" s="205">
        <f t="shared" si="17"/>
        <v>0</v>
      </c>
      <c r="N61" s="229"/>
      <c r="O61" s="229"/>
      <c r="P61" s="207">
        <f t="shared" si="16"/>
        <v>0</v>
      </c>
      <c r="Q61" s="137"/>
      <c r="R61" s="266">
        <v>0</v>
      </c>
      <c r="S61" s="207">
        <f t="shared" si="14"/>
        <v>0</v>
      </c>
      <c r="T61" s="229"/>
      <c r="U61" s="229"/>
      <c r="V61" s="207">
        <f t="shared" si="13"/>
        <v>0</v>
      </c>
      <c r="W61" s="137"/>
      <c r="X61" s="269"/>
      <c r="Y61" s="229"/>
      <c r="Z61" s="266">
        <v>0</v>
      </c>
      <c r="AA61" s="207">
        <v>0</v>
      </c>
      <c r="AB61" s="229"/>
      <c r="AC61" s="229"/>
      <c r="AD61" s="207">
        <v>0</v>
      </c>
    </row>
    <row r="62" spans="1:30" s="216" customFormat="1" ht="23.1" hidden="1" customHeight="1" outlineLevel="3">
      <c r="A62" s="223" t="s">
        <v>458</v>
      </c>
      <c r="B62" s="223" t="s">
        <v>411</v>
      </c>
      <c r="C62" s="223" t="s">
        <v>459</v>
      </c>
      <c r="D62" s="223" t="s">
        <v>413</v>
      </c>
      <c r="E62" s="207">
        <v>1</v>
      </c>
      <c r="F62" s="205">
        <v>1215.2174311926603</v>
      </c>
      <c r="G62" s="205">
        <v>1215.2174311926603</v>
      </c>
      <c r="H62" s="207">
        <v>1</v>
      </c>
      <c r="I62" s="207"/>
      <c r="J62" s="207">
        <v>1184.4000000000001</v>
      </c>
      <c r="K62" s="123"/>
      <c r="L62" s="267">
        <v>1215.2174311926603</v>
      </c>
      <c r="M62" s="205">
        <f t="shared" si="17"/>
        <v>0</v>
      </c>
      <c r="N62" s="207"/>
      <c r="O62" s="207"/>
      <c r="P62" s="207">
        <f t="shared" si="16"/>
        <v>0</v>
      </c>
      <c r="Q62" s="123"/>
      <c r="R62" s="267">
        <v>1215.2174311926603</v>
      </c>
      <c r="S62" s="207">
        <f t="shared" si="14"/>
        <v>0</v>
      </c>
      <c r="T62" s="207"/>
      <c r="U62" s="207"/>
      <c r="V62" s="207">
        <f t="shared" si="13"/>
        <v>0</v>
      </c>
      <c r="W62" s="123"/>
      <c r="X62" s="268"/>
      <c r="Y62" s="207"/>
      <c r="Z62" s="267">
        <v>1215.2174311926603</v>
      </c>
      <c r="AA62" s="207">
        <v>0</v>
      </c>
      <c r="AB62" s="207"/>
      <c r="AC62" s="207"/>
      <c r="AD62" s="207">
        <v>0</v>
      </c>
    </row>
    <row r="63" spans="1:30" s="216" customFormat="1" ht="23.1" hidden="1" customHeight="1" outlineLevel="3">
      <c r="A63" s="223" t="s">
        <v>460</v>
      </c>
      <c r="B63" s="223" t="s">
        <v>411</v>
      </c>
      <c r="C63" s="223" t="s">
        <v>461</v>
      </c>
      <c r="D63" s="223" t="s">
        <v>413</v>
      </c>
      <c r="E63" s="207">
        <v>1</v>
      </c>
      <c r="F63" s="205">
        <v>434.00690289908255</v>
      </c>
      <c r="G63" s="205">
        <v>434.00690289908255</v>
      </c>
      <c r="H63" s="207">
        <v>1</v>
      </c>
      <c r="I63" s="207"/>
      <c r="J63" s="207">
        <v>423</v>
      </c>
      <c r="K63" s="123"/>
      <c r="L63" s="267">
        <v>434.00690289908255</v>
      </c>
      <c r="M63" s="205">
        <f t="shared" si="17"/>
        <v>0</v>
      </c>
      <c r="N63" s="207"/>
      <c r="O63" s="207"/>
      <c r="P63" s="207">
        <f t="shared" si="16"/>
        <v>0</v>
      </c>
      <c r="Q63" s="123"/>
      <c r="R63" s="267">
        <v>434.00690289908255</v>
      </c>
      <c r="S63" s="207">
        <f t="shared" si="14"/>
        <v>0</v>
      </c>
      <c r="T63" s="207"/>
      <c r="U63" s="207"/>
      <c r="V63" s="207">
        <f t="shared" si="13"/>
        <v>0</v>
      </c>
      <c r="W63" s="123"/>
      <c r="X63" s="268"/>
      <c r="Y63" s="207"/>
      <c r="Z63" s="267">
        <v>434.00690289908255</v>
      </c>
      <c r="AA63" s="207">
        <v>0</v>
      </c>
      <c r="AB63" s="207"/>
      <c r="AC63" s="207"/>
      <c r="AD63" s="207">
        <v>0</v>
      </c>
    </row>
    <row r="64" spans="1:30" s="215" customFormat="1" ht="23.1" hidden="1" customHeight="1" outlineLevel="2" collapsed="1">
      <c r="A64" s="220">
        <v>2.2000000000000002</v>
      </c>
      <c r="B64" s="220" t="s">
        <v>420</v>
      </c>
      <c r="C64" s="220"/>
      <c r="D64" s="220"/>
      <c r="E64" s="229"/>
      <c r="F64" s="222">
        <v>0</v>
      </c>
      <c r="G64" s="222">
        <v>0</v>
      </c>
      <c r="H64" s="229"/>
      <c r="I64" s="229"/>
      <c r="J64" s="229">
        <v>0</v>
      </c>
      <c r="K64" s="137"/>
      <c r="L64" s="266">
        <v>0</v>
      </c>
      <c r="M64" s="205">
        <f t="shared" si="17"/>
        <v>0</v>
      </c>
      <c r="N64" s="229"/>
      <c r="O64" s="229"/>
      <c r="P64" s="207">
        <f t="shared" si="16"/>
        <v>0</v>
      </c>
      <c r="Q64" s="137"/>
      <c r="R64" s="266">
        <v>0</v>
      </c>
      <c r="S64" s="207">
        <f t="shared" si="14"/>
        <v>0</v>
      </c>
      <c r="T64" s="229"/>
      <c r="U64" s="229"/>
      <c r="V64" s="207">
        <f t="shared" si="13"/>
        <v>0</v>
      </c>
      <c r="W64" s="137"/>
      <c r="X64" s="269"/>
      <c r="Y64" s="229"/>
      <c r="Z64" s="266">
        <v>0</v>
      </c>
      <c r="AA64" s="207">
        <v>0</v>
      </c>
      <c r="AB64" s="229"/>
      <c r="AC64" s="229"/>
      <c r="AD64" s="207">
        <v>0</v>
      </c>
    </row>
    <row r="65" spans="1:30" s="216" customFormat="1" ht="23.1" hidden="1" customHeight="1" outlineLevel="3">
      <c r="A65" s="223" t="s">
        <v>462</v>
      </c>
      <c r="B65" s="223" t="s">
        <v>411</v>
      </c>
      <c r="C65" s="223" t="s">
        <v>463</v>
      </c>
      <c r="D65" s="223" t="s">
        <v>413</v>
      </c>
      <c r="E65" s="207">
        <v>8</v>
      </c>
      <c r="F65" s="205">
        <v>1076.0969685137613</v>
      </c>
      <c r="G65" s="205">
        <v>8608.7757481100907</v>
      </c>
      <c r="H65" s="207">
        <v>8</v>
      </c>
      <c r="I65" s="207"/>
      <c r="J65" s="207">
        <v>8685.6</v>
      </c>
      <c r="K65" s="123"/>
      <c r="L65" s="267">
        <v>1076.0969685137613</v>
      </c>
      <c r="M65" s="205">
        <f t="shared" si="17"/>
        <v>0</v>
      </c>
      <c r="N65" s="207"/>
      <c r="O65" s="207"/>
      <c r="P65" s="207">
        <f t="shared" si="16"/>
        <v>0</v>
      </c>
      <c r="Q65" s="123"/>
      <c r="R65" s="267">
        <v>1076.0969685137613</v>
      </c>
      <c r="S65" s="207">
        <f t="shared" si="14"/>
        <v>0</v>
      </c>
      <c r="T65" s="207"/>
      <c r="U65" s="207"/>
      <c r="V65" s="207">
        <f t="shared" si="13"/>
        <v>0</v>
      </c>
      <c r="W65" s="123"/>
      <c r="X65" s="268"/>
      <c r="Y65" s="207"/>
      <c r="Z65" s="267">
        <v>1076.0969685137613</v>
      </c>
      <c r="AA65" s="207">
        <v>0</v>
      </c>
      <c r="AB65" s="207"/>
      <c r="AC65" s="207"/>
      <c r="AD65" s="207">
        <v>0</v>
      </c>
    </row>
    <row r="66" spans="1:30" s="216" customFormat="1" ht="23.1" hidden="1" customHeight="1" outlineLevel="3">
      <c r="A66" s="223" t="s">
        <v>464</v>
      </c>
      <c r="B66" s="223" t="s">
        <v>411</v>
      </c>
      <c r="C66" s="223" t="s">
        <v>465</v>
      </c>
      <c r="D66" s="223" t="s">
        <v>413</v>
      </c>
      <c r="E66" s="207">
        <v>1</v>
      </c>
      <c r="F66" s="205">
        <v>1225.1762862385322</v>
      </c>
      <c r="G66" s="205">
        <v>1225.1762862385322</v>
      </c>
      <c r="H66" s="207">
        <v>1</v>
      </c>
      <c r="I66" s="207"/>
      <c r="J66" s="207">
        <v>1233.75</v>
      </c>
      <c r="K66" s="123"/>
      <c r="L66" s="267">
        <v>1225.1762862385322</v>
      </c>
      <c r="M66" s="205">
        <f t="shared" si="17"/>
        <v>0</v>
      </c>
      <c r="N66" s="207"/>
      <c r="O66" s="207"/>
      <c r="P66" s="207">
        <f t="shared" si="16"/>
        <v>0</v>
      </c>
      <c r="Q66" s="123"/>
      <c r="R66" s="267">
        <v>1225.1762862385322</v>
      </c>
      <c r="S66" s="207">
        <f t="shared" si="14"/>
        <v>0</v>
      </c>
      <c r="T66" s="207"/>
      <c r="U66" s="207"/>
      <c r="V66" s="207">
        <f t="shared" si="13"/>
        <v>0</v>
      </c>
      <c r="W66" s="123"/>
      <c r="X66" s="268"/>
      <c r="Y66" s="207"/>
      <c r="Z66" s="267">
        <v>1225.1762862385322</v>
      </c>
      <c r="AA66" s="207">
        <v>0</v>
      </c>
      <c r="AB66" s="207"/>
      <c r="AC66" s="207"/>
      <c r="AD66" s="207">
        <v>0</v>
      </c>
    </row>
    <row r="67" spans="1:30" s="216" customFormat="1" ht="23.1" hidden="1" customHeight="1" outlineLevel="3">
      <c r="A67" s="223" t="s">
        <v>466</v>
      </c>
      <c r="B67" s="223" t="s">
        <v>411</v>
      </c>
      <c r="C67" s="223" t="s">
        <v>467</v>
      </c>
      <c r="D67" s="223" t="s">
        <v>413</v>
      </c>
      <c r="E67" s="207">
        <v>3</v>
      </c>
      <c r="F67" s="205">
        <v>531.06305878899082</v>
      </c>
      <c r="G67" s="205">
        <v>1593.1891763669723</v>
      </c>
      <c r="H67" s="207">
        <v>3</v>
      </c>
      <c r="I67" s="207"/>
      <c r="J67" s="207">
        <v>1607.4</v>
      </c>
      <c r="K67" s="123"/>
      <c r="L67" s="267">
        <v>531.06305878899082</v>
      </c>
      <c r="M67" s="205">
        <f t="shared" si="17"/>
        <v>0</v>
      </c>
      <c r="N67" s="207"/>
      <c r="O67" s="207"/>
      <c r="P67" s="207">
        <f t="shared" si="16"/>
        <v>0</v>
      </c>
      <c r="Q67" s="123"/>
      <c r="R67" s="267">
        <v>531.06305878899082</v>
      </c>
      <c r="S67" s="207">
        <f t="shared" si="14"/>
        <v>0</v>
      </c>
      <c r="T67" s="207"/>
      <c r="U67" s="207"/>
      <c r="V67" s="207">
        <f t="shared" si="13"/>
        <v>0</v>
      </c>
      <c r="W67" s="123"/>
      <c r="X67" s="268"/>
      <c r="Y67" s="207"/>
      <c r="Z67" s="267">
        <v>531.06305878899082</v>
      </c>
      <c r="AA67" s="207">
        <v>0</v>
      </c>
      <c r="AB67" s="207"/>
      <c r="AC67" s="207"/>
      <c r="AD67" s="207">
        <v>0</v>
      </c>
    </row>
    <row r="68" spans="1:30" s="216" customFormat="1" ht="23.1" hidden="1" customHeight="1" outlineLevel="3">
      <c r="A68" s="223" t="s">
        <v>468</v>
      </c>
      <c r="B68" s="223" t="s">
        <v>411</v>
      </c>
      <c r="C68" s="223" t="s">
        <v>469</v>
      </c>
      <c r="D68" s="223" t="s">
        <v>413</v>
      </c>
      <c r="E68" s="207">
        <v>3</v>
      </c>
      <c r="F68" s="205">
        <v>978.25358884403681</v>
      </c>
      <c r="G68" s="205">
        <v>2934.7607665321102</v>
      </c>
      <c r="H68" s="207">
        <v>3</v>
      </c>
      <c r="I68" s="207"/>
      <c r="J68" s="207">
        <v>2961</v>
      </c>
      <c r="K68" s="123"/>
      <c r="L68" s="267">
        <v>978.25358884403681</v>
      </c>
      <c r="M68" s="205">
        <f t="shared" si="17"/>
        <v>0</v>
      </c>
      <c r="N68" s="207"/>
      <c r="O68" s="207"/>
      <c r="P68" s="207">
        <f t="shared" si="16"/>
        <v>0</v>
      </c>
      <c r="Q68" s="123"/>
      <c r="R68" s="267">
        <v>978.25358884403681</v>
      </c>
      <c r="S68" s="207">
        <f t="shared" si="14"/>
        <v>0</v>
      </c>
      <c r="T68" s="207"/>
      <c r="U68" s="207"/>
      <c r="V68" s="207">
        <f t="shared" si="13"/>
        <v>0</v>
      </c>
      <c r="W68" s="123"/>
      <c r="X68" s="268"/>
      <c r="Y68" s="207"/>
      <c r="Z68" s="267">
        <v>978.25358884403681</v>
      </c>
      <c r="AA68" s="207">
        <v>0</v>
      </c>
      <c r="AB68" s="207"/>
      <c r="AC68" s="207"/>
      <c r="AD68" s="207">
        <v>0</v>
      </c>
    </row>
    <row r="69" spans="1:30" s="216" customFormat="1" ht="23.1" hidden="1" customHeight="1" outlineLevel="3">
      <c r="A69" s="223" t="s">
        <v>470</v>
      </c>
      <c r="B69" s="223" t="s">
        <v>411</v>
      </c>
      <c r="C69" s="223" t="s">
        <v>471</v>
      </c>
      <c r="D69" s="223" t="s">
        <v>413</v>
      </c>
      <c r="E69" s="207">
        <v>1</v>
      </c>
      <c r="F69" s="205">
        <v>1062.1261175779816</v>
      </c>
      <c r="G69" s="205">
        <v>1062.1261175779816</v>
      </c>
      <c r="H69" s="207">
        <v>1</v>
      </c>
      <c r="I69" s="207"/>
      <c r="J69" s="207">
        <v>1071.5999999999999</v>
      </c>
      <c r="K69" s="123"/>
      <c r="L69" s="267">
        <v>1062.1261175779816</v>
      </c>
      <c r="M69" s="205">
        <f t="shared" si="17"/>
        <v>0</v>
      </c>
      <c r="N69" s="207"/>
      <c r="O69" s="207"/>
      <c r="P69" s="207">
        <f t="shared" si="16"/>
        <v>0</v>
      </c>
      <c r="Q69" s="123"/>
      <c r="R69" s="267">
        <v>1062.1261175779816</v>
      </c>
      <c r="S69" s="207">
        <f t="shared" si="14"/>
        <v>0</v>
      </c>
      <c r="T69" s="207"/>
      <c r="U69" s="207"/>
      <c r="V69" s="207">
        <f t="shared" si="13"/>
        <v>0</v>
      </c>
      <c r="W69" s="123"/>
      <c r="X69" s="268"/>
      <c r="Y69" s="207"/>
      <c r="Z69" s="267">
        <v>1062.1261175779816</v>
      </c>
      <c r="AA69" s="207">
        <v>0</v>
      </c>
      <c r="AB69" s="207"/>
      <c r="AC69" s="207"/>
      <c r="AD69" s="207">
        <v>0</v>
      </c>
    </row>
    <row r="70" spans="1:30" s="216" customFormat="1" ht="23.1" hidden="1" customHeight="1" outlineLevel="3">
      <c r="A70" s="223" t="s">
        <v>472</v>
      </c>
      <c r="B70" s="223" t="s">
        <v>411</v>
      </c>
      <c r="C70" s="223" t="s">
        <v>473</v>
      </c>
      <c r="D70" s="223" t="s">
        <v>413</v>
      </c>
      <c r="E70" s="207">
        <v>4</v>
      </c>
      <c r="F70" s="205">
        <v>1844.7308855779816</v>
      </c>
      <c r="G70" s="205">
        <v>7378.9235423119262</v>
      </c>
      <c r="H70" s="207">
        <v>4</v>
      </c>
      <c r="I70" s="207"/>
      <c r="J70" s="207">
        <v>5376.8</v>
      </c>
      <c r="K70" s="123"/>
      <c r="L70" s="267">
        <v>1844.7308855779816</v>
      </c>
      <c r="M70" s="205">
        <f t="shared" si="17"/>
        <v>0</v>
      </c>
      <c r="N70" s="207"/>
      <c r="O70" s="207"/>
      <c r="P70" s="207">
        <f t="shared" si="16"/>
        <v>0</v>
      </c>
      <c r="Q70" s="123"/>
      <c r="R70" s="267">
        <v>1844.7308855779816</v>
      </c>
      <c r="S70" s="207">
        <f t="shared" si="14"/>
        <v>0</v>
      </c>
      <c r="T70" s="207"/>
      <c r="U70" s="207"/>
      <c r="V70" s="207">
        <f t="shared" si="13"/>
        <v>0</v>
      </c>
      <c r="W70" s="123"/>
      <c r="X70" s="268"/>
      <c r="Y70" s="207"/>
      <c r="Z70" s="267">
        <v>1844.7308855779816</v>
      </c>
      <c r="AA70" s="207">
        <v>0</v>
      </c>
      <c r="AB70" s="207"/>
      <c r="AC70" s="207"/>
      <c r="AD70" s="207">
        <v>0</v>
      </c>
    </row>
    <row r="71" spans="1:30" s="215" customFormat="1" ht="23.1" hidden="1" customHeight="1" outlineLevel="2" collapsed="1">
      <c r="A71" s="220">
        <v>2.2999999999999998</v>
      </c>
      <c r="B71" s="220" t="s">
        <v>429</v>
      </c>
      <c r="C71" s="220"/>
      <c r="D71" s="220"/>
      <c r="E71" s="229"/>
      <c r="F71" s="222">
        <v>0</v>
      </c>
      <c r="G71" s="222">
        <v>0</v>
      </c>
      <c r="H71" s="229"/>
      <c r="I71" s="229"/>
      <c r="J71" s="229">
        <v>0</v>
      </c>
      <c r="K71" s="137"/>
      <c r="L71" s="266">
        <v>0</v>
      </c>
      <c r="M71" s="205">
        <f t="shared" si="17"/>
        <v>0</v>
      </c>
      <c r="N71" s="229"/>
      <c r="O71" s="229"/>
      <c r="P71" s="207">
        <f t="shared" si="16"/>
        <v>0</v>
      </c>
      <c r="Q71" s="137"/>
      <c r="R71" s="266">
        <v>0</v>
      </c>
      <c r="S71" s="207">
        <f t="shared" si="14"/>
        <v>0</v>
      </c>
      <c r="T71" s="229"/>
      <c r="U71" s="229"/>
      <c r="V71" s="207">
        <f t="shared" si="13"/>
        <v>0</v>
      </c>
      <c r="W71" s="137"/>
      <c r="X71" s="269"/>
      <c r="Y71" s="229"/>
      <c r="Z71" s="266">
        <v>0</v>
      </c>
      <c r="AA71" s="207">
        <v>0</v>
      </c>
      <c r="AB71" s="229"/>
      <c r="AC71" s="229"/>
      <c r="AD71" s="207">
        <v>0</v>
      </c>
    </row>
    <row r="72" spans="1:30" s="216" customFormat="1" ht="23.1" hidden="1" customHeight="1" outlineLevel="3">
      <c r="A72" s="223" t="s">
        <v>474</v>
      </c>
      <c r="B72" s="223" t="s">
        <v>411</v>
      </c>
      <c r="C72" s="223" t="s">
        <v>475</v>
      </c>
      <c r="D72" s="223" t="s">
        <v>413</v>
      </c>
      <c r="E72" s="207">
        <v>2</v>
      </c>
      <c r="F72" s="205">
        <v>512.37834979816512</v>
      </c>
      <c r="G72" s="205">
        <v>1024.7566995963302</v>
      </c>
      <c r="H72" s="207">
        <v>2</v>
      </c>
      <c r="I72" s="207"/>
      <c r="J72" s="207">
        <v>1071.5999999999999</v>
      </c>
      <c r="K72" s="123"/>
      <c r="L72" s="267">
        <v>512.37834979816512</v>
      </c>
      <c r="M72" s="205">
        <f t="shared" si="17"/>
        <v>0</v>
      </c>
      <c r="N72" s="207"/>
      <c r="O72" s="207"/>
      <c r="P72" s="207">
        <f t="shared" si="16"/>
        <v>0</v>
      </c>
      <c r="Q72" s="123"/>
      <c r="R72" s="267">
        <v>512.37834979816512</v>
      </c>
      <c r="S72" s="207">
        <f t="shared" si="14"/>
        <v>0</v>
      </c>
      <c r="T72" s="207"/>
      <c r="U72" s="207"/>
      <c r="V72" s="207">
        <f t="shared" si="13"/>
        <v>0</v>
      </c>
      <c r="W72" s="123"/>
      <c r="X72" s="268"/>
      <c r="Y72" s="207"/>
      <c r="Z72" s="267">
        <v>512.37834979816512</v>
      </c>
      <c r="AA72" s="207">
        <v>0</v>
      </c>
      <c r="AB72" s="207"/>
      <c r="AC72" s="207"/>
      <c r="AD72" s="207">
        <v>0</v>
      </c>
    </row>
    <row r="73" spans="1:30" s="215" customFormat="1" ht="23.1" hidden="1" customHeight="1" outlineLevel="2" collapsed="1">
      <c r="A73" s="220">
        <v>2.4</v>
      </c>
      <c r="B73" s="220" t="s">
        <v>476</v>
      </c>
      <c r="C73" s="220"/>
      <c r="D73" s="220"/>
      <c r="E73" s="229"/>
      <c r="F73" s="222">
        <v>0</v>
      </c>
      <c r="G73" s="222">
        <v>0</v>
      </c>
      <c r="H73" s="229"/>
      <c r="I73" s="229"/>
      <c r="J73" s="229">
        <v>0</v>
      </c>
      <c r="K73" s="137"/>
      <c r="L73" s="266">
        <v>0</v>
      </c>
      <c r="M73" s="205">
        <f t="shared" si="17"/>
        <v>0</v>
      </c>
      <c r="N73" s="229"/>
      <c r="O73" s="229"/>
      <c r="P73" s="207">
        <f t="shared" si="16"/>
        <v>0</v>
      </c>
      <c r="Q73" s="137"/>
      <c r="R73" s="266">
        <v>0</v>
      </c>
      <c r="S73" s="207">
        <f t="shared" si="14"/>
        <v>0</v>
      </c>
      <c r="T73" s="229"/>
      <c r="U73" s="229"/>
      <c r="V73" s="207">
        <f t="shared" si="13"/>
        <v>0</v>
      </c>
      <c r="W73" s="137"/>
      <c r="X73" s="269"/>
      <c r="Y73" s="229"/>
      <c r="Z73" s="266">
        <v>0</v>
      </c>
      <c r="AA73" s="207">
        <v>0</v>
      </c>
      <c r="AB73" s="229"/>
      <c r="AC73" s="229"/>
      <c r="AD73" s="207">
        <v>0</v>
      </c>
    </row>
    <row r="74" spans="1:30" s="216" customFormat="1" ht="23.1" hidden="1" customHeight="1" outlineLevel="3">
      <c r="A74" s="223" t="s">
        <v>477</v>
      </c>
      <c r="B74" s="223" t="s">
        <v>476</v>
      </c>
      <c r="C74" s="223" t="s">
        <v>478</v>
      </c>
      <c r="D74" s="223" t="s">
        <v>413</v>
      </c>
      <c r="E74" s="207">
        <v>1</v>
      </c>
      <c r="F74" s="205">
        <v>1191.5058715596331</v>
      </c>
      <c r="G74" s="205">
        <v>1191.5058715596331</v>
      </c>
      <c r="H74" s="207">
        <v>1</v>
      </c>
      <c r="I74" s="207"/>
      <c r="J74" s="207">
        <v>1120</v>
      </c>
      <c r="K74" s="123"/>
      <c r="L74" s="267">
        <v>1191.5058715596331</v>
      </c>
      <c r="M74" s="205">
        <f t="shared" si="17"/>
        <v>0</v>
      </c>
      <c r="N74" s="207"/>
      <c r="O74" s="207"/>
      <c r="P74" s="207">
        <f t="shared" si="16"/>
        <v>0</v>
      </c>
      <c r="Q74" s="123"/>
      <c r="R74" s="267">
        <v>1191.5058715596331</v>
      </c>
      <c r="S74" s="207">
        <f t="shared" si="14"/>
        <v>0</v>
      </c>
      <c r="T74" s="207"/>
      <c r="U74" s="207"/>
      <c r="V74" s="207">
        <f t="shared" si="13"/>
        <v>0</v>
      </c>
      <c r="W74" s="123"/>
      <c r="X74" s="268"/>
      <c r="Y74" s="207"/>
      <c r="Z74" s="267">
        <v>1191.5058715596331</v>
      </c>
      <c r="AA74" s="207">
        <v>0</v>
      </c>
      <c r="AB74" s="207"/>
      <c r="AC74" s="207"/>
      <c r="AD74" s="207">
        <v>0</v>
      </c>
    </row>
    <row r="75" spans="1:30" s="216" customFormat="1" ht="23.1" hidden="1" customHeight="1" outlineLevel="3">
      <c r="A75" s="223" t="s">
        <v>479</v>
      </c>
      <c r="B75" s="223" t="s">
        <v>476</v>
      </c>
      <c r="C75" s="223" t="s">
        <v>480</v>
      </c>
      <c r="D75" s="223" t="s">
        <v>413</v>
      </c>
      <c r="E75" s="207">
        <v>1</v>
      </c>
      <c r="F75" s="205">
        <v>1697.2544692844037</v>
      </c>
      <c r="G75" s="205">
        <v>1697.2544692844037</v>
      </c>
      <c r="H75" s="207">
        <v>1</v>
      </c>
      <c r="I75" s="207"/>
      <c r="J75" s="207">
        <v>1620</v>
      </c>
      <c r="K75" s="123"/>
      <c r="L75" s="267">
        <v>1697.2544692844037</v>
      </c>
      <c r="M75" s="205">
        <f t="shared" si="17"/>
        <v>0</v>
      </c>
      <c r="N75" s="207"/>
      <c r="O75" s="207"/>
      <c r="P75" s="207">
        <f t="shared" si="16"/>
        <v>0</v>
      </c>
      <c r="Q75" s="123"/>
      <c r="R75" s="267">
        <v>1697.2544692844037</v>
      </c>
      <c r="S75" s="207">
        <f t="shared" si="14"/>
        <v>0</v>
      </c>
      <c r="T75" s="207"/>
      <c r="U75" s="207"/>
      <c r="V75" s="207">
        <f t="shared" si="13"/>
        <v>0</v>
      </c>
      <c r="W75" s="123"/>
      <c r="X75" s="268"/>
      <c r="Y75" s="207"/>
      <c r="Z75" s="267">
        <v>1697.2544692844037</v>
      </c>
      <c r="AA75" s="207">
        <v>0</v>
      </c>
      <c r="AB75" s="207"/>
      <c r="AC75" s="207"/>
      <c r="AD75" s="207">
        <v>0</v>
      </c>
    </row>
    <row r="76" spans="1:30" s="216" customFormat="1" ht="23.1" hidden="1" customHeight="1" outlineLevel="3">
      <c r="A76" s="223" t="s">
        <v>481</v>
      </c>
      <c r="B76" s="223" t="s">
        <v>476</v>
      </c>
      <c r="C76" s="223" t="s">
        <v>482</v>
      </c>
      <c r="D76" s="223" t="s">
        <v>413</v>
      </c>
      <c r="E76" s="207">
        <v>1</v>
      </c>
      <c r="F76" s="205">
        <v>2045.662641908257</v>
      </c>
      <c r="G76" s="205">
        <v>2045.662641908257</v>
      </c>
      <c r="H76" s="207">
        <v>1</v>
      </c>
      <c r="I76" s="207"/>
      <c r="J76" s="207">
        <v>2000</v>
      </c>
      <c r="K76" s="123"/>
      <c r="L76" s="267">
        <v>2045.662641908257</v>
      </c>
      <c r="M76" s="205">
        <f t="shared" si="17"/>
        <v>0</v>
      </c>
      <c r="N76" s="207"/>
      <c r="O76" s="207"/>
      <c r="P76" s="207">
        <f t="shared" si="16"/>
        <v>0</v>
      </c>
      <c r="Q76" s="123"/>
      <c r="R76" s="267">
        <v>2045.662641908257</v>
      </c>
      <c r="S76" s="207">
        <f t="shared" si="14"/>
        <v>0</v>
      </c>
      <c r="T76" s="207"/>
      <c r="U76" s="207"/>
      <c r="V76" s="207">
        <f t="shared" si="13"/>
        <v>0</v>
      </c>
      <c r="W76" s="123"/>
      <c r="X76" s="268"/>
      <c r="Y76" s="207"/>
      <c r="Z76" s="267">
        <v>2045.662641908257</v>
      </c>
      <c r="AA76" s="207">
        <v>0</v>
      </c>
      <c r="AB76" s="207"/>
      <c r="AC76" s="207"/>
      <c r="AD76" s="207">
        <v>0</v>
      </c>
    </row>
    <row r="77" spans="1:30" s="216" customFormat="1" ht="23.1" hidden="1" customHeight="1" outlineLevel="3">
      <c r="A77" s="223" t="s">
        <v>483</v>
      </c>
      <c r="B77" s="223" t="s">
        <v>476</v>
      </c>
      <c r="C77" s="223" t="s">
        <v>484</v>
      </c>
      <c r="D77" s="223" t="s">
        <v>413</v>
      </c>
      <c r="E77" s="207">
        <v>1</v>
      </c>
      <c r="F77" s="205">
        <v>1073.5266354495411</v>
      </c>
      <c r="G77" s="205">
        <v>1073.5266354495411</v>
      </c>
      <c r="H77" s="207">
        <v>1</v>
      </c>
      <c r="I77" s="207"/>
      <c r="J77" s="207">
        <v>1100</v>
      </c>
      <c r="K77" s="123"/>
      <c r="L77" s="267">
        <v>1073.5266354495411</v>
      </c>
      <c r="M77" s="205">
        <f t="shared" si="17"/>
        <v>0</v>
      </c>
      <c r="N77" s="207"/>
      <c r="O77" s="207"/>
      <c r="P77" s="207">
        <f t="shared" si="16"/>
        <v>0</v>
      </c>
      <c r="Q77" s="123"/>
      <c r="R77" s="267">
        <v>1073.5266354495411</v>
      </c>
      <c r="S77" s="207">
        <f t="shared" si="14"/>
        <v>0</v>
      </c>
      <c r="T77" s="207"/>
      <c r="U77" s="207"/>
      <c r="V77" s="207">
        <f t="shared" si="13"/>
        <v>0</v>
      </c>
      <c r="W77" s="123"/>
      <c r="X77" s="268"/>
      <c r="Y77" s="207"/>
      <c r="Z77" s="267">
        <v>1073.5266354495411</v>
      </c>
      <c r="AA77" s="207">
        <v>0</v>
      </c>
      <c r="AB77" s="207"/>
      <c r="AC77" s="207"/>
      <c r="AD77" s="207">
        <v>0</v>
      </c>
    </row>
    <row r="78" spans="1:30" s="216" customFormat="1" ht="23.1" hidden="1" customHeight="1" outlineLevel="3">
      <c r="A78" s="223" t="s">
        <v>485</v>
      </c>
      <c r="B78" s="223" t="s">
        <v>476</v>
      </c>
      <c r="C78" s="223" t="s">
        <v>486</v>
      </c>
      <c r="D78" s="223" t="s">
        <v>413</v>
      </c>
      <c r="E78" s="207">
        <v>1</v>
      </c>
      <c r="F78" s="205">
        <v>1647.5076171743119</v>
      </c>
      <c r="G78" s="205">
        <v>1647.5076171743119</v>
      </c>
      <c r="H78" s="207">
        <v>1</v>
      </c>
      <c r="I78" s="207"/>
      <c r="J78" s="207">
        <v>1500</v>
      </c>
      <c r="K78" s="123"/>
      <c r="L78" s="267">
        <v>1647.5076171743119</v>
      </c>
      <c r="M78" s="205">
        <f t="shared" si="17"/>
        <v>0</v>
      </c>
      <c r="N78" s="207"/>
      <c r="O78" s="207"/>
      <c r="P78" s="207">
        <f t="shared" si="16"/>
        <v>0</v>
      </c>
      <c r="Q78" s="123"/>
      <c r="R78" s="267">
        <v>1647.5076171743119</v>
      </c>
      <c r="S78" s="207">
        <f t="shared" si="14"/>
        <v>0</v>
      </c>
      <c r="T78" s="207"/>
      <c r="U78" s="207"/>
      <c r="V78" s="207">
        <f t="shared" si="13"/>
        <v>0</v>
      </c>
      <c r="W78" s="123"/>
      <c r="X78" s="268"/>
      <c r="Y78" s="207"/>
      <c r="Z78" s="267">
        <v>1647.5076171743119</v>
      </c>
      <c r="AA78" s="207">
        <v>0</v>
      </c>
      <c r="AB78" s="207"/>
      <c r="AC78" s="207"/>
      <c r="AD78" s="207">
        <v>0</v>
      </c>
    </row>
    <row r="79" spans="1:30" s="216" customFormat="1" ht="23.1" hidden="1" customHeight="1" outlineLevel="3">
      <c r="A79" s="223" t="s">
        <v>487</v>
      </c>
      <c r="B79" s="223" t="s">
        <v>476</v>
      </c>
      <c r="C79" s="223" t="s">
        <v>488</v>
      </c>
      <c r="D79" s="223" t="s">
        <v>413</v>
      </c>
      <c r="E79" s="207">
        <v>2</v>
      </c>
      <c r="F79" s="205">
        <v>2001.521202495413</v>
      </c>
      <c r="G79" s="205">
        <v>4003.0424049908261</v>
      </c>
      <c r="H79" s="207">
        <v>2</v>
      </c>
      <c r="I79" s="207"/>
      <c r="J79" s="207">
        <v>3700</v>
      </c>
      <c r="K79" s="123"/>
      <c r="L79" s="267">
        <v>2001.521202495413</v>
      </c>
      <c r="M79" s="205">
        <f t="shared" si="17"/>
        <v>0</v>
      </c>
      <c r="N79" s="207"/>
      <c r="O79" s="207"/>
      <c r="P79" s="207">
        <f t="shared" si="16"/>
        <v>0</v>
      </c>
      <c r="Q79" s="123"/>
      <c r="R79" s="267">
        <v>2001.521202495413</v>
      </c>
      <c r="S79" s="207">
        <f t="shared" si="14"/>
        <v>0</v>
      </c>
      <c r="T79" s="207"/>
      <c r="U79" s="207"/>
      <c r="V79" s="207">
        <f t="shared" si="13"/>
        <v>0</v>
      </c>
      <c r="W79" s="123"/>
      <c r="X79" s="268"/>
      <c r="Y79" s="207"/>
      <c r="Z79" s="267">
        <v>2001.521202495413</v>
      </c>
      <c r="AA79" s="207">
        <v>0</v>
      </c>
      <c r="AB79" s="207"/>
      <c r="AC79" s="207"/>
      <c r="AD79" s="207">
        <v>0</v>
      </c>
    </row>
    <row r="80" spans="1:30" s="216" customFormat="1" ht="23.1" hidden="1" customHeight="1" outlineLevel="3">
      <c r="A80" s="223" t="s">
        <v>489</v>
      </c>
      <c r="B80" s="223" t="s">
        <v>476</v>
      </c>
      <c r="C80" s="223" t="s">
        <v>490</v>
      </c>
      <c r="D80" s="223" t="s">
        <v>413</v>
      </c>
      <c r="E80" s="207">
        <v>1</v>
      </c>
      <c r="F80" s="205">
        <v>1368.5458604036698</v>
      </c>
      <c r="G80" s="205">
        <v>1368.5458604036698</v>
      </c>
      <c r="H80" s="207">
        <v>1</v>
      </c>
      <c r="I80" s="207"/>
      <c r="J80" s="207">
        <v>2210</v>
      </c>
      <c r="K80" s="123"/>
      <c r="L80" s="267">
        <v>1368.5458604036698</v>
      </c>
      <c r="M80" s="205">
        <f t="shared" si="17"/>
        <v>0</v>
      </c>
      <c r="N80" s="207"/>
      <c r="O80" s="207"/>
      <c r="P80" s="207">
        <f t="shared" si="16"/>
        <v>0</v>
      </c>
      <c r="Q80" s="123"/>
      <c r="R80" s="267">
        <v>1368.5458604036698</v>
      </c>
      <c r="S80" s="207">
        <f t="shared" si="14"/>
        <v>0</v>
      </c>
      <c r="T80" s="207"/>
      <c r="U80" s="207"/>
      <c r="V80" s="207">
        <f t="shared" si="13"/>
        <v>0</v>
      </c>
      <c r="W80" s="123"/>
      <c r="X80" s="268"/>
      <c r="Y80" s="207"/>
      <c r="Z80" s="267">
        <v>1368.5458604036698</v>
      </c>
      <c r="AA80" s="207">
        <v>0</v>
      </c>
      <c r="AB80" s="207"/>
      <c r="AC80" s="207"/>
      <c r="AD80" s="207">
        <v>0</v>
      </c>
    </row>
    <row r="81" spans="1:30" s="215" customFormat="1" ht="23.1" hidden="1" customHeight="1" outlineLevel="2" collapsed="1">
      <c r="A81" s="220">
        <v>2.5</v>
      </c>
      <c r="B81" s="220" t="s">
        <v>491</v>
      </c>
      <c r="C81" s="220"/>
      <c r="D81" s="220"/>
      <c r="E81" s="229"/>
      <c r="F81" s="222">
        <v>0</v>
      </c>
      <c r="G81" s="222">
        <v>0</v>
      </c>
      <c r="H81" s="229"/>
      <c r="I81" s="229"/>
      <c r="J81" s="229">
        <v>0</v>
      </c>
      <c r="K81" s="137"/>
      <c r="L81" s="266">
        <v>0</v>
      </c>
      <c r="M81" s="205">
        <f t="shared" si="17"/>
        <v>0</v>
      </c>
      <c r="N81" s="229"/>
      <c r="O81" s="229"/>
      <c r="P81" s="207">
        <f t="shared" si="16"/>
        <v>0</v>
      </c>
      <c r="Q81" s="137"/>
      <c r="R81" s="266">
        <v>0</v>
      </c>
      <c r="S81" s="207">
        <f t="shared" si="14"/>
        <v>0</v>
      </c>
      <c r="T81" s="229"/>
      <c r="U81" s="229"/>
      <c r="V81" s="207">
        <f t="shared" si="13"/>
        <v>0</v>
      </c>
      <c r="W81" s="137"/>
      <c r="X81" s="269"/>
      <c r="Y81" s="229"/>
      <c r="Z81" s="266">
        <v>0</v>
      </c>
      <c r="AA81" s="207">
        <v>0</v>
      </c>
      <c r="AB81" s="229"/>
      <c r="AC81" s="229"/>
      <c r="AD81" s="207">
        <v>0</v>
      </c>
    </row>
    <row r="82" spans="1:30" s="216" customFormat="1" ht="23.1" hidden="1" customHeight="1" outlineLevel="3">
      <c r="A82" s="223" t="s">
        <v>492</v>
      </c>
      <c r="B82" s="223" t="s">
        <v>493</v>
      </c>
      <c r="C82" s="223" t="s">
        <v>494</v>
      </c>
      <c r="D82" s="223" t="s">
        <v>413</v>
      </c>
      <c r="E82" s="207">
        <v>1</v>
      </c>
      <c r="F82" s="205">
        <v>5609.2919084036703</v>
      </c>
      <c r="G82" s="205">
        <v>5609.2919084036703</v>
      </c>
      <c r="H82" s="207">
        <v>1</v>
      </c>
      <c r="I82" s="207"/>
      <c r="J82" s="207">
        <v>10000</v>
      </c>
      <c r="K82" s="123"/>
      <c r="L82" s="267">
        <v>5609.2919084036703</v>
      </c>
      <c r="M82" s="205">
        <f t="shared" si="17"/>
        <v>0</v>
      </c>
      <c r="N82" s="207"/>
      <c r="O82" s="207"/>
      <c r="P82" s="207">
        <f t="shared" si="16"/>
        <v>0</v>
      </c>
      <c r="Q82" s="123"/>
      <c r="R82" s="267">
        <v>5609.2919084036703</v>
      </c>
      <c r="S82" s="207">
        <f t="shared" si="14"/>
        <v>0</v>
      </c>
      <c r="T82" s="207"/>
      <c r="U82" s="207"/>
      <c r="V82" s="207">
        <f t="shared" si="13"/>
        <v>0</v>
      </c>
      <c r="W82" s="123"/>
      <c r="X82" s="268"/>
      <c r="Y82" s="207"/>
      <c r="Z82" s="267">
        <v>5609.2919084036703</v>
      </c>
      <c r="AA82" s="207">
        <v>0</v>
      </c>
      <c r="AB82" s="207"/>
      <c r="AC82" s="207"/>
      <c r="AD82" s="207">
        <v>0</v>
      </c>
    </row>
    <row r="83" spans="1:30" s="216" customFormat="1" ht="23.1" hidden="1" customHeight="1" outlineLevel="3">
      <c r="A83" s="223" t="s">
        <v>495</v>
      </c>
      <c r="B83" s="223" t="s">
        <v>493</v>
      </c>
      <c r="C83" s="223" t="s">
        <v>496</v>
      </c>
      <c r="D83" s="223" t="s">
        <v>413</v>
      </c>
      <c r="E83" s="207">
        <v>1</v>
      </c>
      <c r="F83" s="205">
        <v>9948.953098568807</v>
      </c>
      <c r="G83" s="205">
        <v>9948.953098568807</v>
      </c>
      <c r="H83" s="207">
        <v>1</v>
      </c>
      <c r="I83" s="207"/>
      <c r="J83" s="207">
        <v>12000</v>
      </c>
      <c r="K83" s="123"/>
      <c r="L83" s="267">
        <v>9948.953098568807</v>
      </c>
      <c r="M83" s="205">
        <f t="shared" si="17"/>
        <v>0</v>
      </c>
      <c r="N83" s="207"/>
      <c r="O83" s="207"/>
      <c r="P83" s="207">
        <f t="shared" si="16"/>
        <v>0</v>
      </c>
      <c r="Q83" s="123"/>
      <c r="R83" s="267">
        <v>9948.953098568807</v>
      </c>
      <c r="S83" s="207">
        <f t="shared" si="14"/>
        <v>0</v>
      </c>
      <c r="T83" s="207"/>
      <c r="U83" s="207"/>
      <c r="V83" s="207">
        <f t="shared" si="13"/>
        <v>0</v>
      </c>
      <c r="W83" s="123"/>
      <c r="X83" s="268"/>
      <c r="Y83" s="207"/>
      <c r="Z83" s="267">
        <v>9948.953098568807</v>
      </c>
      <c r="AA83" s="207">
        <v>0</v>
      </c>
      <c r="AB83" s="207"/>
      <c r="AC83" s="207"/>
      <c r="AD83" s="207">
        <v>0</v>
      </c>
    </row>
    <row r="84" spans="1:30" s="216" customFormat="1" ht="23.1" hidden="1" customHeight="1" outlineLevel="3">
      <c r="A84" s="223" t="s">
        <v>497</v>
      </c>
      <c r="B84" s="223" t="s">
        <v>493</v>
      </c>
      <c r="C84" s="223" t="s">
        <v>498</v>
      </c>
      <c r="D84" s="223" t="s">
        <v>413</v>
      </c>
      <c r="E84" s="207">
        <v>1</v>
      </c>
      <c r="F84" s="205">
        <v>9005.5460177614677</v>
      </c>
      <c r="G84" s="205">
        <v>9005.5460177614677</v>
      </c>
      <c r="H84" s="207">
        <v>1</v>
      </c>
      <c r="I84" s="207"/>
      <c r="J84" s="207">
        <v>13500</v>
      </c>
      <c r="K84" s="123"/>
      <c r="L84" s="267">
        <v>9005.5460177614677</v>
      </c>
      <c r="M84" s="205">
        <f t="shared" si="17"/>
        <v>0</v>
      </c>
      <c r="N84" s="207"/>
      <c r="O84" s="207"/>
      <c r="P84" s="207">
        <f t="shared" si="16"/>
        <v>0</v>
      </c>
      <c r="Q84" s="123"/>
      <c r="R84" s="267">
        <v>9005.5460177614677</v>
      </c>
      <c r="S84" s="207">
        <f t="shared" si="14"/>
        <v>0</v>
      </c>
      <c r="T84" s="207"/>
      <c r="U84" s="207"/>
      <c r="V84" s="207">
        <f t="shared" si="13"/>
        <v>0</v>
      </c>
      <c r="W84" s="123"/>
      <c r="X84" s="268"/>
      <c r="Y84" s="207"/>
      <c r="Z84" s="267">
        <v>9005.5460177614677</v>
      </c>
      <c r="AA84" s="207">
        <v>0</v>
      </c>
      <c r="AB84" s="207"/>
      <c r="AC84" s="207"/>
      <c r="AD84" s="207">
        <v>0</v>
      </c>
    </row>
    <row r="85" spans="1:30" s="215" customFormat="1" ht="23.1" hidden="1" customHeight="1" outlineLevel="2" collapsed="1">
      <c r="A85" s="220">
        <v>2.6</v>
      </c>
      <c r="B85" s="220" t="s">
        <v>499</v>
      </c>
      <c r="C85" s="220"/>
      <c r="D85" s="220"/>
      <c r="E85" s="229"/>
      <c r="F85" s="222">
        <v>0</v>
      </c>
      <c r="G85" s="222">
        <v>0</v>
      </c>
      <c r="H85" s="229"/>
      <c r="I85" s="229"/>
      <c r="J85" s="229">
        <v>0</v>
      </c>
      <c r="K85" s="137"/>
      <c r="L85" s="266">
        <v>0</v>
      </c>
      <c r="M85" s="205">
        <f t="shared" si="17"/>
        <v>0</v>
      </c>
      <c r="N85" s="229"/>
      <c r="O85" s="229"/>
      <c r="P85" s="207">
        <f t="shared" si="16"/>
        <v>0</v>
      </c>
      <c r="Q85" s="137"/>
      <c r="R85" s="266">
        <v>0</v>
      </c>
      <c r="S85" s="207">
        <f t="shared" si="14"/>
        <v>0</v>
      </c>
      <c r="T85" s="229"/>
      <c r="U85" s="229"/>
      <c r="V85" s="207">
        <f t="shared" si="13"/>
        <v>0</v>
      </c>
      <c r="W85" s="137"/>
      <c r="X85" s="269"/>
      <c r="Y85" s="229"/>
      <c r="Z85" s="266">
        <v>0</v>
      </c>
      <c r="AA85" s="207">
        <v>0</v>
      </c>
      <c r="AB85" s="229"/>
      <c r="AC85" s="229"/>
      <c r="AD85" s="207">
        <v>0</v>
      </c>
    </row>
    <row r="86" spans="1:30" s="216" customFormat="1" ht="23.1" hidden="1" customHeight="1" outlineLevel="3">
      <c r="A86" s="223" t="s">
        <v>500</v>
      </c>
      <c r="B86" s="223" t="s">
        <v>499</v>
      </c>
      <c r="C86" s="223" t="s">
        <v>501</v>
      </c>
      <c r="D86" s="223" t="s">
        <v>247</v>
      </c>
      <c r="E86" s="207">
        <v>31.35</v>
      </c>
      <c r="F86" s="205">
        <v>771.66899669724774</v>
      </c>
      <c r="G86" s="205">
        <v>24191.823046458718</v>
      </c>
      <c r="H86" s="207">
        <v>31.35</v>
      </c>
      <c r="I86" s="207"/>
      <c r="J86" s="207">
        <v>25506.36</v>
      </c>
      <c r="K86" s="123"/>
      <c r="L86" s="267">
        <v>771.66899669724774</v>
      </c>
      <c r="M86" s="205">
        <f t="shared" si="17"/>
        <v>0</v>
      </c>
      <c r="N86" s="207"/>
      <c r="O86" s="207"/>
      <c r="P86" s="207">
        <f t="shared" si="16"/>
        <v>0</v>
      </c>
      <c r="Q86" s="123"/>
      <c r="R86" s="267">
        <v>771.66899669724774</v>
      </c>
      <c r="S86" s="207">
        <f t="shared" si="14"/>
        <v>0</v>
      </c>
      <c r="T86" s="207"/>
      <c r="U86" s="207"/>
      <c r="V86" s="207">
        <f t="shared" si="13"/>
        <v>0</v>
      </c>
      <c r="W86" s="123"/>
      <c r="X86" s="268"/>
      <c r="Y86" s="207"/>
      <c r="Z86" s="267">
        <v>771.66899669724774</v>
      </c>
      <c r="AA86" s="207">
        <v>0</v>
      </c>
      <c r="AB86" s="207"/>
      <c r="AC86" s="207"/>
      <c r="AD86" s="207">
        <v>0</v>
      </c>
    </row>
    <row r="87" spans="1:30" s="216" customFormat="1" ht="23.1" hidden="1" customHeight="1" outlineLevel="3">
      <c r="A87" s="223" t="s">
        <v>502</v>
      </c>
      <c r="B87" s="223" t="s">
        <v>503</v>
      </c>
      <c r="C87" s="223" t="s">
        <v>504</v>
      </c>
      <c r="D87" s="223" t="s">
        <v>247</v>
      </c>
      <c r="E87" s="207">
        <v>1.5</v>
      </c>
      <c r="F87" s="205">
        <v>705.31456822018345</v>
      </c>
      <c r="G87" s="205">
        <v>1057.9718523302752</v>
      </c>
      <c r="H87" s="207">
        <v>1.5</v>
      </c>
      <c r="I87" s="207"/>
      <c r="J87" s="207">
        <v>1115.46</v>
      </c>
      <c r="K87" s="123"/>
      <c r="L87" s="267">
        <v>705.31456822018345</v>
      </c>
      <c r="M87" s="205">
        <f t="shared" si="17"/>
        <v>0</v>
      </c>
      <c r="N87" s="207"/>
      <c r="O87" s="207"/>
      <c r="P87" s="207">
        <f t="shared" si="16"/>
        <v>0</v>
      </c>
      <c r="Q87" s="123"/>
      <c r="R87" s="267">
        <v>705.31456822018345</v>
      </c>
      <c r="S87" s="207">
        <f t="shared" si="14"/>
        <v>0</v>
      </c>
      <c r="T87" s="207"/>
      <c r="U87" s="207"/>
      <c r="V87" s="207">
        <f t="shared" si="13"/>
        <v>0</v>
      </c>
      <c r="W87" s="123"/>
      <c r="X87" s="268"/>
      <c r="Y87" s="207"/>
      <c r="Z87" s="267">
        <v>705.31456822018345</v>
      </c>
      <c r="AA87" s="207">
        <v>0</v>
      </c>
      <c r="AB87" s="207"/>
      <c r="AC87" s="207"/>
      <c r="AD87" s="207">
        <v>0</v>
      </c>
    </row>
    <row r="88" spans="1:30" s="215" customFormat="1" ht="23.1" hidden="1" customHeight="1" outlineLevel="2" collapsed="1">
      <c r="A88" s="220">
        <v>2.7</v>
      </c>
      <c r="B88" s="220" t="s">
        <v>505</v>
      </c>
      <c r="C88" s="220"/>
      <c r="D88" s="220"/>
      <c r="E88" s="229"/>
      <c r="F88" s="222">
        <v>0</v>
      </c>
      <c r="G88" s="222">
        <v>0</v>
      </c>
      <c r="H88" s="229"/>
      <c r="I88" s="229"/>
      <c r="J88" s="229">
        <v>0</v>
      </c>
      <c r="K88" s="137"/>
      <c r="L88" s="266">
        <v>0</v>
      </c>
      <c r="M88" s="205">
        <f t="shared" si="17"/>
        <v>0</v>
      </c>
      <c r="N88" s="229"/>
      <c r="O88" s="229"/>
      <c r="P88" s="207">
        <f t="shared" si="16"/>
        <v>0</v>
      </c>
      <c r="Q88" s="137"/>
      <c r="R88" s="266">
        <v>0</v>
      </c>
      <c r="S88" s="207">
        <f t="shared" si="14"/>
        <v>0</v>
      </c>
      <c r="T88" s="229"/>
      <c r="U88" s="229"/>
      <c r="V88" s="207">
        <f t="shared" si="13"/>
        <v>0</v>
      </c>
      <c r="W88" s="137"/>
      <c r="X88" s="269"/>
      <c r="Y88" s="229"/>
      <c r="Z88" s="266">
        <v>0</v>
      </c>
      <c r="AA88" s="207">
        <v>0</v>
      </c>
      <c r="AB88" s="229"/>
      <c r="AC88" s="229"/>
      <c r="AD88" s="207">
        <v>0</v>
      </c>
    </row>
    <row r="89" spans="1:30" s="216" customFormat="1" ht="23.1" hidden="1" customHeight="1" outlineLevel="3">
      <c r="A89" s="223" t="s">
        <v>506</v>
      </c>
      <c r="B89" s="223" t="s">
        <v>505</v>
      </c>
      <c r="C89" s="223" t="s">
        <v>507</v>
      </c>
      <c r="D89" s="223" t="s">
        <v>413</v>
      </c>
      <c r="E89" s="207">
        <v>1</v>
      </c>
      <c r="F89" s="205">
        <v>9534.3232822018344</v>
      </c>
      <c r="G89" s="205">
        <v>9534.3232822018344</v>
      </c>
      <c r="H89" s="207">
        <v>1</v>
      </c>
      <c r="I89" s="207"/>
      <c r="J89" s="207">
        <v>10052.4</v>
      </c>
      <c r="K89" s="123"/>
      <c r="L89" s="267">
        <v>9534.3232822018344</v>
      </c>
      <c r="M89" s="205">
        <f t="shared" si="17"/>
        <v>0</v>
      </c>
      <c r="N89" s="207"/>
      <c r="O89" s="207"/>
      <c r="P89" s="207">
        <f t="shared" si="16"/>
        <v>0</v>
      </c>
      <c r="Q89" s="123"/>
      <c r="R89" s="267">
        <v>9534.3232822018344</v>
      </c>
      <c r="S89" s="207">
        <f t="shared" si="14"/>
        <v>0</v>
      </c>
      <c r="T89" s="207"/>
      <c r="U89" s="207"/>
      <c r="V89" s="207">
        <f t="shared" si="13"/>
        <v>0</v>
      </c>
      <c r="W89" s="123"/>
      <c r="X89" s="268"/>
      <c r="Y89" s="207"/>
      <c r="Z89" s="267">
        <v>9534.3232822018344</v>
      </c>
      <c r="AA89" s="207">
        <v>0</v>
      </c>
      <c r="AB89" s="207"/>
      <c r="AC89" s="207"/>
      <c r="AD89" s="207">
        <v>0</v>
      </c>
    </row>
    <row r="90" spans="1:30" s="216" customFormat="1" ht="23.1" hidden="1" customHeight="1" outlineLevel="3">
      <c r="A90" s="223" t="s">
        <v>508</v>
      </c>
      <c r="B90" s="223" t="s">
        <v>505</v>
      </c>
      <c r="C90" s="223" t="s">
        <v>509</v>
      </c>
      <c r="D90" s="223" t="s">
        <v>413</v>
      </c>
      <c r="E90" s="207">
        <v>1</v>
      </c>
      <c r="F90" s="205">
        <v>7746.6234398532106</v>
      </c>
      <c r="G90" s="205">
        <v>7746.6234398532106</v>
      </c>
      <c r="H90" s="207">
        <v>1</v>
      </c>
      <c r="I90" s="207"/>
      <c r="J90" s="207">
        <v>8167.56</v>
      </c>
      <c r="K90" s="123"/>
      <c r="L90" s="267">
        <v>7746.6234398532106</v>
      </c>
      <c r="M90" s="205">
        <f t="shared" si="17"/>
        <v>0</v>
      </c>
      <c r="N90" s="207"/>
      <c r="O90" s="207"/>
      <c r="P90" s="207">
        <f t="shared" si="16"/>
        <v>0</v>
      </c>
      <c r="Q90" s="123"/>
      <c r="R90" s="267">
        <v>7746.6234398532106</v>
      </c>
      <c r="S90" s="207">
        <f t="shared" si="14"/>
        <v>0</v>
      </c>
      <c r="T90" s="207"/>
      <c r="U90" s="207"/>
      <c r="V90" s="207">
        <f t="shared" si="13"/>
        <v>0</v>
      </c>
      <c r="W90" s="123"/>
      <c r="X90" s="268"/>
      <c r="Y90" s="207"/>
      <c r="Z90" s="267">
        <v>7746.6234398532106</v>
      </c>
      <c r="AA90" s="207">
        <v>0</v>
      </c>
      <c r="AB90" s="207"/>
      <c r="AC90" s="207"/>
      <c r="AD90" s="207">
        <v>0</v>
      </c>
    </row>
    <row r="91" spans="1:30" s="215" customFormat="1" ht="23.1" hidden="1" customHeight="1" outlineLevel="2" collapsed="1">
      <c r="A91" s="220">
        <v>2.8</v>
      </c>
      <c r="B91" s="220" t="s">
        <v>453</v>
      </c>
      <c r="C91" s="220"/>
      <c r="D91" s="220"/>
      <c r="E91" s="229"/>
      <c r="F91" s="222">
        <v>0</v>
      </c>
      <c r="G91" s="222">
        <v>0</v>
      </c>
      <c r="H91" s="229"/>
      <c r="I91" s="229"/>
      <c r="J91" s="229">
        <v>0</v>
      </c>
      <c r="K91" s="137"/>
      <c r="L91" s="266">
        <v>0</v>
      </c>
      <c r="M91" s="205">
        <f t="shared" si="17"/>
        <v>0</v>
      </c>
      <c r="N91" s="229"/>
      <c r="O91" s="229"/>
      <c r="P91" s="207">
        <f t="shared" si="16"/>
        <v>0</v>
      </c>
      <c r="Q91" s="137"/>
      <c r="R91" s="266">
        <v>0</v>
      </c>
      <c r="S91" s="207">
        <f t="shared" si="14"/>
        <v>0</v>
      </c>
      <c r="T91" s="229"/>
      <c r="U91" s="229"/>
      <c r="V91" s="207">
        <f t="shared" si="13"/>
        <v>0</v>
      </c>
      <c r="W91" s="137"/>
      <c r="X91" s="269"/>
      <c r="Y91" s="229"/>
      <c r="Z91" s="266">
        <v>0</v>
      </c>
      <c r="AA91" s="207">
        <v>0</v>
      </c>
      <c r="AB91" s="229"/>
      <c r="AC91" s="229"/>
      <c r="AD91" s="207">
        <v>0</v>
      </c>
    </row>
    <row r="92" spans="1:30" s="216" customFormat="1" ht="23.1" hidden="1" customHeight="1" outlineLevel="3">
      <c r="A92" s="223" t="s">
        <v>510</v>
      </c>
      <c r="B92" s="223" t="s">
        <v>511</v>
      </c>
      <c r="C92" s="223" t="s">
        <v>512</v>
      </c>
      <c r="D92" s="223" t="s">
        <v>247</v>
      </c>
      <c r="E92" s="207">
        <v>18.63</v>
      </c>
      <c r="F92" s="205">
        <v>285.81913981651377</v>
      </c>
      <c r="G92" s="205">
        <v>5324.8105747816517</v>
      </c>
      <c r="H92" s="207">
        <v>18.63</v>
      </c>
      <c r="I92" s="207"/>
      <c r="J92" s="207">
        <v>5614.1504999999997</v>
      </c>
      <c r="K92" s="123"/>
      <c r="L92" s="267">
        <v>285.81913981651377</v>
      </c>
      <c r="M92" s="205">
        <f t="shared" si="17"/>
        <v>0</v>
      </c>
      <c r="N92" s="207"/>
      <c r="O92" s="207"/>
      <c r="P92" s="207">
        <f t="shared" si="16"/>
        <v>0</v>
      </c>
      <c r="Q92" s="123"/>
      <c r="R92" s="267">
        <v>285.81913981651377</v>
      </c>
      <c r="S92" s="207">
        <f t="shared" si="14"/>
        <v>0</v>
      </c>
      <c r="T92" s="207"/>
      <c r="U92" s="207"/>
      <c r="V92" s="207">
        <f t="shared" si="13"/>
        <v>0</v>
      </c>
      <c r="W92" s="123"/>
      <c r="X92" s="268"/>
      <c r="Y92" s="207"/>
      <c r="Z92" s="267">
        <v>285.81913981651377</v>
      </c>
      <c r="AA92" s="207">
        <v>0</v>
      </c>
      <c r="AB92" s="207"/>
      <c r="AC92" s="207"/>
      <c r="AD92" s="207">
        <v>0</v>
      </c>
    </row>
    <row r="93" spans="1:30" s="216" customFormat="1" ht="23.1" hidden="1" customHeight="1" outlineLevel="3">
      <c r="A93" s="223" t="s">
        <v>513</v>
      </c>
      <c r="B93" s="223" t="s">
        <v>455</v>
      </c>
      <c r="C93" s="223" t="s">
        <v>514</v>
      </c>
      <c r="D93" s="223" t="s">
        <v>247</v>
      </c>
      <c r="E93" s="207">
        <v>31.82</v>
      </c>
      <c r="F93" s="205">
        <v>285.81913981651377</v>
      </c>
      <c r="G93" s="205">
        <v>9094.7650289614685</v>
      </c>
      <c r="H93" s="207">
        <v>31.82</v>
      </c>
      <c r="I93" s="207"/>
      <c r="J93" s="207">
        <v>9588.9570000000003</v>
      </c>
      <c r="K93" s="123"/>
      <c r="L93" s="267">
        <v>285.81913981651377</v>
      </c>
      <c r="M93" s="205">
        <f t="shared" si="17"/>
        <v>0</v>
      </c>
      <c r="N93" s="207"/>
      <c r="O93" s="207"/>
      <c r="P93" s="207">
        <f t="shared" si="16"/>
        <v>0</v>
      </c>
      <c r="Q93" s="123"/>
      <c r="R93" s="267">
        <v>285.81913981651377</v>
      </c>
      <c r="S93" s="207">
        <f t="shared" si="14"/>
        <v>0</v>
      </c>
      <c r="T93" s="207"/>
      <c r="U93" s="207"/>
      <c r="V93" s="207">
        <f t="shared" si="13"/>
        <v>0</v>
      </c>
      <c r="W93" s="123"/>
      <c r="X93" s="268"/>
      <c r="Y93" s="207"/>
      <c r="Z93" s="267">
        <v>285.81913981651377</v>
      </c>
      <c r="AA93" s="207">
        <v>0</v>
      </c>
      <c r="AB93" s="207"/>
      <c r="AC93" s="207"/>
      <c r="AD93" s="207">
        <v>0</v>
      </c>
    </row>
    <row r="94" spans="1:30" s="215" customFormat="1" ht="23.1" hidden="1" customHeight="1" outlineLevel="2">
      <c r="A94" s="220">
        <v>2.9</v>
      </c>
      <c r="B94" s="220" t="s">
        <v>376</v>
      </c>
      <c r="C94" s="220"/>
      <c r="D94" s="220" t="s">
        <v>143</v>
      </c>
      <c r="E94" s="229">
        <v>1</v>
      </c>
      <c r="F94" s="222">
        <v>-1969.9943128073396</v>
      </c>
      <c r="G94" s="222">
        <v>-1969.9943128073396</v>
      </c>
      <c r="H94" s="229">
        <v>1</v>
      </c>
      <c r="I94" s="229"/>
      <c r="J94" s="229">
        <v>0</v>
      </c>
      <c r="K94" s="137">
        <v>1</v>
      </c>
      <c r="L94" s="266">
        <v>-1969.9943128073396</v>
      </c>
      <c r="M94" s="205">
        <f t="shared" si="17"/>
        <v>-1969.9943128073396</v>
      </c>
      <c r="N94" s="229"/>
      <c r="O94" s="229"/>
      <c r="P94" s="207">
        <f t="shared" si="16"/>
        <v>0</v>
      </c>
      <c r="Q94" s="137">
        <v>1</v>
      </c>
      <c r="R94" s="266">
        <v>-1969.9943128073396</v>
      </c>
      <c r="S94" s="207">
        <f t="shared" si="14"/>
        <v>-1969.9943128073396</v>
      </c>
      <c r="T94" s="229"/>
      <c r="U94" s="229"/>
      <c r="V94" s="207">
        <f t="shared" si="13"/>
        <v>0</v>
      </c>
      <c r="W94" s="137"/>
      <c r="X94" s="269"/>
      <c r="Y94" s="229"/>
      <c r="Z94" s="266">
        <v>-1969.9943128073396</v>
      </c>
      <c r="AA94" s="207">
        <v>0</v>
      </c>
      <c r="AB94" s="229"/>
      <c r="AC94" s="229"/>
      <c r="AD94" s="207">
        <v>0</v>
      </c>
    </row>
    <row r="95" spans="1:30" s="215" customFormat="1" ht="23.1" hidden="1" customHeight="1" outlineLevel="2">
      <c r="A95" s="220">
        <v>2.1</v>
      </c>
      <c r="B95" s="220" t="s">
        <v>377</v>
      </c>
      <c r="C95" s="220"/>
      <c r="D95" s="220" t="s">
        <v>143</v>
      </c>
      <c r="E95" s="229">
        <v>1</v>
      </c>
      <c r="F95" s="222">
        <v>-5715.0834028623849</v>
      </c>
      <c r="G95" s="222">
        <v>-5715.0834028623849</v>
      </c>
      <c r="H95" s="229">
        <v>1</v>
      </c>
      <c r="I95" s="229"/>
      <c r="J95" s="229">
        <v>0</v>
      </c>
      <c r="K95" s="137">
        <v>1</v>
      </c>
      <c r="L95" s="266">
        <v>-5715.0834028623849</v>
      </c>
      <c r="M95" s="205">
        <f t="shared" si="17"/>
        <v>-5715.0834028623849</v>
      </c>
      <c r="N95" s="229"/>
      <c r="O95" s="229"/>
      <c r="P95" s="207">
        <f t="shared" si="16"/>
        <v>0</v>
      </c>
      <c r="Q95" s="137">
        <v>1</v>
      </c>
      <c r="R95" s="266">
        <v>-5715.0834028623849</v>
      </c>
      <c r="S95" s="207">
        <f t="shared" si="14"/>
        <v>-5715.0834028623849</v>
      </c>
      <c r="T95" s="229"/>
      <c r="U95" s="229"/>
      <c r="V95" s="207">
        <f t="shared" si="13"/>
        <v>0</v>
      </c>
      <c r="W95" s="137"/>
      <c r="X95" s="269"/>
      <c r="Y95" s="229"/>
      <c r="Z95" s="266">
        <v>-5715.0834028623849</v>
      </c>
      <c r="AA95" s="207">
        <v>0</v>
      </c>
      <c r="AB95" s="229"/>
      <c r="AC95" s="229"/>
      <c r="AD95" s="207">
        <v>0</v>
      </c>
    </row>
    <row r="96" spans="1:30" s="215" customFormat="1" ht="23.1" hidden="1" customHeight="1" outlineLevel="1" collapsed="1">
      <c r="A96" s="220">
        <v>3</v>
      </c>
      <c r="B96" s="220" t="s">
        <v>515</v>
      </c>
      <c r="C96" s="220"/>
      <c r="D96" s="220"/>
      <c r="E96" s="229"/>
      <c r="F96" s="222">
        <v>0</v>
      </c>
      <c r="G96" s="222">
        <v>0</v>
      </c>
      <c r="H96" s="229"/>
      <c r="I96" s="229"/>
      <c r="J96" s="229">
        <v>0</v>
      </c>
      <c r="K96" s="137"/>
      <c r="L96" s="266">
        <v>0</v>
      </c>
      <c r="M96" s="205">
        <f t="shared" si="17"/>
        <v>0</v>
      </c>
      <c r="N96" s="229"/>
      <c r="O96" s="229"/>
      <c r="P96" s="207">
        <f t="shared" si="16"/>
        <v>0</v>
      </c>
      <c r="Q96" s="137"/>
      <c r="R96" s="266">
        <v>0</v>
      </c>
      <c r="S96" s="207">
        <f t="shared" si="14"/>
        <v>0</v>
      </c>
      <c r="T96" s="229"/>
      <c r="U96" s="229"/>
      <c r="V96" s="207">
        <f t="shared" si="13"/>
        <v>0</v>
      </c>
      <c r="W96" s="137"/>
      <c r="X96" s="269"/>
      <c r="Y96" s="229"/>
      <c r="Z96" s="266">
        <v>0</v>
      </c>
      <c r="AA96" s="207">
        <v>0</v>
      </c>
      <c r="AB96" s="229"/>
      <c r="AC96" s="229"/>
      <c r="AD96" s="207">
        <v>0</v>
      </c>
    </row>
    <row r="97" spans="1:30" s="215" customFormat="1" ht="23.1" hidden="1" customHeight="1" outlineLevel="2" collapsed="1">
      <c r="A97" s="220">
        <v>3.1</v>
      </c>
      <c r="B97" s="220" t="s">
        <v>409</v>
      </c>
      <c r="C97" s="220"/>
      <c r="D97" s="220"/>
      <c r="E97" s="229"/>
      <c r="F97" s="222">
        <v>0</v>
      </c>
      <c r="G97" s="222">
        <v>0</v>
      </c>
      <c r="H97" s="229"/>
      <c r="I97" s="229"/>
      <c r="J97" s="229">
        <v>0</v>
      </c>
      <c r="K97" s="137"/>
      <c r="L97" s="266">
        <v>0</v>
      </c>
      <c r="M97" s="205">
        <f t="shared" si="17"/>
        <v>0</v>
      </c>
      <c r="N97" s="229"/>
      <c r="O97" s="229"/>
      <c r="P97" s="207">
        <f t="shared" si="16"/>
        <v>0</v>
      </c>
      <c r="Q97" s="137"/>
      <c r="R97" s="266">
        <v>0</v>
      </c>
      <c r="S97" s="207">
        <f t="shared" si="14"/>
        <v>0</v>
      </c>
      <c r="T97" s="229"/>
      <c r="U97" s="229"/>
      <c r="V97" s="207">
        <f t="shared" si="13"/>
        <v>0</v>
      </c>
      <c r="W97" s="137"/>
      <c r="X97" s="269"/>
      <c r="Y97" s="229"/>
      <c r="Z97" s="266">
        <v>0</v>
      </c>
      <c r="AA97" s="207">
        <v>0</v>
      </c>
      <c r="AB97" s="229"/>
      <c r="AC97" s="229"/>
      <c r="AD97" s="207">
        <v>0</v>
      </c>
    </row>
    <row r="98" spans="1:30" s="216" customFormat="1" ht="23.1" hidden="1" customHeight="1" outlineLevel="3">
      <c r="A98" s="223" t="s">
        <v>516</v>
      </c>
      <c r="B98" s="223" t="s">
        <v>411</v>
      </c>
      <c r="C98" s="223" t="s">
        <v>517</v>
      </c>
      <c r="D98" s="223" t="s">
        <v>413</v>
      </c>
      <c r="E98" s="207">
        <v>3</v>
      </c>
      <c r="F98" s="205">
        <v>1113.9501023119265</v>
      </c>
      <c r="G98" s="205">
        <v>3341.8503069357794</v>
      </c>
      <c r="H98" s="207">
        <v>3</v>
      </c>
      <c r="I98" s="207"/>
      <c r="J98" s="207">
        <v>3257.1000000000004</v>
      </c>
      <c r="K98" s="123"/>
      <c r="L98" s="267">
        <v>1113.9501023119265</v>
      </c>
      <c r="M98" s="205">
        <f t="shared" si="17"/>
        <v>0</v>
      </c>
      <c r="N98" s="207"/>
      <c r="O98" s="207"/>
      <c r="P98" s="207">
        <f t="shared" si="16"/>
        <v>0</v>
      </c>
      <c r="Q98" s="123"/>
      <c r="R98" s="267">
        <v>1113.9501023119265</v>
      </c>
      <c r="S98" s="207">
        <f t="shared" si="14"/>
        <v>0</v>
      </c>
      <c r="T98" s="207"/>
      <c r="U98" s="207"/>
      <c r="V98" s="207">
        <f t="shared" si="13"/>
        <v>0</v>
      </c>
      <c r="W98" s="123"/>
      <c r="X98" s="268"/>
      <c r="Y98" s="207"/>
      <c r="Z98" s="267">
        <v>1113.9501023119265</v>
      </c>
      <c r="AA98" s="207">
        <v>0</v>
      </c>
      <c r="AB98" s="207"/>
      <c r="AC98" s="207"/>
      <c r="AD98" s="207">
        <v>0</v>
      </c>
    </row>
    <row r="99" spans="1:30" s="216" customFormat="1" ht="23.1" hidden="1" customHeight="1" outlineLevel="3">
      <c r="A99" s="223" t="s">
        <v>518</v>
      </c>
      <c r="B99" s="223" t="s">
        <v>411</v>
      </c>
      <c r="C99" s="223" t="s">
        <v>519</v>
      </c>
      <c r="D99" s="223" t="s">
        <v>413</v>
      </c>
      <c r="E99" s="207">
        <v>1</v>
      </c>
      <c r="F99" s="205">
        <v>1041.6203608073395</v>
      </c>
      <c r="G99" s="205">
        <v>1041.6203608073395</v>
      </c>
      <c r="H99" s="207">
        <v>1</v>
      </c>
      <c r="I99" s="207"/>
      <c r="J99" s="207">
        <v>1015.2</v>
      </c>
      <c r="K99" s="123"/>
      <c r="L99" s="267">
        <v>1041.6203608073395</v>
      </c>
      <c r="M99" s="205">
        <f t="shared" si="17"/>
        <v>0</v>
      </c>
      <c r="N99" s="207"/>
      <c r="O99" s="207"/>
      <c r="P99" s="207">
        <f t="shared" si="16"/>
        <v>0</v>
      </c>
      <c r="Q99" s="123"/>
      <c r="R99" s="267">
        <v>1041.6203608073395</v>
      </c>
      <c r="S99" s="207">
        <f t="shared" si="14"/>
        <v>0</v>
      </c>
      <c r="T99" s="207"/>
      <c r="U99" s="207"/>
      <c r="V99" s="207">
        <f t="shared" si="13"/>
        <v>0</v>
      </c>
      <c r="W99" s="123"/>
      <c r="X99" s="268"/>
      <c r="Y99" s="207"/>
      <c r="Z99" s="267">
        <v>1041.6203608073395</v>
      </c>
      <c r="AA99" s="207">
        <v>0</v>
      </c>
      <c r="AB99" s="207"/>
      <c r="AC99" s="207"/>
      <c r="AD99" s="207">
        <v>0</v>
      </c>
    </row>
    <row r="100" spans="1:30" s="216" customFormat="1" ht="23.1" hidden="1" customHeight="1" outlineLevel="3">
      <c r="A100" s="223" t="s">
        <v>520</v>
      </c>
      <c r="B100" s="223" t="s">
        <v>411</v>
      </c>
      <c r="C100" s="223" t="s">
        <v>521</v>
      </c>
      <c r="D100" s="223" t="s">
        <v>413</v>
      </c>
      <c r="E100" s="207">
        <v>2</v>
      </c>
      <c r="F100" s="205">
        <v>1215.2269158165136</v>
      </c>
      <c r="G100" s="205">
        <v>2430.4538316330272</v>
      </c>
      <c r="H100" s="207">
        <v>2</v>
      </c>
      <c r="I100" s="207"/>
      <c r="J100" s="207">
        <v>2368.8000000000002</v>
      </c>
      <c r="K100" s="123"/>
      <c r="L100" s="267">
        <v>1215.2269158165136</v>
      </c>
      <c r="M100" s="205">
        <f t="shared" si="17"/>
        <v>0</v>
      </c>
      <c r="N100" s="207"/>
      <c r="O100" s="207"/>
      <c r="P100" s="207">
        <f t="shared" si="16"/>
        <v>0</v>
      </c>
      <c r="Q100" s="123"/>
      <c r="R100" s="267">
        <v>1215.2269158165136</v>
      </c>
      <c r="S100" s="207">
        <f t="shared" si="14"/>
        <v>0</v>
      </c>
      <c r="T100" s="207"/>
      <c r="U100" s="207"/>
      <c r="V100" s="207">
        <f t="shared" si="13"/>
        <v>0</v>
      </c>
      <c r="W100" s="123"/>
      <c r="X100" s="268"/>
      <c r="Y100" s="207"/>
      <c r="Z100" s="267">
        <v>1215.2269158165136</v>
      </c>
      <c r="AA100" s="207">
        <v>0</v>
      </c>
      <c r="AB100" s="207"/>
      <c r="AC100" s="207"/>
      <c r="AD100" s="207">
        <v>0</v>
      </c>
    </row>
    <row r="101" spans="1:30" s="216" customFormat="1" ht="23.1" hidden="1" customHeight="1" outlineLevel="3">
      <c r="A101" s="223" t="s">
        <v>522</v>
      </c>
      <c r="B101" s="223" t="s">
        <v>411</v>
      </c>
      <c r="C101" s="223" t="s">
        <v>523</v>
      </c>
      <c r="D101" s="223" t="s">
        <v>413</v>
      </c>
      <c r="E101" s="207">
        <v>5</v>
      </c>
      <c r="F101" s="205">
        <v>1273.1020905688074</v>
      </c>
      <c r="G101" s="205">
        <v>6365.510452844037</v>
      </c>
      <c r="H101" s="207">
        <v>5</v>
      </c>
      <c r="I101" s="207"/>
      <c r="J101" s="207">
        <v>6204</v>
      </c>
      <c r="K101" s="123"/>
      <c r="L101" s="267">
        <v>1273.1020905688074</v>
      </c>
      <c r="M101" s="205">
        <f t="shared" si="17"/>
        <v>0</v>
      </c>
      <c r="N101" s="207"/>
      <c r="O101" s="207"/>
      <c r="P101" s="207">
        <f t="shared" si="16"/>
        <v>0</v>
      </c>
      <c r="Q101" s="123"/>
      <c r="R101" s="267">
        <v>1273.1020905688074</v>
      </c>
      <c r="S101" s="207">
        <f t="shared" si="14"/>
        <v>0</v>
      </c>
      <c r="T101" s="207"/>
      <c r="U101" s="207"/>
      <c r="V101" s="207">
        <f t="shared" si="13"/>
        <v>0</v>
      </c>
      <c r="W101" s="123"/>
      <c r="X101" s="268"/>
      <c r="Y101" s="207"/>
      <c r="Z101" s="267">
        <v>1273.1020905688074</v>
      </c>
      <c r="AA101" s="207">
        <v>0</v>
      </c>
      <c r="AB101" s="207"/>
      <c r="AC101" s="207"/>
      <c r="AD101" s="207">
        <v>0</v>
      </c>
    </row>
    <row r="102" spans="1:30" s="215" customFormat="1" ht="23.1" hidden="1" customHeight="1" outlineLevel="2" collapsed="1">
      <c r="A102" s="220">
        <v>3.2</v>
      </c>
      <c r="B102" s="220" t="s">
        <v>420</v>
      </c>
      <c r="C102" s="220"/>
      <c r="D102" s="220"/>
      <c r="E102" s="229"/>
      <c r="F102" s="222">
        <v>0</v>
      </c>
      <c r="G102" s="222">
        <v>0</v>
      </c>
      <c r="H102" s="229"/>
      <c r="I102" s="229"/>
      <c r="J102" s="229">
        <v>0</v>
      </c>
      <c r="K102" s="137"/>
      <c r="L102" s="266">
        <v>0</v>
      </c>
      <c r="M102" s="205">
        <f t="shared" si="17"/>
        <v>0</v>
      </c>
      <c r="N102" s="229"/>
      <c r="O102" s="229"/>
      <c r="P102" s="207">
        <f t="shared" si="16"/>
        <v>0</v>
      </c>
      <c r="Q102" s="137"/>
      <c r="R102" s="266">
        <v>0</v>
      </c>
      <c r="S102" s="207">
        <f t="shared" si="14"/>
        <v>0</v>
      </c>
      <c r="T102" s="229"/>
      <c r="U102" s="229"/>
      <c r="V102" s="207">
        <f t="shared" si="13"/>
        <v>0</v>
      </c>
      <c r="W102" s="137"/>
      <c r="X102" s="269"/>
      <c r="Y102" s="229"/>
      <c r="Z102" s="266">
        <v>0</v>
      </c>
      <c r="AA102" s="207">
        <v>0</v>
      </c>
      <c r="AB102" s="229"/>
      <c r="AC102" s="229"/>
      <c r="AD102" s="207">
        <v>0</v>
      </c>
    </row>
    <row r="103" spans="1:30" s="216" customFormat="1" ht="23.1" hidden="1" customHeight="1" outlineLevel="3">
      <c r="A103" s="223" t="s">
        <v>524</v>
      </c>
      <c r="B103" s="223" t="s">
        <v>411</v>
      </c>
      <c r="C103" s="223" t="s">
        <v>525</v>
      </c>
      <c r="D103" s="223" t="s">
        <v>413</v>
      </c>
      <c r="E103" s="207">
        <v>2</v>
      </c>
      <c r="F103" s="205">
        <v>531.06305878899082</v>
      </c>
      <c r="G103" s="205">
        <v>1062.1261175779816</v>
      </c>
      <c r="H103" s="207">
        <v>2</v>
      </c>
      <c r="I103" s="207"/>
      <c r="J103" s="207">
        <v>1071.5999999999999</v>
      </c>
      <c r="K103" s="123"/>
      <c r="L103" s="267">
        <v>531.06305878899082</v>
      </c>
      <c r="M103" s="205">
        <f t="shared" si="17"/>
        <v>0</v>
      </c>
      <c r="N103" s="207"/>
      <c r="O103" s="207"/>
      <c r="P103" s="207">
        <f t="shared" si="16"/>
        <v>0</v>
      </c>
      <c r="Q103" s="123"/>
      <c r="R103" s="267">
        <v>531.06305878899082</v>
      </c>
      <c r="S103" s="207">
        <f t="shared" si="14"/>
        <v>0</v>
      </c>
      <c r="T103" s="207"/>
      <c r="U103" s="207"/>
      <c r="V103" s="207">
        <f t="shared" si="13"/>
        <v>0</v>
      </c>
      <c r="W103" s="123"/>
      <c r="X103" s="268"/>
      <c r="Y103" s="207"/>
      <c r="Z103" s="267">
        <v>531.06305878899082</v>
      </c>
      <c r="AA103" s="207">
        <v>0</v>
      </c>
      <c r="AB103" s="207"/>
      <c r="AC103" s="207"/>
      <c r="AD103" s="207">
        <v>0</v>
      </c>
    </row>
    <row r="104" spans="1:30" s="216" customFormat="1" ht="23.1" hidden="1" customHeight="1" outlineLevel="3">
      <c r="A104" s="223" t="s">
        <v>526</v>
      </c>
      <c r="B104" s="223" t="s">
        <v>411</v>
      </c>
      <c r="C104" s="223" t="s">
        <v>527</v>
      </c>
      <c r="D104" s="223" t="s">
        <v>413</v>
      </c>
      <c r="E104" s="207">
        <v>1</v>
      </c>
      <c r="F104" s="205">
        <v>1029.5179807706422</v>
      </c>
      <c r="G104" s="205">
        <v>1029.5179807706422</v>
      </c>
      <c r="H104" s="207">
        <v>1</v>
      </c>
      <c r="I104" s="207"/>
      <c r="J104" s="207">
        <v>987</v>
      </c>
      <c r="K104" s="123"/>
      <c r="L104" s="267">
        <v>1029.5179807706422</v>
      </c>
      <c r="M104" s="205">
        <f t="shared" si="17"/>
        <v>0</v>
      </c>
      <c r="N104" s="207"/>
      <c r="O104" s="207"/>
      <c r="P104" s="207">
        <f t="shared" si="16"/>
        <v>0</v>
      </c>
      <c r="Q104" s="123"/>
      <c r="R104" s="267">
        <v>1029.5179807706422</v>
      </c>
      <c r="S104" s="207">
        <f t="shared" si="14"/>
        <v>0</v>
      </c>
      <c r="T104" s="207"/>
      <c r="U104" s="207"/>
      <c r="V104" s="207">
        <f t="shared" ref="V104:V167" si="18">+U104*T104</f>
        <v>0</v>
      </c>
      <c r="W104" s="123"/>
      <c r="X104" s="268"/>
      <c r="Y104" s="207"/>
      <c r="Z104" s="267">
        <v>1029.5179807706422</v>
      </c>
      <c r="AA104" s="207">
        <v>0</v>
      </c>
      <c r="AB104" s="207"/>
      <c r="AC104" s="207"/>
      <c r="AD104" s="207">
        <v>0</v>
      </c>
    </row>
    <row r="105" spans="1:30" s="216" customFormat="1" ht="23.1" hidden="1" customHeight="1" outlineLevel="3">
      <c r="A105" s="223" t="s">
        <v>528</v>
      </c>
      <c r="B105" s="223" t="s">
        <v>411</v>
      </c>
      <c r="C105" s="223" t="s">
        <v>529</v>
      </c>
      <c r="D105" s="223" t="s">
        <v>413</v>
      </c>
      <c r="E105" s="207">
        <v>76</v>
      </c>
      <c r="F105" s="205">
        <v>1076.0969685137613</v>
      </c>
      <c r="G105" s="205">
        <v>81783.369607045868</v>
      </c>
      <c r="H105" s="207">
        <v>76</v>
      </c>
      <c r="I105" s="207"/>
      <c r="J105" s="207">
        <v>78584</v>
      </c>
      <c r="K105" s="123"/>
      <c r="L105" s="267">
        <v>1076.0969685137613</v>
      </c>
      <c r="M105" s="205">
        <f t="shared" si="17"/>
        <v>0</v>
      </c>
      <c r="N105" s="207"/>
      <c r="O105" s="207"/>
      <c r="P105" s="207">
        <f t="shared" si="16"/>
        <v>0</v>
      </c>
      <c r="Q105" s="123"/>
      <c r="R105" s="267">
        <v>1076.0969685137613</v>
      </c>
      <c r="S105" s="207">
        <f t="shared" si="14"/>
        <v>0</v>
      </c>
      <c r="T105" s="207"/>
      <c r="U105" s="207"/>
      <c r="V105" s="207">
        <f t="shared" si="18"/>
        <v>0</v>
      </c>
      <c r="W105" s="123"/>
      <c r="X105" s="268"/>
      <c r="Y105" s="207"/>
      <c r="Z105" s="267">
        <v>1076.0969685137613</v>
      </c>
      <c r="AA105" s="207">
        <v>0</v>
      </c>
      <c r="AB105" s="207"/>
      <c r="AC105" s="207"/>
      <c r="AD105" s="207">
        <v>0</v>
      </c>
    </row>
    <row r="106" spans="1:30" s="216" customFormat="1" ht="23.1" hidden="1" customHeight="1" outlineLevel="3">
      <c r="A106" s="223" t="s">
        <v>530</v>
      </c>
      <c r="B106" s="223" t="s">
        <v>411</v>
      </c>
      <c r="C106" s="223" t="s">
        <v>531</v>
      </c>
      <c r="D106" s="223" t="s">
        <v>413</v>
      </c>
      <c r="E106" s="207">
        <v>1</v>
      </c>
      <c r="F106" s="205">
        <v>1062.1261175779816</v>
      </c>
      <c r="G106" s="205">
        <v>1062.1261175779816</v>
      </c>
      <c r="H106" s="207">
        <v>1</v>
      </c>
      <c r="I106" s="207"/>
      <c r="J106" s="207">
        <v>1071.5999999999999</v>
      </c>
      <c r="K106" s="123"/>
      <c r="L106" s="267">
        <v>1062.1261175779816</v>
      </c>
      <c r="M106" s="205">
        <f t="shared" si="17"/>
        <v>0</v>
      </c>
      <c r="N106" s="207"/>
      <c r="O106" s="207"/>
      <c r="P106" s="207">
        <f t="shared" si="16"/>
        <v>0</v>
      </c>
      <c r="Q106" s="123"/>
      <c r="R106" s="267">
        <v>1062.1261175779816</v>
      </c>
      <c r="S106" s="207">
        <f t="shared" si="14"/>
        <v>0</v>
      </c>
      <c r="T106" s="207"/>
      <c r="U106" s="207"/>
      <c r="V106" s="207">
        <f t="shared" si="18"/>
        <v>0</v>
      </c>
      <c r="W106" s="123"/>
      <c r="X106" s="268"/>
      <c r="Y106" s="207"/>
      <c r="Z106" s="267">
        <v>1062.1261175779816</v>
      </c>
      <c r="AA106" s="207">
        <v>0</v>
      </c>
      <c r="AB106" s="207"/>
      <c r="AC106" s="207"/>
      <c r="AD106" s="207">
        <v>0</v>
      </c>
    </row>
    <row r="107" spans="1:30" s="216" customFormat="1" ht="23.1" hidden="1" customHeight="1" outlineLevel="3">
      <c r="A107" s="223" t="s">
        <v>532</v>
      </c>
      <c r="B107" s="223" t="s">
        <v>411</v>
      </c>
      <c r="C107" s="223" t="s">
        <v>533</v>
      </c>
      <c r="D107" s="223" t="s">
        <v>413</v>
      </c>
      <c r="E107" s="207">
        <v>5</v>
      </c>
      <c r="F107" s="205">
        <v>1332.3145972844036</v>
      </c>
      <c r="G107" s="205">
        <v>6661.5729864220175</v>
      </c>
      <c r="H107" s="207">
        <v>5</v>
      </c>
      <c r="I107" s="207"/>
      <c r="J107" s="207">
        <v>6721</v>
      </c>
      <c r="K107" s="123"/>
      <c r="L107" s="267">
        <v>1332.3145972844036</v>
      </c>
      <c r="M107" s="205">
        <f t="shared" si="17"/>
        <v>0</v>
      </c>
      <c r="N107" s="207"/>
      <c r="O107" s="207"/>
      <c r="P107" s="207">
        <f t="shared" si="16"/>
        <v>0</v>
      </c>
      <c r="Q107" s="123"/>
      <c r="R107" s="267">
        <v>1332.3145972844036</v>
      </c>
      <c r="S107" s="207">
        <f t="shared" si="14"/>
        <v>0</v>
      </c>
      <c r="T107" s="207"/>
      <c r="U107" s="207"/>
      <c r="V107" s="207">
        <f t="shared" si="18"/>
        <v>0</v>
      </c>
      <c r="W107" s="123"/>
      <c r="X107" s="268"/>
      <c r="Y107" s="207"/>
      <c r="Z107" s="267">
        <v>1332.3145972844036</v>
      </c>
      <c r="AA107" s="207">
        <v>0</v>
      </c>
      <c r="AB107" s="207"/>
      <c r="AC107" s="207"/>
      <c r="AD107" s="207">
        <v>0</v>
      </c>
    </row>
    <row r="108" spans="1:30" s="215" customFormat="1" ht="23.1" hidden="1" customHeight="1" outlineLevel="2" collapsed="1">
      <c r="A108" s="220">
        <v>3.3</v>
      </c>
      <c r="B108" s="220" t="s">
        <v>429</v>
      </c>
      <c r="C108" s="220"/>
      <c r="D108" s="220"/>
      <c r="E108" s="229"/>
      <c r="F108" s="222">
        <v>0</v>
      </c>
      <c r="G108" s="222">
        <v>0</v>
      </c>
      <c r="H108" s="229"/>
      <c r="I108" s="229"/>
      <c r="J108" s="229">
        <v>0</v>
      </c>
      <c r="K108" s="137"/>
      <c r="L108" s="266">
        <v>0</v>
      </c>
      <c r="M108" s="205">
        <f t="shared" si="17"/>
        <v>0</v>
      </c>
      <c r="N108" s="229"/>
      <c r="O108" s="229"/>
      <c r="P108" s="207">
        <f t="shared" si="16"/>
        <v>0</v>
      </c>
      <c r="Q108" s="137"/>
      <c r="R108" s="266">
        <v>0</v>
      </c>
      <c r="S108" s="207">
        <f t="shared" si="14"/>
        <v>0</v>
      </c>
      <c r="T108" s="229"/>
      <c r="U108" s="229"/>
      <c r="V108" s="207">
        <f t="shared" si="18"/>
        <v>0</v>
      </c>
      <c r="W108" s="137"/>
      <c r="X108" s="269"/>
      <c r="Y108" s="229"/>
      <c r="Z108" s="266">
        <v>0</v>
      </c>
      <c r="AA108" s="207">
        <v>0</v>
      </c>
      <c r="AB108" s="229"/>
      <c r="AC108" s="229"/>
      <c r="AD108" s="207">
        <v>0</v>
      </c>
    </row>
    <row r="109" spans="1:30" s="216" customFormat="1" ht="23.1" hidden="1" customHeight="1" outlineLevel="3">
      <c r="A109" s="223" t="s">
        <v>534</v>
      </c>
      <c r="B109" s="223" t="s">
        <v>411</v>
      </c>
      <c r="C109" s="223" t="s">
        <v>475</v>
      </c>
      <c r="D109" s="223" t="s">
        <v>413</v>
      </c>
      <c r="E109" s="207">
        <v>68</v>
      </c>
      <c r="F109" s="205">
        <v>512.37834979816512</v>
      </c>
      <c r="G109" s="205">
        <v>34841.727786275231</v>
      </c>
      <c r="H109" s="207">
        <v>68</v>
      </c>
      <c r="I109" s="207"/>
      <c r="J109" s="207">
        <v>36434.399999999994</v>
      </c>
      <c r="K109" s="123"/>
      <c r="L109" s="267">
        <v>512.37834979816512</v>
      </c>
      <c r="M109" s="205">
        <f t="shared" si="17"/>
        <v>0</v>
      </c>
      <c r="N109" s="207"/>
      <c r="O109" s="207"/>
      <c r="P109" s="207">
        <f t="shared" si="16"/>
        <v>0</v>
      </c>
      <c r="Q109" s="123"/>
      <c r="R109" s="267">
        <v>512.37834979816512</v>
      </c>
      <c r="S109" s="207">
        <f t="shared" ref="S109:S172" si="19">+R109*Q109</f>
        <v>0</v>
      </c>
      <c r="T109" s="207"/>
      <c r="U109" s="207"/>
      <c r="V109" s="207">
        <f t="shared" si="18"/>
        <v>0</v>
      </c>
      <c r="W109" s="123"/>
      <c r="X109" s="268"/>
      <c r="Y109" s="207"/>
      <c r="Z109" s="267">
        <v>512.37834979816512</v>
      </c>
      <c r="AA109" s="207">
        <v>0</v>
      </c>
      <c r="AB109" s="207"/>
      <c r="AC109" s="207"/>
      <c r="AD109" s="207">
        <v>0</v>
      </c>
    </row>
    <row r="110" spans="1:30" s="216" customFormat="1" ht="23.1" hidden="1" customHeight="1" outlineLevel="3">
      <c r="A110" s="223" t="s">
        <v>535</v>
      </c>
      <c r="B110" s="223" t="s">
        <v>411</v>
      </c>
      <c r="C110" s="223" t="s">
        <v>536</v>
      </c>
      <c r="D110" s="223" t="s">
        <v>413</v>
      </c>
      <c r="E110" s="207">
        <v>36</v>
      </c>
      <c r="F110" s="205">
        <v>1024.7472149724772</v>
      </c>
      <c r="G110" s="205">
        <v>36890.899739009183</v>
      </c>
      <c r="H110" s="207">
        <v>36</v>
      </c>
      <c r="I110" s="207"/>
      <c r="J110" s="207">
        <v>38577.599999999999</v>
      </c>
      <c r="K110" s="123"/>
      <c r="L110" s="267">
        <v>1024.7472149724772</v>
      </c>
      <c r="M110" s="205">
        <f t="shared" si="17"/>
        <v>0</v>
      </c>
      <c r="N110" s="207"/>
      <c r="O110" s="207"/>
      <c r="P110" s="207">
        <f t="shared" si="16"/>
        <v>0</v>
      </c>
      <c r="Q110" s="123"/>
      <c r="R110" s="267">
        <v>1024.7472149724772</v>
      </c>
      <c r="S110" s="207">
        <f t="shared" si="19"/>
        <v>0</v>
      </c>
      <c r="T110" s="207"/>
      <c r="U110" s="207"/>
      <c r="V110" s="207">
        <f t="shared" si="18"/>
        <v>0</v>
      </c>
      <c r="W110" s="123"/>
      <c r="X110" s="268"/>
      <c r="Y110" s="207"/>
      <c r="Z110" s="267">
        <v>1024.7472149724772</v>
      </c>
      <c r="AA110" s="207">
        <v>0</v>
      </c>
      <c r="AB110" s="207"/>
      <c r="AC110" s="207"/>
      <c r="AD110" s="207">
        <v>0</v>
      </c>
    </row>
    <row r="111" spans="1:30" s="215" customFormat="1" ht="23.1" hidden="1" customHeight="1" outlineLevel="2" collapsed="1">
      <c r="A111" s="220">
        <v>3.4</v>
      </c>
      <c r="B111" s="220" t="s">
        <v>537</v>
      </c>
      <c r="C111" s="220"/>
      <c r="D111" s="220"/>
      <c r="E111" s="229"/>
      <c r="F111" s="222">
        <v>0</v>
      </c>
      <c r="G111" s="222">
        <v>0</v>
      </c>
      <c r="H111" s="229"/>
      <c r="I111" s="229"/>
      <c r="J111" s="229">
        <v>0</v>
      </c>
      <c r="K111" s="137"/>
      <c r="L111" s="266">
        <v>0</v>
      </c>
      <c r="M111" s="205">
        <f t="shared" si="17"/>
        <v>0</v>
      </c>
      <c r="N111" s="229"/>
      <c r="O111" s="229"/>
      <c r="P111" s="207">
        <f t="shared" si="16"/>
        <v>0</v>
      </c>
      <c r="Q111" s="137"/>
      <c r="R111" s="266">
        <v>0</v>
      </c>
      <c r="S111" s="207">
        <f t="shared" si="19"/>
        <v>0</v>
      </c>
      <c r="T111" s="229"/>
      <c r="U111" s="229"/>
      <c r="V111" s="207">
        <f t="shared" si="18"/>
        <v>0</v>
      </c>
      <c r="W111" s="137"/>
      <c r="X111" s="269"/>
      <c r="Y111" s="229"/>
      <c r="Z111" s="266">
        <v>0</v>
      </c>
      <c r="AA111" s="207">
        <v>0</v>
      </c>
      <c r="AB111" s="229"/>
      <c r="AC111" s="229"/>
      <c r="AD111" s="207">
        <v>0</v>
      </c>
    </row>
    <row r="112" spans="1:30" s="216" customFormat="1" ht="23.1" hidden="1" customHeight="1" outlineLevel="3">
      <c r="A112" s="223" t="s">
        <v>538</v>
      </c>
      <c r="B112" s="223" t="s">
        <v>537</v>
      </c>
      <c r="C112" s="223" t="s">
        <v>539</v>
      </c>
      <c r="D112" s="223" t="s">
        <v>413</v>
      </c>
      <c r="E112" s="207">
        <v>2</v>
      </c>
      <c r="F112" s="205">
        <v>1285.4415862018348</v>
      </c>
      <c r="G112" s="205">
        <v>2570.8831724036695</v>
      </c>
      <c r="H112" s="207">
        <v>2</v>
      </c>
      <c r="I112" s="207"/>
      <c r="J112" s="207">
        <v>2688.4</v>
      </c>
      <c r="K112" s="123"/>
      <c r="L112" s="267">
        <v>1285.4415862018348</v>
      </c>
      <c r="M112" s="205">
        <f t="shared" si="17"/>
        <v>0</v>
      </c>
      <c r="N112" s="207"/>
      <c r="O112" s="207"/>
      <c r="P112" s="207">
        <f t="shared" si="16"/>
        <v>0</v>
      </c>
      <c r="Q112" s="123"/>
      <c r="R112" s="267">
        <v>1285.4415862018348</v>
      </c>
      <c r="S112" s="207">
        <f t="shared" si="19"/>
        <v>0</v>
      </c>
      <c r="T112" s="207"/>
      <c r="U112" s="207"/>
      <c r="V112" s="207">
        <f t="shared" si="18"/>
        <v>0</v>
      </c>
      <c r="W112" s="123"/>
      <c r="X112" s="268"/>
      <c r="Y112" s="207"/>
      <c r="Z112" s="267">
        <v>1285.4415862018348</v>
      </c>
      <c r="AA112" s="207">
        <v>0</v>
      </c>
      <c r="AB112" s="207"/>
      <c r="AC112" s="207"/>
      <c r="AD112" s="207">
        <v>0</v>
      </c>
    </row>
    <row r="113" spans="1:30" s="215" customFormat="1" ht="23.1" hidden="1" customHeight="1" outlineLevel="2" collapsed="1">
      <c r="A113" s="220">
        <v>3.5</v>
      </c>
      <c r="B113" s="220" t="s">
        <v>540</v>
      </c>
      <c r="C113" s="220"/>
      <c r="D113" s="220"/>
      <c r="E113" s="229"/>
      <c r="F113" s="222">
        <v>0</v>
      </c>
      <c r="G113" s="222">
        <v>0</v>
      </c>
      <c r="H113" s="229"/>
      <c r="I113" s="229"/>
      <c r="J113" s="229">
        <v>0</v>
      </c>
      <c r="K113" s="137"/>
      <c r="L113" s="266">
        <v>0</v>
      </c>
      <c r="M113" s="205">
        <f t="shared" si="17"/>
        <v>0</v>
      </c>
      <c r="N113" s="229"/>
      <c r="O113" s="229"/>
      <c r="P113" s="207">
        <f t="shared" si="16"/>
        <v>0</v>
      </c>
      <c r="Q113" s="137"/>
      <c r="R113" s="266">
        <v>0</v>
      </c>
      <c r="S113" s="207">
        <f t="shared" si="19"/>
        <v>0</v>
      </c>
      <c r="T113" s="229"/>
      <c r="U113" s="229"/>
      <c r="V113" s="207">
        <f t="shared" si="18"/>
        <v>0</v>
      </c>
      <c r="W113" s="137"/>
      <c r="X113" s="269"/>
      <c r="Y113" s="229"/>
      <c r="Z113" s="266">
        <v>0</v>
      </c>
      <c r="AA113" s="207">
        <v>0</v>
      </c>
      <c r="AB113" s="229"/>
      <c r="AC113" s="229"/>
      <c r="AD113" s="207">
        <v>0</v>
      </c>
    </row>
    <row r="114" spans="1:30" s="216" customFormat="1" ht="23.1" hidden="1" customHeight="1" outlineLevel="3">
      <c r="A114" s="223" t="s">
        <v>541</v>
      </c>
      <c r="B114" s="223" t="s">
        <v>540</v>
      </c>
      <c r="C114" s="223" t="s">
        <v>542</v>
      </c>
      <c r="D114" s="223" t="s">
        <v>413</v>
      </c>
      <c r="E114" s="207">
        <v>2</v>
      </c>
      <c r="F114" s="205">
        <v>1389.2887327706424</v>
      </c>
      <c r="G114" s="205">
        <v>2778.5774655412847</v>
      </c>
      <c r="H114" s="207">
        <v>2</v>
      </c>
      <c r="I114" s="207"/>
      <c r="J114" s="207">
        <v>2040</v>
      </c>
      <c r="K114" s="123"/>
      <c r="L114" s="267">
        <v>1389.2887327706424</v>
      </c>
      <c r="M114" s="205">
        <f t="shared" si="17"/>
        <v>0</v>
      </c>
      <c r="N114" s="207"/>
      <c r="O114" s="207"/>
      <c r="P114" s="207">
        <f t="shared" ref="P114:P177" si="20">+O114*N114</f>
        <v>0</v>
      </c>
      <c r="Q114" s="123"/>
      <c r="R114" s="267">
        <v>1389.2887327706424</v>
      </c>
      <c r="S114" s="207">
        <f t="shared" si="19"/>
        <v>0</v>
      </c>
      <c r="T114" s="207"/>
      <c r="U114" s="207"/>
      <c r="V114" s="207">
        <f t="shared" si="18"/>
        <v>0</v>
      </c>
      <c r="W114" s="123"/>
      <c r="X114" s="268"/>
      <c r="Y114" s="207"/>
      <c r="Z114" s="267">
        <v>1389.2887327706424</v>
      </c>
      <c r="AA114" s="207">
        <v>0</v>
      </c>
      <c r="AB114" s="207"/>
      <c r="AC114" s="207"/>
      <c r="AD114" s="207">
        <v>0</v>
      </c>
    </row>
    <row r="115" spans="1:30" s="216" customFormat="1" ht="23.1" hidden="1" customHeight="1" outlineLevel="3">
      <c r="A115" s="223" t="s">
        <v>543</v>
      </c>
      <c r="B115" s="223" t="s">
        <v>540</v>
      </c>
      <c r="C115" s="223" t="s">
        <v>544</v>
      </c>
      <c r="D115" s="223" t="s">
        <v>413</v>
      </c>
      <c r="E115" s="207">
        <v>2</v>
      </c>
      <c r="F115" s="205">
        <v>1215.6347546422019</v>
      </c>
      <c r="G115" s="205">
        <v>2431.2695092844037</v>
      </c>
      <c r="H115" s="207">
        <v>2</v>
      </c>
      <c r="I115" s="207"/>
      <c r="J115" s="207">
        <v>1920</v>
      </c>
      <c r="K115" s="123"/>
      <c r="L115" s="267">
        <v>1215.6347546422019</v>
      </c>
      <c r="M115" s="205">
        <f t="shared" si="17"/>
        <v>0</v>
      </c>
      <c r="N115" s="207"/>
      <c r="O115" s="207"/>
      <c r="P115" s="207">
        <f t="shared" si="20"/>
        <v>0</v>
      </c>
      <c r="Q115" s="123"/>
      <c r="R115" s="267">
        <v>1215.6347546422019</v>
      </c>
      <c r="S115" s="207">
        <f t="shared" si="19"/>
        <v>0</v>
      </c>
      <c r="T115" s="207"/>
      <c r="U115" s="207"/>
      <c r="V115" s="207">
        <f t="shared" si="18"/>
        <v>0</v>
      </c>
      <c r="W115" s="123"/>
      <c r="X115" s="268"/>
      <c r="Y115" s="207"/>
      <c r="Z115" s="267">
        <v>1215.6347546422019</v>
      </c>
      <c r="AA115" s="207">
        <v>0</v>
      </c>
      <c r="AB115" s="207"/>
      <c r="AC115" s="207"/>
      <c r="AD115" s="207">
        <v>0</v>
      </c>
    </row>
    <row r="116" spans="1:30" s="215" customFormat="1" ht="23.1" hidden="1" customHeight="1" outlineLevel="2" collapsed="1">
      <c r="A116" s="220">
        <v>3.6</v>
      </c>
      <c r="B116" s="220" t="s">
        <v>545</v>
      </c>
      <c r="C116" s="220"/>
      <c r="D116" s="220"/>
      <c r="E116" s="229"/>
      <c r="F116" s="222">
        <v>0</v>
      </c>
      <c r="G116" s="222">
        <v>0</v>
      </c>
      <c r="H116" s="229"/>
      <c r="I116" s="229"/>
      <c r="J116" s="229">
        <v>0</v>
      </c>
      <c r="K116" s="137"/>
      <c r="L116" s="266">
        <v>0</v>
      </c>
      <c r="M116" s="205">
        <f t="shared" si="17"/>
        <v>0</v>
      </c>
      <c r="N116" s="229"/>
      <c r="O116" s="229"/>
      <c r="P116" s="207">
        <f t="shared" si="20"/>
        <v>0</v>
      </c>
      <c r="Q116" s="137"/>
      <c r="R116" s="266">
        <v>0</v>
      </c>
      <c r="S116" s="207">
        <f t="shared" si="19"/>
        <v>0</v>
      </c>
      <c r="T116" s="229"/>
      <c r="U116" s="229"/>
      <c r="V116" s="207">
        <f t="shared" si="18"/>
        <v>0</v>
      </c>
      <c r="W116" s="137"/>
      <c r="X116" s="269"/>
      <c r="Y116" s="229"/>
      <c r="Z116" s="266">
        <v>0</v>
      </c>
      <c r="AA116" s="207">
        <v>0</v>
      </c>
      <c r="AB116" s="229"/>
      <c r="AC116" s="229"/>
      <c r="AD116" s="207">
        <v>0</v>
      </c>
    </row>
    <row r="117" spans="1:30" s="216" customFormat="1" ht="23.1" hidden="1" customHeight="1" outlineLevel="3">
      <c r="A117" s="223" t="s">
        <v>546</v>
      </c>
      <c r="B117" s="223" t="s">
        <v>547</v>
      </c>
      <c r="C117" s="223" t="s">
        <v>548</v>
      </c>
      <c r="D117" s="223" t="s">
        <v>247</v>
      </c>
      <c r="E117" s="207">
        <v>1.44</v>
      </c>
      <c r="F117" s="205">
        <v>434.94588066055047</v>
      </c>
      <c r="G117" s="205">
        <v>626.32206815119264</v>
      </c>
      <c r="H117" s="207">
        <v>1.44</v>
      </c>
      <c r="I117" s="207"/>
      <c r="J117" s="207">
        <v>1238.3999999999999</v>
      </c>
      <c r="K117" s="123"/>
      <c r="L117" s="267">
        <v>434.94588066055047</v>
      </c>
      <c r="M117" s="205">
        <f t="shared" si="17"/>
        <v>0</v>
      </c>
      <c r="N117" s="207"/>
      <c r="O117" s="207"/>
      <c r="P117" s="207">
        <f t="shared" si="20"/>
        <v>0</v>
      </c>
      <c r="Q117" s="123"/>
      <c r="R117" s="267">
        <v>434.94588066055047</v>
      </c>
      <c r="S117" s="207">
        <f t="shared" si="19"/>
        <v>0</v>
      </c>
      <c r="T117" s="207"/>
      <c r="U117" s="207"/>
      <c r="V117" s="207">
        <f t="shared" si="18"/>
        <v>0</v>
      </c>
      <c r="W117" s="123"/>
      <c r="X117" s="268"/>
      <c r="Y117" s="207"/>
      <c r="Z117" s="267">
        <v>434.94588066055047</v>
      </c>
      <c r="AA117" s="207">
        <v>0</v>
      </c>
      <c r="AB117" s="207"/>
      <c r="AC117" s="207"/>
      <c r="AD117" s="207">
        <v>0</v>
      </c>
    </row>
    <row r="118" spans="1:30" s="216" customFormat="1" ht="23.1" hidden="1" customHeight="1" outlineLevel="3">
      <c r="A118" s="223" t="s">
        <v>549</v>
      </c>
      <c r="B118" s="223" t="s">
        <v>550</v>
      </c>
      <c r="C118" s="223" t="s">
        <v>551</v>
      </c>
      <c r="D118" s="223" t="s">
        <v>247</v>
      </c>
      <c r="E118" s="207">
        <v>2.5</v>
      </c>
      <c r="F118" s="205">
        <v>434.94588066055047</v>
      </c>
      <c r="G118" s="205">
        <v>1087.3647016513762</v>
      </c>
      <c r="H118" s="207">
        <v>2.5</v>
      </c>
      <c r="I118" s="207"/>
      <c r="J118" s="207">
        <v>2150</v>
      </c>
      <c r="K118" s="123"/>
      <c r="L118" s="267">
        <v>434.94588066055047</v>
      </c>
      <c r="M118" s="205">
        <f t="shared" si="17"/>
        <v>0</v>
      </c>
      <c r="N118" s="207"/>
      <c r="O118" s="207"/>
      <c r="P118" s="207">
        <f t="shared" si="20"/>
        <v>0</v>
      </c>
      <c r="Q118" s="123"/>
      <c r="R118" s="267">
        <v>434.94588066055047</v>
      </c>
      <c r="S118" s="207">
        <f t="shared" si="19"/>
        <v>0</v>
      </c>
      <c r="T118" s="207"/>
      <c r="U118" s="207"/>
      <c r="V118" s="207">
        <f t="shared" si="18"/>
        <v>0</v>
      </c>
      <c r="W118" s="123"/>
      <c r="X118" s="268"/>
      <c r="Y118" s="207"/>
      <c r="Z118" s="267">
        <v>434.94588066055047</v>
      </c>
      <c r="AA118" s="207">
        <v>0</v>
      </c>
      <c r="AB118" s="207"/>
      <c r="AC118" s="207"/>
      <c r="AD118" s="207">
        <v>0</v>
      </c>
    </row>
    <row r="119" spans="1:30" s="215" customFormat="1" ht="23.1" hidden="1" customHeight="1" outlineLevel="2" collapsed="1">
      <c r="A119" s="220">
        <v>3.7</v>
      </c>
      <c r="B119" s="220" t="s">
        <v>552</v>
      </c>
      <c r="C119" s="220"/>
      <c r="D119" s="220"/>
      <c r="E119" s="229"/>
      <c r="F119" s="222">
        <v>0</v>
      </c>
      <c r="G119" s="222">
        <v>0</v>
      </c>
      <c r="H119" s="229"/>
      <c r="I119" s="229"/>
      <c r="J119" s="229">
        <v>0</v>
      </c>
      <c r="K119" s="137"/>
      <c r="L119" s="266">
        <v>0</v>
      </c>
      <c r="M119" s="205">
        <f t="shared" si="17"/>
        <v>0</v>
      </c>
      <c r="N119" s="229"/>
      <c r="O119" s="229"/>
      <c r="P119" s="207">
        <f t="shared" si="20"/>
        <v>0</v>
      </c>
      <c r="Q119" s="137"/>
      <c r="R119" s="266">
        <v>0</v>
      </c>
      <c r="S119" s="207">
        <f t="shared" si="19"/>
        <v>0</v>
      </c>
      <c r="T119" s="229"/>
      <c r="U119" s="229"/>
      <c r="V119" s="207">
        <f t="shared" si="18"/>
        <v>0</v>
      </c>
      <c r="W119" s="137"/>
      <c r="X119" s="269"/>
      <c r="Y119" s="229"/>
      <c r="Z119" s="266">
        <v>0</v>
      </c>
      <c r="AA119" s="207">
        <v>0</v>
      </c>
      <c r="AB119" s="229"/>
      <c r="AC119" s="229"/>
      <c r="AD119" s="207">
        <v>0</v>
      </c>
    </row>
    <row r="120" spans="1:30" s="216" customFormat="1" ht="23.1" hidden="1" customHeight="1" outlineLevel="3">
      <c r="A120" s="223" t="s">
        <v>553</v>
      </c>
      <c r="B120" s="223" t="s">
        <v>552</v>
      </c>
      <c r="C120" s="223" t="s">
        <v>554</v>
      </c>
      <c r="D120" s="223" t="s">
        <v>247</v>
      </c>
      <c r="E120" s="207">
        <v>1032.24</v>
      </c>
      <c r="F120" s="205">
        <v>871.23857790825696</v>
      </c>
      <c r="G120" s="205">
        <v>899327.30966001912</v>
      </c>
      <c r="H120" s="207">
        <v>1032.24</v>
      </c>
      <c r="I120" s="207"/>
      <c r="J120" s="207">
        <v>948195.0192000001</v>
      </c>
      <c r="K120" s="123"/>
      <c r="L120" s="267">
        <v>871.23857790825696</v>
      </c>
      <c r="M120" s="205">
        <f t="shared" si="17"/>
        <v>0</v>
      </c>
      <c r="N120" s="207"/>
      <c r="O120" s="207"/>
      <c r="P120" s="207">
        <f t="shared" si="20"/>
        <v>0</v>
      </c>
      <c r="Q120" s="123"/>
      <c r="R120" s="267">
        <v>871.23857790825696</v>
      </c>
      <c r="S120" s="207">
        <f t="shared" si="19"/>
        <v>0</v>
      </c>
      <c r="T120" s="207"/>
      <c r="U120" s="207"/>
      <c r="V120" s="207">
        <f t="shared" si="18"/>
        <v>0</v>
      </c>
      <c r="W120" s="123"/>
      <c r="X120" s="268"/>
      <c r="Y120" s="207"/>
      <c r="Z120" s="267">
        <v>871.23857790825696</v>
      </c>
      <c r="AA120" s="207">
        <v>0</v>
      </c>
      <c r="AB120" s="207"/>
      <c r="AC120" s="207"/>
      <c r="AD120" s="207">
        <v>0</v>
      </c>
    </row>
    <row r="121" spans="1:30" s="215" customFormat="1" ht="23.1" hidden="1" customHeight="1" outlineLevel="2" collapsed="1">
      <c r="A121" s="220">
        <v>3.8</v>
      </c>
      <c r="B121" s="220" t="s">
        <v>555</v>
      </c>
      <c r="C121" s="220"/>
      <c r="D121" s="220"/>
      <c r="E121" s="229"/>
      <c r="F121" s="222">
        <v>0</v>
      </c>
      <c r="G121" s="222">
        <v>0</v>
      </c>
      <c r="H121" s="229"/>
      <c r="I121" s="229"/>
      <c r="J121" s="229">
        <v>0</v>
      </c>
      <c r="K121" s="137"/>
      <c r="L121" s="266">
        <v>0</v>
      </c>
      <c r="M121" s="205">
        <f t="shared" si="17"/>
        <v>0</v>
      </c>
      <c r="N121" s="229"/>
      <c r="O121" s="229"/>
      <c r="P121" s="207">
        <f t="shared" si="20"/>
        <v>0</v>
      </c>
      <c r="Q121" s="137"/>
      <c r="R121" s="266">
        <v>0</v>
      </c>
      <c r="S121" s="207">
        <f t="shared" si="19"/>
        <v>0</v>
      </c>
      <c r="T121" s="229"/>
      <c r="U121" s="229"/>
      <c r="V121" s="207">
        <f t="shared" si="18"/>
        <v>0</v>
      </c>
      <c r="W121" s="137"/>
      <c r="X121" s="269"/>
      <c r="Y121" s="229"/>
      <c r="Z121" s="266">
        <v>0</v>
      </c>
      <c r="AA121" s="207">
        <v>0</v>
      </c>
      <c r="AB121" s="229"/>
      <c r="AC121" s="229"/>
      <c r="AD121" s="207">
        <v>0</v>
      </c>
    </row>
    <row r="122" spans="1:30" s="216" customFormat="1" ht="23.1" hidden="1" customHeight="1" outlineLevel="3">
      <c r="A122" s="223" t="s">
        <v>556</v>
      </c>
      <c r="B122" s="223" t="s">
        <v>499</v>
      </c>
      <c r="C122" s="223" t="s">
        <v>557</v>
      </c>
      <c r="D122" s="223" t="s">
        <v>247</v>
      </c>
      <c r="E122" s="207">
        <v>350.16</v>
      </c>
      <c r="F122" s="205">
        <v>948.40547757798174</v>
      </c>
      <c r="G122" s="205">
        <v>332093.66202870611</v>
      </c>
      <c r="H122" s="207">
        <v>350.16</v>
      </c>
      <c r="I122" s="207"/>
      <c r="J122" s="207">
        <v>350138.99040000007</v>
      </c>
      <c r="K122" s="123"/>
      <c r="L122" s="267">
        <v>948.40547757798174</v>
      </c>
      <c r="M122" s="205">
        <f t="shared" si="17"/>
        <v>0</v>
      </c>
      <c r="N122" s="207"/>
      <c r="O122" s="207"/>
      <c r="P122" s="207">
        <f t="shared" si="20"/>
        <v>0</v>
      </c>
      <c r="Q122" s="123"/>
      <c r="R122" s="267">
        <v>948.40547757798174</v>
      </c>
      <c r="S122" s="207">
        <f t="shared" si="19"/>
        <v>0</v>
      </c>
      <c r="T122" s="207"/>
      <c r="U122" s="207"/>
      <c r="V122" s="207">
        <f t="shared" si="18"/>
        <v>0</v>
      </c>
      <c r="W122" s="123"/>
      <c r="X122" s="268"/>
      <c r="Y122" s="207"/>
      <c r="Z122" s="267">
        <v>948.40547757798174</v>
      </c>
      <c r="AA122" s="207">
        <v>0</v>
      </c>
      <c r="AB122" s="207"/>
      <c r="AC122" s="207"/>
      <c r="AD122" s="207">
        <v>0</v>
      </c>
    </row>
    <row r="123" spans="1:30" s="216" customFormat="1" ht="23.1" hidden="1" customHeight="1" outlineLevel="3">
      <c r="A123" s="223" t="s">
        <v>558</v>
      </c>
      <c r="B123" s="223" t="s">
        <v>559</v>
      </c>
      <c r="C123" s="223" t="s">
        <v>560</v>
      </c>
      <c r="D123" s="223" t="s">
        <v>247</v>
      </c>
      <c r="E123" s="207">
        <v>46.08</v>
      </c>
      <c r="F123" s="205">
        <v>790.34422106422016</v>
      </c>
      <c r="G123" s="205">
        <v>36419.061706639266</v>
      </c>
      <c r="H123" s="207">
        <v>46.08</v>
      </c>
      <c r="I123" s="207"/>
      <c r="J123" s="207">
        <v>38398.003199999999</v>
      </c>
      <c r="K123" s="123"/>
      <c r="L123" s="267">
        <v>790.34422106422016</v>
      </c>
      <c r="M123" s="205">
        <f t="shared" ref="M123:M186" si="21">+L123*K123</f>
        <v>0</v>
      </c>
      <c r="N123" s="207"/>
      <c r="O123" s="207"/>
      <c r="P123" s="207">
        <f t="shared" si="20"/>
        <v>0</v>
      </c>
      <c r="Q123" s="123"/>
      <c r="R123" s="267">
        <v>790.34422106422016</v>
      </c>
      <c r="S123" s="207">
        <f t="shared" si="19"/>
        <v>0</v>
      </c>
      <c r="T123" s="207"/>
      <c r="U123" s="207"/>
      <c r="V123" s="207">
        <f t="shared" si="18"/>
        <v>0</v>
      </c>
      <c r="W123" s="123"/>
      <c r="X123" s="268"/>
      <c r="Y123" s="207"/>
      <c r="Z123" s="267">
        <v>790.34422106422016</v>
      </c>
      <c r="AA123" s="207">
        <v>0</v>
      </c>
      <c r="AB123" s="207"/>
      <c r="AC123" s="207"/>
      <c r="AD123" s="207">
        <v>0</v>
      </c>
    </row>
    <row r="124" spans="1:30" s="216" customFormat="1" ht="23.1" hidden="1" customHeight="1" outlineLevel="3">
      <c r="A124" s="223" t="s">
        <v>561</v>
      </c>
      <c r="B124" s="223" t="s">
        <v>562</v>
      </c>
      <c r="C124" s="223" t="s">
        <v>557</v>
      </c>
      <c r="D124" s="223" t="s">
        <v>247</v>
      </c>
      <c r="E124" s="207">
        <v>1481.04</v>
      </c>
      <c r="F124" s="205">
        <v>948.40547757798174</v>
      </c>
      <c r="G124" s="205">
        <v>1404626.4485120941</v>
      </c>
      <c r="H124" s="207">
        <v>1481.04</v>
      </c>
      <c r="I124" s="207"/>
      <c r="J124" s="207">
        <v>1480951.1376</v>
      </c>
      <c r="K124" s="123"/>
      <c r="L124" s="267">
        <v>948.40547757798174</v>
      </c>
      <c r="M124" s="205">
        <f t="shared" si="21"/>
        <v>0</v>
      </c>
      <c r="N124" s="207"/>
      <c r="O124" s="207"/>
      <c r="P124" s="207">
        <f t="shared" si="20"/>
        <v>0</v>
      </c>
      <c r="Q124" s="123"/>
      <c r="R124" s="267">
        <v>948.40547757798174</v>
      </c>
      <c r="S124" s="207">
        <f t="shared" si="19"/>
        <v>0</v>
      </c>
      <c r="T124" s="207"/>
      <c r="U124" s="207"/>
      <c r="V124" s="207">
        <f t="shared" si="18"/>
        <v>0</v>
      </c>
      <c r="W124" s="123"/>
      <c r="X124" s="268"/>
      <c r="Y124" s="207"/>
      <c r="Z124" s="267">
        <v>948.40547757798174</v>
      </c>
      <c r="AA124" s="207">
        <v>0</v>
      </c>
      <c r="AB124" s="207"/>
      <c r="AC124" s="207"/>
      <c r="AD124" s="207">
        <v>0</v>
      </c>
    </row>
    <row r="125" spans="1:30" s="216" customFormat="1" ht="23.1" hidden="1" customHeight="1" outlineLevel="3">
      <c r="A125" s="223" t="s">
        <v>563</v>
      </c>
      <c r="B125" s="223" t="s">
        <v>564</v>
      </c>
      <c r="C125" s="223" t="s">
        <v>565</v>
      </c>
      <c r="D125" s="223" t="s">
        <v>247</v>
      </c>
      <c r="E125" s="207">
        <v>36.909999999999997</v>
      </c>
      <c r="F125" s="205">
        <v>721.89369071559634</v>
      </c>
      <c r="G125" s="205">
        <v>26645.096124312659</v>
      </c>
      <c r="H125" s="207">
        <v>36.909999999999997</v>
      </c>
      <c r="I125" s="207"/>
      <c r="J125" s="207">
        <v>28092.939199999997</v>
      </c>
      <c r="K125" s="123"/>
      <c r="L125" s="267">
        <v>721.89369071559634</v>
      </c>
      <c r="M125" s="205">
        <f t="shared" si="21"/>
        <v>0</v>
      </c>
      <c r="N125" s="207"/>
      <c r="O125" s="207"/>
      <c r="P125" s="207">
        <f t="shared" si="20"/>
        <v>0</v>
      </c>
      <c r="Q125" s="123"/>
      <c r="R125" s="267">
        <v>721.89369071559634</v>
      </c>
      <c r="S125" s="207">
        <f t="shared" si="19"/>
        <v>0</v>
      </c>
      <c r="T125" s="207"/>
      <c r="U125" s="207"/>
      <c r="V125" s="207">
        <f t="shared" si="18"/>
        <v>0</v>
      </c>
      <c r="W125" s="123"/>
      <c r="X125" s="268"/>
      <c r="Y125" s="207"/>
      <c r="Z125" s="267">
        <v>721.89369071559634</v>
      </c>
      <c r="AA125" s="207">
        <v>0</v>
      </c>
      <c r="AB125" s="207"/>
      <c r="AC125" s="207"/>
      <c r="AD125" s="207">
        <v>0</v>
      </c>
    </row>
    <row r="126" spans="1:30" s="215" customFormat="1" ht="23.1" hidden="1" customHeight="1" outlineLevel="2" collapsed="1">
      <c r="A126" s="220">
        <v>3.9</v>
      </c>
      <c r="B126" s="220" t="s">
        <v>453</v>
      </c>
      <c r="C126" s="220"/>
      <c r="D126" s="220"/>
      <c r="E126" s="229"/>
      <c r="F126" s="222">
        <v>0</v>
      </c>
      <c r="G126" s="222">
        <v>0</v>
      </c>
      <c r="H126" s="229"/>
      <c r="I126" s="229"/>
      <c r="J126" s="229">
        <v>0</v>
      </c>
      <c r="K126" s="137"/>
      <c r="L126" s="266">
        <v>0</v>
      </c>
      <c r="M126" s="205">
        <f t="shared" si="21"/>
        <v>0</v>
      </c>
      <c r="N126" s="229"/>
      <c r="O126" s="229"/>
      <c r="P126" s="207">
        <f t="shared" si="20"/>
        <v>0</v>
      </c>
      <c r="Q126" s="137"/>
      <c r="R126" s="266">
        <v>0</v>
      </c>
      <c r="S126" s="207">
        <f t="shared" si="19"/>
        <v>0</v>
      </c>
      <c r="T126" s="229"/>
      <c r="U126" s="229"/>
      <c r="V126" s="207">
        <f t="shared" si="18"/>
        <v>0</v>
      </c>
      <c r="W126" s="137"/>
      <c r="X126" s="269"/>
      <c r="Y126" s="229"/>
      <c r="Z126" s="266">
        <v>0</v>
      </c>
      <c r="AA126" s="207">
        <v>0</v>
      </c>
      <c r="AB126" s="229"/>
      <c r="AC126" s="229"/>
      <c r="AD126" s="207">
        <v>0</v>
      </c>
    </row>
    <row r="127" spans="1:30" s="216" customFormat="1" ht="23.1" hidden="1" customHeight="1" outlineLevel="3">
      <c r="A127" s="223" t="s">
        <v>566</v>
      </c>
      <c r="B127" s="223" t="s">
        <v>455</v>
      </c>
      <c r="C127" s="223" t="s">
        <v>514</v>
      </c>
      <c r="D127" s="223" t="s">
        <v>247</v>
      </c>
      <c r="E127" s="207">
        <v>108</v>
      </c>
      <c r="F127" s="205">
        <v>285.81913981651377</v>
      </c>
      <c r="G127" s="205">
        <v>30868.467100183487</v>
      </c>
      <c r="H127" s="207">
        <v>108</v>
      </c>
      <c r="I127" s="207"/>
      <c r="J127" s="207">
        <v>32545.800000000003</v>
      </c>
      <c r="K127" s="123"/>
      <c r="L127" s="267">
        <v>285.81913981651377</v>
      </c>
      <c r="M127" s="205">
        <f t="shared" si="21"/>
        <v>0</v>
      </c>
      <c r="N127" s="207"/>
      <c r="O127" s="207"/>
      <c r="P127" s="207">
        <f t="shared" si="20"/>
        <v>0</v>
      </c>
      <c r="Q127" s="123"/>
      <c r="R127" s="267">
        <v>285.81913981651377</v>
      </c>
      <c r="S127" s="207">
        <f t="shared" si="19"/>
        <v>0</v>
      </c>
      <c r="T127" s="207"/>
      <c r="U127" s="207"/>
      <c r="V127" s="207">
        <f t="shared" si="18"/>
        <v>0</v>
      </c>
      <c r="W127" s="123"/>
      <c r="X127" s="268"/>
      <c r="Y127" s="207"/>
      <c r="Z127" s="267">
        <v>285.81913981651377</v>
      </c>
      <c r="AA127" s="207">
        <v>0</v>
      </c>
      <c r="AB127" s="207"/>
      <c r="AC127" s="207"/>
      <c r="AD127" s="207">
        <v>0</v>
      </c>
    </row>
    <row r="128" spans="1:30" s="216" customFormat="1" ht="23.1" hidden="1" customHeight="1" outlineLevel="3">
      <c r="A128" s="223" t="s">
        <v>567</v>
      </c>
      <c r="B128" s="223" t="s">
        <v>568</v>
      </c>
      <c r="C128" s="223" t="s">
        <v>569</v>
      </c>
      <c r="D128" s="223" t="s">
        <v>247</v>
      </c>
      <c r="E128" s="207">
        <v>805.5</v>
      </c>
      <c r="F128" s="205">
        <v>270.06517959633027</v>
      </c>
      <c r="G128" s="205">
        <v>217537.50216484402</v>
      </c>
      <c r="H128" s="207">
        <v>805.5</v>
      </c>
      <c r="I128" s="207"/>
      <c r="J128" s="207">
        <v>229358.07</v>
      </c>
      <c r="K128" s="123"/>
      <c r="L128" s="267">
        <v>270.06517959633027</v>
      </c>
      <c r="M128" s="205">
        <f t="shared" si="21"/>
        <v>0</v>
      </c>
      <c r="N128" s="207"/>
      <c r="O128" s="207"/>
      <c r="P128" s="207">
        <f t="shared" si="20"/>
        <v>0</v>
      </c>
      <c r="Q128" s="123"/>
      <c r="R128" s="267">
        <v>270.06517959633027</v>
      </c>
      <c r="S128" s="207">
        <f t="shared" si="19"/>
        <v>0</v>
      </c>
      <c r="T128" s="207"/>
      <c r="U128" s="207"/>
      <c r="V128" s="207">
        <f t="shared" si="18"/>
        <v>0</v>
      </c>
      <c r="W128" s="123"/>
      <c r="X128" s="268"/>
      <c r="Y128" s="207"/>
      <c r="Z128" s="267">
        <v>270.06517959633027</v>
      </c>
      <c r="AA128" s="207">
        <v>0</v>
      </c>
      <c r="AB128" s="207"/>
      <c r="AC128" s="207"/>
      <c r="AD128" s="207">
        <v>0</v>
      </c>
    </row>
    <row r="129" spans="1:30" s="215" customFormat="1" ht="23.1" hidden="1" customHeight="1" outlineLevel="2">
      <c r="A129" s="266">
        <v>3.1</v>
      </c>
      <c r="B129" s="220" t="s">
        <v>376</v>
      </c>
      <c r="C129" s="220"/>
      <c r="D129" s="220" t="s">
        <v>143</v>
      </c>
      <c r="E129" s="229">
        <v>1</v>
      </c>
      <c r="F129" s="222">
        <v>-8645.3105191926606</v>
      </c>
      <c r="G129" s="222">
        <v>-8645.3105191926606</v>
      </c>
      <c r="H129" s="229">
        <v>1</v>
      </c>
      <c r="I129" s="229"/>
      <c r="J129" s="229">
        <v>0</v>
      </c>
      <c r="K129" s="137">
        <v>1</v>
      </c>
      <c r="L129" s="266">
        <v>-8645.3105191926606</v>
      </c>
      <c r="M129" s="205">
        <f t="shared" si="21"/>
        <v>-8645.3105191926606</v>
      </c>
      <c r="N129" s="229"/>
      <c r="O129" s="229"/>
      <c r="P129" s="207">
        <f t="shared" si="20"/>
        <v>0</v>
      </c>
      <c r="Q129" s="137">
        <v>1</v>
      </c>
      <c r="R129" s="266">
        <v>-8645.3105191926606</v>
      </c>
      <c r="S129" s="207">
        <f t="shared" si="19"/>
        <v>-8645.3105191926606</v>
      </c>
      <c r="T129" s="229"/>
      <c r="U129" s="229"/>
      <c r="V129" s="207">
        <f t="shared" si="18"/>
        <v>0</v>
      </c>
      <c r="W129" s="137"/>
      <c r="X129" s="269"/>
      <c r="Y129" s="229"/>
      <c r="Z129" s="266">
        <v>-8645.3105191926606</v>
      </c>
      <c r="AA129" s="207">
        <v>0</v>
      </c>
      <c r="AB129" s="229"/>
      <c r="AC129" s="229"/>
      <c r="AD129" s="207">
        <v>0</v>
      </c>
    </row>
    <row r="130" spans="1:30" s="215" customFormat="1" ht="23.1" hidden="1" customHeight="1" outlineLevel="2">
      <c r="A130" s="220">
        <v>3.11</v>
      </c>
      <c r="B130" s="220" t="s">
        <v>377</v>
      </c>
      <c r="C130" s="220"/>
      <c r="D130" s="220" t="s">
        <v>143</v>
      </c>
      <c r="E130" s="229">
        <v>1</v>
      </c>
      <c r="F130" s="222">
        <v>-149221.28357460548</v>
      </c>
      <c r="G130" s="222">
        <v>-149221.28357460548</v>
      </c>
      <c r="H130" s="229">
        <v>1</v>
      </c>
      <c r="I130" s="229"/>
      <c r="J130" s="229">
        <v>0</v>
      </c>
      <c r="K130" s="137">
        <v>1</v>
      </c>
      <c r="L130" s="266">
        <v>-149221.28357460548</v>
      </c>
      <c r="M130" s="205">
        <f t="shared" si="21"/>
        <v>-149221.28357460548</v>
      </c>
      <c r="N130" s="229"/>
      <c r="O130" s="229"/>
      <c r="P130" s="207">
        <f t="shared" si="20"/>
        <v>0</v>
      </c>
      <c r="Q130" s="137">
        <v>1</v>
      </c>
      <c r="R130" s="266">
        <v>-149221.28357460548</v>
      </c>
      <c r="S130" s="207">
        <f t="shared" si="19"/>
        <v>-149221.28357460548</v>
      </c>
      <c r="T130" s="229"/>
      <c r="U130" s="229"/>
      <c r="V130" s="207">
        <f t="shared" si="18"/>
        <v>0</v>
      </c>
      <c r="W130" s="137"/>
      <c r="X130" s="269"/>
      <c r="Y130" s="229"/>
      <c r="Z130" s="266">
        <v>-149221.28357460548</v>
      </c>
      <c r="AA130" s="207">
        <v>0</v>
      </c>
      <c r="AB130" s="229"/>
      <c r="AC130" s="229"/>
      <c r="AD130" s="207">
        <v>0</v>
      </c>
    </row>
    <row r="131" spans="1:30" s="215" customFormat="1" ht="23.1" hidden="1" customHeight="1" outlineLevel="1" collapsed="1">
      <c r="A131" s="220">
        <v>4</v>
      </c>
      <c r="B131" s="220" t="s">
        <v>570</v>
      </c>
      <c r="C131" s="220"/>
      <c r="D131" s="220"/>
      <c r="E131" s="229"/>
      <c r="F131" s="222">
        <v>0</v>
      </c>
      <c r="G131" s="222">
        <v>0</v>
      </c>
      <c r="H131" s="229"/>
      <c r="I131" s="229"/>
      <c r="J131" s="229">
        <v>0</v>
      </c>
      <c r="K131" s="137"/>
      <c r="L131" s="266">
        <v>0</v>
      </c>
      <c r="M131" s="205">
        <f t="shared" si="21"/>
        <v>0</v>
      </c>
      <c r="N131" s="229"/>
      <c r="O131" s="229"/>
      <c r="P131" s="207">
        <f t="shared" si="20"/>
        <v>0</v>
      </c>
      <c r="Q131" s="137"/>
      <c r="R131" s="266">
        <v>0</v>
      </c>
      <c r="S131" s="207">
        <f t="shared" si="19"/>
        <v>0</v>
      </c>
      <c r="T131" s="229"/>
      <c r="U131" s="229"/>
      <c r="V131" s="207">
        <f t="shared" si="18"/>
        <v>0</v>
      </c>
      <c r="W131" s="137"/>
      <c r="X131" s="269"/>
      <c r="Y131" s="229"/>
      <c r="Z131" s="266">
        <v>0</v>
      </c>
      <c r="AA131" s="207">
        <v>0</v>
      </c>
      <c r="AB131" s="229"/>
      <c r="AC131" s="229"/>
      <c r="AD131" s="207">
        <v>0</v>
      </c>
    </row>
    <row r="132" spans="1:30" s="215" customFormat="1" ht="23.1" hidden="1" customHeight="1" outlineLevel="2" collapsed="1">
      <c r="A132" s="220">
        <v>4.0999999999999996</v>
      </c>
      <c r="B132" s="220" t="s">
        <v>409</v>
      </c>
      <c r="C132" s="220"/>
      <c r="D132" s="220"/>
      <c r="E132" s="229"/>
      <c r="F132" s="222">
        <v>0</v>
      </c>
      <c r="G132" s="222">
        <v>0</v>
      </c>
      <c r="H132" s="229"/>
      <c r="I132" s="229"/>
      <c r="J132" s="229">
        <v>0</v>
      </c>
      <c r="K132" s="137"/>
      <c r="L132" s="266">
        <v>0</v>
      </c>
      <c r="M132" s="205">
        <f t="shared" si="21"/>
        <v>0</v>
      </c>
      <c r="N132" s="229"/>
      <c r="O132" s="229"/>
      <c r="P132" s="207">
        <f t="shared" si="20"/>
        <v>0</v>
      </c>
      <c r="Q132" s="137"/>
      <c r="R132" s="266">
        <v>0</v>
      </c>
      <c r="S132" s="207">
        <f t="shared" si="19"/>
        <v>0</v>
      </c>
      <c r="T132" s="229"/>
      <c r="U132" s="229"/>
      <c r="V132" s="207">
        <f t="shared" si="18"/>
        <v>0</v>
      </c>
      <c r="W132" s="137"/>
      <c r="X132" s="269"/>
      <c r="Y132" s="229"/>
      <c r="Z132" s="266">
        <v>0</v>
      </c>
      <c r="AA132" s="207">
        <v>0</v>
      </c>
      <c r="AB132" s="229"/>
      <c r="AC132" s="229"/>
      <c r="AD132" s="207">
        <v>0</v>
      </c>
    </row>
    <row r="133" spans="1:30" s="216" customFormat="1" ht="23.1" hidden="1" customHeight="1" outlineLevel="3">
      <c r="A133" s="223"/>
      <c r="B133" s="225" t="s">
        <v>411</v>
      </c>
      <c r="C133" s="223" t="s">
        <v>517</v>
      </c>
      <c r="D133" s="261" t="s">
        <v>413</v>
      </c>
      <c r="E133" s="207">
        <v>3</v>
      </c>
      <c r="F133" s="205">
        <v>1113.9501023119265</v>
      </c>
      <c r="G133" s="205">
        <v>3341.8503069357794</v>
      </c>
      <c r="H133" s="207">
        <v>3</v>
      </c>
      <c r="I133" s="207"/>
      <c r="J133" s="207">
        <v>3257.1000000000004</v>
      </c>
      <c r="K133" s="123"/>
      <c r="L133" s="265">
        <v>1113.9501023119265</v>
      </c>
      <c r="M133" s="205">
        <f t="shared" si="21"/>
        <v>0</v>
      </c>
      <c r="N133" s="207"/>
      <c r="O133" s="207"/>
      <c r="P133" s="207">
        <f t="shared" si="20"/>
        <v>0</v>
      </c>
      <c r="Q133" s="123"/>
      <c r="R133" s="265">
        <v>1113.9501023119265</v>
      </c>
      <c r="S133" s="207">
        <f t="shared" si="19"/>
        <v>0</v>
      </c>
      <c r="T133" s="207"/>
      <c r="U133" s="207"/>
      <c r="V133" s="207">
        <f t="shared" si="18"/>
        <v>0</v>
      </c>
      <c r="W133" s="123"/>
      <c r="X133" s="268"/>
      <c r="Y133" s="207"/>
      <c r="Z133" s="265">
        <v>1113.9501023119265</v>
      </c>
      <c r="AA133" s="207">
        <v>0</v>
      </c>
      <c r="AB133" s="207"/>
      <c r="AC133" s="207"/>
      <c r="AD133" s="207">
        <v>0</v>
      </c>
    </row>
    <row r="134" spans="1:30" s="216" customFormat="1" ht="23.1" hidden="1" customHeight="1" outlineLevel="3">
      <c r="A134" s="223"/>
      <c r="B134" s="225" t="s">
        <v>411</v>
      </c>
      <c r="C134" s="223" t="s">
        <v>571</v>
      </c>
      <c r="D134" s="261" t="s">
        <v>413</v>
      </c>
      <c r="E134" s="207">
        <v>1</v>
      </c>
      <c r="F134" s="205">
        <v>911.4154445504588</v>
      </c>
      <c r="G134" s="205">
        <v>911.4154445504588</v>
      </c>
      <c r="H134" s="207">
        <v>1</v>
      </c>
      <c r="I134" s="207"/>
      <c r="J134" s="207">
        <v>888.3</v>
      </c>
      <c r="K134" s="123"/>
      <c r="L134" s="265">
        <v>911.4154445504588</v>
      </c>
      <c r="M134" s="205">
        <f t="shared" si="21"/>
        <v>0</v>
      </c>
      <c r="N134" s="207"/>
      <c r="O134" s="207"/>
      <c r="P134" s="207">
        <f t="shared" si="20"/>
        <v>0</v>
      </c>
      <c r="Q134" s="123"/>
      <c r="R134" s="265">
        <v>911.4154445504588</v>
      </c>
      <c r="S134" s="207">
        <f t="shared" si="19"/>
        <v>0</v>
      </c>
      <c r="T134" s="207"/>
      <c r="U134" s="207"/>
      <c r="V134" s="207">
        <f t="shared" si="18"/>
        <v>0</v>
      </c>
      <c r="W134" s="123"/>
      <c r="X134" s="268"/>
      <c r="Y134" s="207"/>
      <c r="Z134" s="265">
        <v>911.4154445504588</v>
      </c>
      <c r="AA134" s="207">
        <v>0</v>
      </c>
      <c r="AB134" s="207"/>
      <c r="AC134" s="207"/>
      <c r="AD134" s="207">
        <v>0</v>
      </c>
    </row>
    <row r="135" spans="1:30" s="216" customFormat="1" ht="23.1" hidden="1" customHeight="1" outlineLevel="3">
      <c r="A135" s="223"/>
      <c r="B135" s="225" t="s">
        <v>411</v>
      </c>
      <c r="C135" s="223" t="s">
        <v>521</v>
      </c>
      <c r="D135" s="261" t="s">
        <v>413</v>
      </c>
      <c r="E135" s="207">
        <v>2</v>
      </c>
      <c r="F135" s="205">
        <v>1215.2269158165136</v>
      </c>
      <c r="G135" s="205">
        <v>2430.4538316330272</v>
      </c>
      <c r="H135" s="207">
        <v>2</v>
      </c>
      <c r="I135" s="207"/>
      <c r="J135" s="207">
        <v>2368.8000000000002</v>
      </c>
      <c r="K135" s="123"/>
      <c r="L135" s="265">
        <v>1215.2269158165136</v>
      </c>
      <c r="M135" s="205">
        <f t="shared" si="21"/>
        <v>0</v>
      </c>
      <c r="N135" s="207"/>
      <c r="O135" s="207"/>
      <c r="P135" s="207">
        <f t="shared" si="20"/>
        <v>0</v>
      </c>
      <c r="Q135" s="123"/>
      <c r="R135" s="265">
        <v>1215.2269158165136</v>
      </c>
      <c r="S135" s="207">
        <f t="shared" si="19"/>
        <v>0</v>
      </c>
      <c r="T135" s="207"/>
      <c r="U135" s="207"/>
      <c r="V135" s="207">
        <f t="shared" si="18"/>
        <v>0</v>
      </c>
      <c r="W135" s="123"/>
      <c r="X135" s="268"/>
      <c r="Y135" s="207"/>
      <c r="Z135" s="265">
        <v>1215.2269158165136</v>
      </c>
      <c r="AA135" s="207">
        <v>0</v>
      </c>
      <c r="AB135" s="207"/>
      <c r="AC135" s="207"/>
      <c r="AD135" s="207">
        <v>0</v>
      </c>
    </row>
    <row r="136" spans="1:30" s="216" customFormat="1" ht="23.1" hidden="1" customHeight="1" outlineLevel="3">
      <c r="A136" s="223"/>
      <c r="B136" s="225" t="s">
        <v>411</v>
      </c>
      <c r="C136" s="223" t="s">
        <v>523</v>
      </c>
      <c r="D136" s="261" t="s">
        <v>413</v>
      </c>
      <c r="E136" s="207">
        <v>5</v>
      </c>
      <c r="F136" s="205">
        <v>1273.1020905688074</v>
      </c>
      <c r="G136" s="205">
        <v>6365.510452844037</v>
      </c>
      <c r="H136" s="207">
        <v>5</v>
      </c>
      <c r="I136" s="207"/>
      <c r="J136" s="207">
        <v>6204</v>
      </c>
      <c r="K136" s="123"/>
      <c r="L136" s="265">
        <v>1273.1020905688074</v>
      </c>
      <c r="M136" s="205">
        <f t="shared" si="21"/>
        <v>0</v>
      </c>
      <c r="N136" s="207"/>
      <c r="O136" s="207"/>
      <c r="P136" s="207">
        <f t="shared" si="20"/>
        <v>0</v>
      </c>
      <c r="Q136" s="123"/>
      <c r="R136" s="265">
        <v>1273.1020905688074</v>
      </c>
      <c r="S136" s="207">
        <f t="shared" si="19"/>
        <v>0</v>
      </c>
      <c r="T136" s="207"/>
      <c r="U136" s="207"/>
      <c r="V136" s="207">
        <f t="shared" si="18"/>
        <v>0</v>
      </c>
      <c r="W136" s="123"/>
      <c r="X136" s="268"/>
      <c r="Y136" s="207"/>
      <c r="Z136" s="265">
        <v>1273.1020905688074</v>
      </c>
      <c r="AA136" s="207">
        <v>0</v>
      </c>
      <c r="AB136" s="207"/>
      <c r="AC136" s="207"/>
      <c r="AD136" s="207">
        <v>0</v>
      </c>
    </row>
    <row r="137" spans="1:30" s="216" customFormat="1" ht="23.1" hidden="1" customHeight="1" outlineLevel="3">
      <c r="A137" s="223"/>
      <c r="B137" s="225" t="s">
        <v>411</v>
      </c>
      <c r="C137" s="223" t="s">
        <v>572</v>
      </c>
      <c r="D137" s="261" t="s">
        <v>413</v>
      </c>
      <c r="E137" s="207">
        <v>1</v>
      </c>
      <c r="F137" s="205">
        <v>434.00690289908255</v>
      </c>
      <c r="G137" s="205">
        <v>434.00690289908255</v>
      </c>
      <c r="H137" s="207">
        <v>1</v>
      </c>
      <c r="I137" s="207"/>
      <c r="J137" s="207">
        <v>423</v>
      </c>
      <c r="K137" s="123"/>
      <c r="L137" s="265">
        <v>434.00690289908255</v>
      </c>
      <c r="M137" s="205">
        <f t="shared" si="21"/>
        <v>0</v>
      </c>
      <c r="N137" s="207"/>
      <c r="O137" s="207"/>
      <c r="P137" s="207">
        <f t="shared" si="20"/>
        <v>0</v>
      </c>
      <c r="Q137" s="123"/>
      <c r="R137" s="265">
        <v>434.00690289908255</v>
      </c>
      <c r="S137" s="207">
        <f t="shared" si="19"/>
        <v>0</v>
      </c>
      <c r="T137" s="207"/>
      <c r="U137" s="207"/>
      <c r="V137" s="207">
        <f t="shared" si="18"/>
        <v>0</v>
      </c>
      <c r="W137" s="123"/>
      <c r="X137" s="268"/>
      <c r="Y137" s="207"/>
      <c r="Z137" s="265">
        <v>434.00690289908255</v>
      </c>
      <c r="AA137" s="207">
        <v>0</v>
      </c>
      <c r="AB137" s="207"/>
      <c r="AC137" s="207"/>
      <c r="AD137" s="207">
        <v>0</v>
      </c>
    </row>
    <row r="138" spans="1:30" s="215" customFormat="1" ht="23.1" hidden="1" customHeight="1" outlineLevel="2" collapsed="1">
      <c r="A138" s="220">
        <v>4.2</v>
      </c>
      <c r="B138" s="220" t="s">
        <v>420</v>
      </c>
      <c r="C138" s="220"/>
      <c r="D138" s="220"/>
      <c r="E138" s="229"/>
      <c r="F138" s="222">
        <v>0</v>
      </c>
      <c r="G138" s="222">
        <v>0</v>
      </c>
      <c r="H138" s="229"/>
      <c r="I138" s="229"/>
      <c r="J138" s="229">
        <v>0</v>
      </c>
      <c r="K138" s="137"/>
      <c r="L138" s="266">
        <v>0</v>
      </c>
      <c r="M138" s="205">
        <f t="shared" si="21"/>
        <v>0</v>
      </c>
      <c r="N138" s="229"/>
      <c r="O138" s="229"/>
      <c r="P138" s="207">
        <f t="shared" si="20"/>
        <v>0</v>
      </c>
      <c r="Q138" s="137"/>
      <c r="R138" s="266">
        <v>0</v>
      </c>
      <c r="S138" s="207">
        <f t="shared" si="19"/>
        <v>0</v>
      </c>
      <c r="T138" s="229"/>
      <c r="U138" s="229"/>
      <c r="V138" s="207">
        <f t="shared" si="18"/>
        <v>0</v>
      </c>
      <c r="W138" s="137"/>
      <c r="X138" s="269"/>
      <c r="Y138" s="229"/>
      <c r="Z138" s="266">
        <v>0</v>
      </c>
      <c r="AA138" s="207">
        <v>0</v>
      </c>
      <c r="AB138" s="229"/>
      <c r="AC138" s="229"/>
      <c r="AD138" s="207">
        <v>0</v>
      </c>
    </row>
    <row r="139" spans="1:30" s="216" customFormat="1" ht="23.1" hidden="1" customHeight="1" outlineLevel="3">
      <c r="A139" s="223"/>
      <c r="B139" s="225" t="s">
        <v>411</v>
      </c>
      <c r="C139" s="223" t="s">
        <v>525</v>
      </c>
      <c r="D139" s="261" t="s">
        <v>413</v>
      </c>
      <c r="E139" s="207">
        <v>4</v>
      </c>
      <c r="F139" s="205">
        <v>531.06305878899082</v>
      </c>
      <c r="G139" s="205">
        <v>2124.2522351559633</v>
      </c>
      <c r="H139" s="207">
        <v>4</v>
      </c>
      <c r="I139" s="207"/>
      <c r="J139" s="207">
        <v>2143.1999999999998</v>
      </c>
      <c r="K139" s="123"/>
      <c r="L139" s="265">
        <v>531.06305878899082</v>
      </c>
      <c r="M139" s="205">
        <f t="shared" si="21"/>
        <v>0</v>
      </c>
      <c r="N139" s="207"/>
      <c r="O139" s="207"/>
      <c r="P139" s="207">
        <f t="shared" si="20"/>
        <v>0</v>
      </c>
      <c r="Q139" s="123"/>
      <c r="R139" s="265">
        <v>531.06305878899082</v>
      </c>
      <c r="S139" s="207">
        <f t="shared" si="19"/>
        <v>0</v>
      </c>
      <c r="T139" s="207"/>
      <c r="U139" s="207"/>
      <c r="V139" s="207">
        <f t="shared" si="18"/>
        <v>0</v>
      </c>
      <c r="W139" s="123"/>
      <c r="X139" s="268"/>
      <c r="Y139" s="207"/>
      <c r="Z139" s="265">
        <v>531.06305878899082</v>
      </c>
      <c r="AA139" s="207">
        <v>0</v>
      </c>
      <c r="AB139" s="207"/>
      <c r="AC139" s="207"/>
      <c r="AD139" s="207">
        <v>0</v>
      </c>
    </row>
    <row r="140" spans="1:30" s="216" customFormat="1" ht="23.1" hidden="1" customHeight="1" outlineLevel="3">
      <c r="A140" s="223"/>
      <c r="B140" s="225" t="s">
        <v>411</v>
      </c>
      <c r="C140" s="223" t="s">
        <v>527</v>
      </c>
      <c r="D140" s="261" t="s">
        <v>413</v>
      </c>
      <c r="E140" s="207">
        <v>3</v>
      </c>
      <c r="F140" s="205">
        <v>1027.9625024587153</v>
      </c>
      <c r="G140" s="205">
        <v>3083.887507376146</v>
      </c>
      <c r="H140" s="207">
        <v>3</v>
      </c>
      <c r="I140" s="207"/>
      <c r="J140" s="207">
        <v>2961</v>
      </c>
      <c r="K140" s="123"/>
      <c r="L140" s="265">
        <v>1027.9625024587153</v>
      </c>
      <c r="M140" s="205">
        <f t="shared" si="21"/>
        <v>0</v>
      </c>
      <c r="N140" s="207"/>
      <c r="O140" s="207"/>
      <c r="P140" s="207">
        <f t="shared" si="20"/>
        <v>0</v>
      </c>
      <c r="Q140" s="123"/>
      <c r="R140" s="265">
        <v>1027.9625024587153</v>
      </c>
      <c r="S140" s="207">
        <f t="shared" si="19"/>
        <v>0</v>
      </c>
      <c r="T140" s="207"/>
      <c r="U140" s="207"/>
      <c r="V140" s="207">
        <f t="shared" si="18"/>
        <v>0</v>
      </c>
      <c r="W140" s="123"/>
      <c r="X140" s="268"/>
      <c r="Y140" s="207"/>
      <c r="Z140" s="265">
        <v>1027.9625024587153</v>
      </c>
      <c r="AA140" s="207">
        <v>0</v>
      </c>
      <c r="AB140" s="207"/>
      <c r="AC140" s="207"/>
      <c r="AD140" s="207">
        <v>0</v>
      </c>
    </row>
    <row r="141" spans="1:30" s="216" customFormat="1" ht="23.1" hidden="1" customHeight="1" outlineLevel="3">
      <c r="A141" s="223"/>
      <c r="B141" s="225" t="s">
        <v>411</v>
      </c>
      <c r="C141" s="223" t="s">
        <v>529</v>
      </c>
      <c r="D141" s="261" t="s">
        <v>413</v>
      </c>
      <c r="E141" s="207">
        <v>51</v>
      </c>
      <c r="F141" s="205">
        <v>1076.0969685137613</v>
      </c>
      <c r="G141" s="205">
        <v>54880.94539420183</v>
      </c>
      <c r="H141" s="207">
        <v>51</v>
      </c>
      <c r="I141" s="207"/>
      <c r="J141" s="207">
        <v>52734</v>
      </c>
      <c r="K141" s="123"/>
      <c r="L141" s="265">
        <v>1076.0969685137613</v>
      </c>
      <c r="M141" s="205">
        <f t="shared" si="21"/>
        <v>0</v>
      </c>
      <c r="N141" s="207"/>
      <c r="O141" s="207"/>
      <c r="P141" s="207">
        <f t="shared" si="20"/>
        <v>0</v>
      </c>
      <c r="Q141" s="123"/>
      <c r="R141" s="265">
        <v>1076.0969685137613</v>
      </c>
      <c r="S141" s="207">
        <f t="shared" si="19"/>
        <v>0</v>
      </c>
      <c r="T141" s="207"/>
      <c r="U141" s="207"/>
      <c r="V141" s="207">
        <f t="shared" si="18"/>
        <v>0</v>
      </c>
      <c r="W141" s="123"/>
      <c r="X141" s="268"/>
      <c r="Y141" s="207"/>
      <c r="Z141" s="265">
        <v>1076.0969685137613</v>
      </c>
      <c r="AA141" s="207">
        <v>0</v>
      </c>
      <c r="AB141" s="207"/>
      <c r="AC141" s="207"/>
      <c r="AD141" s="207">
        <v>0</v>
      </c>
    </row>
    <row r="142" spans="1:30" s="216" customFormat="1" ht="23.1" hidden="1" customHeight="1" outlineLevel="3">
      <c r="A142" s="223"/>
      <c r="B142" s="225" t="s">
        <v>411</v>
      </c>
      <c r="C142" s="223" t="s">
        <v>531</v>
      </c>
      <c r="D142" s="261" t="s">
        <v>413</v>
      </c>
      <c r="E142" s="207">
        <v>1</v>
      </c>
      <c r="F142" s="205">
        <v>1062.1261175779816</v>
      </c>
      <c r="G142" s="205">
        <v>1062.1261175779816</v>
      </c>
      <c r="H142" s="207">
        <v>1</v>
      </c>
      <c r="I142" s="207"/>
      <c r="J142" s="207">
        <v>1071.5999999999999</v>
      </c>
      <c r="K142" s="123"/>
      <c r="L142" s="265">
        <v>1062.1261175779816</v>
      </c>
      <c r="M142" s="205">
        <f t="shared" si="21"/>
        <v>0</v>
      </c>
      <c r="N142" s="207"/>
      <c r="O142" s="207"/>
      <c r="P142" s="207">
        <f t="shared" si="20"/>
        <v>0</v>
      </c>
      <c r="Q142" s="123"/>
      <c r="R142" s="265">
        <v>1062.1261175779816</v>
      </c>
      <c r="S142" s="207">
        <f t="shared" si="19"/>
        <v>0</v>
      </c>
      <c r="T142" s="207"/>
      <c r="U142" s="207"/>
      <c r="V142" s="207">
        <f t="shared" si="18"/>
        <v>0</v>
      </c>
      <c r="W142" s="123"/>
      <c r="X142" s="268"/>
      <c r="Y142" s="207"/>
      <c r="Z142" s="265">
        <v>1062.1261175779816</v>
      </c>
      <c r="AA142" s="207">
        <v>0</v>
      </c>
      <c r="AB142" s="207"/>
      <c r="AC142" s="207"/>
      <c r="AD142" s="207">
        <v>0</v>
      </c>
    </row>
    <row r="143" spans="1:30" s="216" customFormat="1" ht="23.1" hidden="1" customHeight="1" outlineLevel="3">
      <c r="A143" s="223"/>
      <c r="B143" s="225" t="s">
        <v>411</v>
      </c>
      <c r="C143" s="223" t="s">
        <v>533</v>
      </c>
      <c r="D143" s="261" t="s">
        <v>413</v>
      </c>
      <c r="E143" s="207">
        <v>5</v>
      </c>
      <c r="F143" s="205">
        <v>1332.3145972844036</v>
      </c>
      <c r="G143" s="205">
        <v>6661.5729864220175</v>
      </c>
      <c r="H143" s="207">
        <v>5</v>
      </c>
      <c r="I143" s="207"/>
      <c r="J143" s="207">
        <v>6721</v>
      </c>
      <c r="K143" s="123"/>
      <c r="L143" s="265">
        <v>1332.3145972844036</v>
      </c>
      <c r="M143" s="205">
        <f t="shared" si="21"/>
        <v>0</v>
      </c>
      <c r="N143" s="207"/>
      <c r="O143" s="207"/>
      <c r="P143" s="207">
        <f t="shared" si="20"/>
        <v>0</v>
      </c>
      <c r="Q143" s="123"/>
      <c r="R143" s="265">
        <v>1332.3145972844036</v>
      </c>
      <c r="S143" s="207">
        <f t="shared" si="19"/>
        <v>0</v>
      </c>
      <c r="T143" s="207"/>
      <c r="U143" s="207"/>
      <c r="V143" s="207">
        <f t="shared" si="18"/>
        <v>0</v>
      </c>
      <c r="W143" s="123"/>
      <c r="X143" s="268"/>
      <c r="Y143" s="207"/>
      <c r="Z143" s="265">
        <v>1332.3145972844036</v>
      </c>
      <c r="AA143" s="207">
        <v>0</v>
      </c>
      <c r="AB143" s="207"/>
      <c r="AC143" s="207"/>
      <c r="AD143" s="207">
        <v>0</v>
      </c>
    </row>
    <row r="144" spans="1:30" s="215" customFormat="1" ht="23.1" hidden="1" customHeight="1" outlineLevel="2" collapsed="1">
      <c r="A144" s="220">
        <v>4.3</v>
      </c>
      <c r="B144" s="220" t="s">
        <v>429</v>
      </c>
      <c r="C144" s="220"/>
      <c r="D144" s="220"/>
      <c r="E144" s="229"/>
      <c r="F144" s="222">
        <v>0</v>
      </c>
      <c r="G144" s="222">
        <v>0</v>
      </c>
      <c r="H144" s="229"/>
      <c r="I144" s="229"/>
      <c r="J144" s="229">
        <v>0</v>
      </c>
      <c r="K144" s="137"/>
      <c r="L144" s="266">
        <v>0</v>
      </c>
      <c r="M144" s="205">
        <f t="shared" si="21"/>
        <v>0</v>
      </c>
      <c r="N144" s="229"/>
      <c r="O144" s="229"/>
      <c r="P144" s="207">
        <f t="shared" si="20"/>
        <v>0</v>
      </c>
      <c r="Q144" s="137"/>
      <c r="R144" s="266">
        <v>0</v>
      </c>
      <c r="S144" s="207">
        <f t="shared" si="19"/>
        <v>0</v>
      </c>
      <c r="T144" s="229"/>
      <c r="U144" s="229"/>
      <c r="V144" s="207">
        <f t="shared" si="18"/>
        <v>0</v>
      </c>
      <c r="W144" s="137"/>
      <c r="X144" s="269"/>
      <c r="Y144" s="229"/>
      <c r="Z144" s="266">
        <v>0</v>
      </c>
      <c r="AA144" s="207">
        <v>0</v>
      </c>
      <c r="AB144" s="229"/>
      <c r="AC144" s="229"/>
      <c r="AD144" s="207">
        <v>0</v>
      </c>
    </row>
    <row r="145" spans="1:30" s="216" customFormat="1" ht="23.1" hidden="1" customHeight="1" outlineLevel="3">
      <c r="A145" s="223"/>
      <c r="B145" s="225" t="s">
        <v>411</v>
      </c>
      <c r="C145" s="223" t="s">
        <v>475</v>
      </c>
      <c r="D145" s="261" t="s">
        <v>413</v>
      </c>
      <c r="E145" s="207">
        <v>66</v>
      </c>
      <c r="F145" s="205">
        <v>512.37834979816512</v>
      </c>
      <c r="G145" s="205">
        <v>33816.971086678896</v>
      </c>
      <c r="H145" s="207">
        <v>66</v>
      </c>
      <c r="I145" s="207"/>
      <c r="J145" s="207">
        <v>35362.799999999996</v>
      </c>
      <c r="K145" s="123"/>
      <c r="L145" s="265">
        <v>512.37834979816512</v>
      </c>
      <c r="M145" s="205">
        <f t="shared" si="21"/>
        <v>0</v>
      </c>
      <c r="N145" s="207"/>
      <c r="O145" s="207"/>
      <c r="P145" s="207">
        <f t="shared" si="20"/>
        <v>0</v>
      </c>
      <c r="Q145" s="123"/>
      <c r="R145" s="265">
        <v>512.37834979816512</v>
      </c>
      <c r="S145" s="207">
        <f t="shared" si="19"/>
        <v>0</v>
      </c>
      <c r="T145" s="207"/>
      <c r="U145" s="207"/>
      <c r="V145" s="207">
        <f t="shared" si="18"/>
        <v>0</v>
      </c>
      <c r="W145" s="123"/>
      <c r="X145" s="268"/>
      <c r="Y145" s="207"/>
      <c r="Z145" s="265">
        <v>512.37834979816512</v>
      </c>
      <c r="AA145" s="207">
        <v>0</v>
      </c>
      <c r="AB145" s="207"/>
      <c r="AC145" s="207"/>
      <c r="AD145" s="207">
        <v>0</v>
      </c>
    </row>
    <row r="146" spans="1:30" s="216" customFormat="1" ht="23.1" hidden="1" customHeight="1" outlineLevel="3">
      <c r="A146" s="223"/>
      <c r="B146" s="225" t="s">
        <v>411</v>
      </c>
      <c r="C146" s="223" t="s">
        <v>536</v>
      </c>
      <c r="D146" s="261" t="s">
        <v>413</v>
      </c>
      <c r="E146" s="207">
        <v>31</v>
      </c>
      <c r="F146" s="205">
        <v>1024.7472149724772</v>
      </c>
      <c r="G146" s="205">
        <v>31767.163664146792</v>
      </c>
      <c r="H146" s="207">
        <v>31</v>
      </c>
      <c r="I146" s="207"/>
      <c r="J146" s="207">
        <v>33219.599999999999</v>
      </c>
      <c r="K146" s="123"/>
      <c r="L146" s="265">
        <v>1024.7472149724772</v>
      </c>
      <c r="M146" s="205">
        <f t="shared" si="21"/>
        <v>0</v>
      </c>
      <c r="N146" s="207"/>
      <c r="O146" s="207"/>
      <c r="P146" s="207">
        <f t="shared" si="20"/>
        <v>0</v>
      </c>
      <c r="Q146" s="123"/>
      <c r="R146" s="265">
        <v>1024.7472149724772</v>
      </c>
      <c r="S146" s="207">
        <f t="shared" si="19"/>
        <v>0</v>
      </c>
      <c r="T146" s="207"/>
      <c r="U146" s="207"/>
      <c r="V146" s="207">
        <f t="shared" si="18"/>
        <v>0</v>
      </c>
      <c r="W146" s="123"/>
      <c r="X146" s="268"/>
      <c r="Y146" s="207"/>
      <c r="Z146" s="265">
        <v>1024.7472149724772</v>
      </c>
      <c r="AA146" s="207">
        <v>0</v>
      </c>
      <c r="AB146" s="207"/>
      <c r="AC146" s="207"/>
      <c r="AD146" s="207">
        <v>0</v>
      </c>
    </row>
    <row r="147" spans="1:30" s="215" customFormat="1" ht="23.1" hidden="1" customHeight="1" outlineLevel="2" collapsed="1">
      <c r="A147" s="220">
        <v>4.4000000000000004</v>
      </c>
      <c r="B147" s="220" t="s">
        <v>537</v>
      </c>
      <c r="C147" s="220"/>
      <c r="D147" s="220"/>
      <c r="E147" s="229"/>
      <c r="F147" s="222">
        <v>0</v>
      </c>
      <c r="G147" s="222">
        <v>0</v>
      </c>
      <c r="H147" s="229"/>
      <c r="I147" s="229"/>
      <c r="J147" s="229">
        <v>0</v>
      </c>
      <c r="K147" s="137"/>
      <c r="L147" s="266">
        <v>0</v>
      </c>
      <c r="M147" s="205">
        <f t="shared" si="21"/>
        <v>0</v>
      </c>
      <c r="N147" s="229"/>
      <c r="O147" s="229"/>
      <c r="P147" s="207">
        <f t="shared" si="20"/>
        <v>0</v>
      </c>
      <c r="Q147" s="137"/>
      <c r="R147" s="266">
        <v>0</v>
      </c>
      <c r="S147" s="207">
        <f t="shared" si="19"/>
        <v>0</v>
      </c>
      <c r="T147" s="229"/>
      <c r="U147" s="229"/>
      <c r="V147" s="207">
        <f t="shared" si="18"/>
        <v>0</v>
      </c>
      <c r="W147" s="137"/>
      <c r="X147" s="269"/>
      <c r="Y147" s="229"/>
      <c r="Z147" s="266">
        <v>0</v>
      </c>
      <c r="AA147" s="207">
        <v>0</v>
      </c>
      <c r="AB147" s="229"/>
      <c r="AC147" s="229"/>
      <c r="AD147" s="207">
        <v>0</v>
      </c>
    </row>
    <row r="148" spans="1:30" s="216" customFormat="1" ht="23.1" hidden="1" customHeight="1" outlineLevel="3">
      <c r="A148" s="223"/>
      <c r="B148" s="225" t="s">
        <v>537</v>
      </c>
      <c r="C148" s="223" t="s">
        <v>573</v>
      </c>
      <c r="D148" s="261" t="s">
        <v>413</v>
      </c>
      <c r="E148" s="207">
        <v>1</v>
      </c>
      <c r="F148" s="205">
        <v>1038.2438347155964</v>
      </c>
      <c r="G148" s="205">
        <v>1038.2438347155964</v>
      </c>
      <c r="H148" s="207">
        <v>1</v>
      </c>
      <c r="I148" s="207"/>
      <c r="J148" s="207">
        <v>1034</v>
      </c>
      <c r="K148" s="123"/>
      <c r="L148" s="265">
        <v>1038.2438347155964</v>
      </c>
      <c r="M148" s="205">
        <f t="shared" si="21"/>
        <v>0</v>
      </c>
      <c r="N148" s="207"/>
      <c r="O148" s="207"/>
      <c r="P148" s="207">
        <f t="shared" si="20"/>
        <v>0</v>
      </c>
      <c r="Q148" s="123"/>
      <c r="R148" s="265">
        <v>1038.2438347155964</v>
      </c>
      <c r="S148" s="207">
        <f t="shared" si="19"/>
        <v>0</v>
      </c>
      <c r="T148" s="207"/>
      <c r="U148" s="207"/>
      <c r="V148" s="207">
        <f t="shared" si="18"/>
        <v>0</v>
      </c>
      <c r="W148" s="123"/>
      <c r="X148" s="268"/>
      <c r="Y148" s="207"/>
      <c r="Z148" s="265">
        <v>1038.2438347155964</v>
      </c>
      <c r="AA148" s="207">
        <v>0</v>
      </c>
      <c r="AB148" s="207"/>
      <c r="AC148" s="207"/>
      <c r="AD148" s="207">
        <v>0</v>
      </c>
    </row>
    <row r="149" spans="1:30" s="216" customFormat="1" ht="23.1" hidden="1" customHeight="1" outlineLevel="3">
      <c r="A149" s="223"/>
      <c r="B149" s="225" t="s">
        <v>537</v>
      </c>
      <c r="C149" s="223" t="s">
        <v>539</v>
      </c>
      <c r="D149" s="261" t="s">
        <v>413</v>
      </c>
      <c r="E149" s="207">
        <v>1</v>
      </c>
      <c r="F149" s="205">
        <v>1285.4321015779815</v>
      </c>
      <c r="G149" s="205">
        <v>1285.4321015779815</v>
      </c>
      <c r="H149" s="207">
        <v>1</v>
      </c>
      <c r="I149" s="207"/>
      <c r="J149" s="207">
        <v>1344.2</v>
      </c>
      <c r="K149" s="123"/>
      <c r="L149" s="265">
        <v>1285.4321015779815</v>
      </c>
      <c r="M149" s="205">
        <f t="shared" si="21"/>
        <v>0</v>
      </c>
      <c r="N149" s="207"/>
      <c r="O149" s="207"/>
      <c r="P149" s="207">
        <f t="shared" si="20"/>
        <v>0</v>
      </c>
      <c r="Q149" s="123"/>
      <c r="R149" s="265">
        <v>1285.4321015779815</v>
      </c>
      <c r="S149" s="207">
        <f t="shared" si="19"/>
        <v>0</v>
      </c>
      <c r="T149" s="207"/>
      <c r="U149" s="207"/>
      <c r="V149" s="207">
        <f t="shared" si="18"/>
        <v>0</v>
      </c>
      <c r="W149" s="123"/>
      <c r="X149" s="268"/>
      <c r="Y149" s="207"/>
      <c r="Z149" s="265">
        <v>1285.4321015779815</v>
      </c>
      <c r="AA149" s="207">
        <v>0</v>
      </c>
      <c r="AB149" s="207"/>
      <c r="AC149" s="207"/>
      <c r="AD149" s="207">
        <v>0</v>
      </c>
    </row>
    <row r="150" spans="1:30" s="215" customFormat="1" ht="23.1" hidden="1" customHeight="1" outlineLevel="2" collapsed="1">
      <c r="A150" s="220">
        <v>4.5</v>
      </c>
      <c r="B150" s="220" t="s">
        <v>574</v>
      </c>
      <c r="C150" s="220"/>
      <c r="D150" s="220"/>
      <c r="E150" s="229"/>
      <c r="F150" s="222">
        <v>0</v>
      </c>
      <c r="G150" s="222">
        <v>0</v>
      </c>
      <c r="H150" s="229"/>
      <c r="I150" s="229"/>
      <c r="J150" s="229">
        <v>0</v>
      </c>
      <c r="K150" s="137"/>
      <c r="L150" s="266">
        <v>0</v>
      </c>
      <c r="M150" s="205">
        <f t="shared" si="21"/>
        <v>0</v>
      </c>
      <c r="N150" s="229"/>
      <c r="O150" s="229"/>
      <c r="P150" s="207">
        <f t="shared" si="20"/>
        <v>0</v>
      </c>
      <c r="Q150" s="137"/>
      <c r="R150" s="266">
        <v>0</v>
      </c>
      <c r="S150" s="207">
        <f t="shared" si="19"/>
        <v>0</v>
      </c>
      <c r="T150" s="229"/>
      <c r="U150" s="229"/>
      <c r="V150" s="207">
        <f t="shared" si="18"/>
        <v>0</v>
      </c>
      <c r="W150" s="137"/>
      <c r="X150" s="269"/>
      <c r="Y150" s="229"/>
      <c r="Z150" s="266">
        <v>0</v>
      </c>
      <c r="AA150" s="207">
        <v>0</v>
      </c>
      <c r="AB150" s="229"/>
      <c r="AC150" s="229"/>
      <c r="AD150" s="207">
        <v>0</v>
      </c>
    </row>
    <row r="151" spans="1:30" s="216" customFormat="1" ht="23.1" hidden="1" customHeight="1" outlineLevel="3">
      <c r="A151" s="223"/>
      <c r="B151" s="225" t="s">
        <v>574</v>
      </c>
      <c r="C151" s="223" t="s">
        <v>542</v>
      </c>
      <c r="D151" s="261" t="s">
        <v>413</v>
      </c>
      <c r="E151" s="207">
        <v>2</v>
      </c>
      <c r="F151" s="205">
        <v>1389.2887327706424</v>
      </c>
      <c r="G151" s="205">
        <v>2778.5774655412847</v>
      </c>
      <c r="H151" s="207">
        <v>2</v>
      </c>
      <c r="I151" s="207"/>
      <c r="J151" s="207">
        <v>2040</v>
      </c>
      <c r="K151" s="123"/>
      <c r="L151" s="265">
        <v>1389.2887327706424</v>
      </c>
      <c r="M151" s="205">
        <f t="shared" si="21"/>
        <v>0</v>
      </c>
      <c r="N151" s="207"/>
      <c r="O151" s="207"/>
      <c r="P151" s="207">
        <f t="shared" si="20"/>
        <v>0</v>
      </c>
      <c r="Q151" s="123"/>
      <c r="R151" s="265">
        <v>1389.2887327706424</v>
      </c>
      <c r="S151" s="207">
        <f t="shared" si="19"/>
        <v>0</v>
      </c>
      <c r="T151" s="207"/>
      <c r="U151" s="207"/>
      <c r="V151" s="207">
        <f t="shared" si="18"/>
        <v>0</v>
      </c>
      <c r="W151" s="123"/>
      <c r="X151" s="268"/>
      <c r="Y151" s="207"/>
      <c r="Z151" s="265">
        <v>1389.2887327706424</v>
      </c>
      <c r="AA151" s="207">
        <v>0</v>
      </c>
      <c r="AB151" s="207"/>
      <c r="AC151" s="207"/>
      <c r="AD151" s="207">
        <v>0</v>
      </c>
    </row>
    <row r="152" spans="1:30" s="216" customFormat="1" ht="23.1" hidden="1" customHeight="1" outlineLevel="3">
      <c r="A152" s="223"/>
      <c r="B152" s="225" t="s">
        <v>574</v>
      </c>
      <c r="C152" s="223" t="s">
        <v>544</v>
      </c>
      <c r="D152" s="261" t="s">
        <v>413</v>
      </c>
      <c r="E152" s="207">
        <v>2</v>
      </c>
      <c r="F152" s="205">
        <v>1215.6347546422019</v>
      </c>
      <c r="G152" s="205">
        <v>2431.2695092844037</v>
      </c>
      <c r="H152" s="207">
        <v>2</v>
      </c>
      <c r="I152" s="207"/>
      <c r="J152" s="207">
        <v>1920</v>
      </c>
      <c r="K152" s="123"/>
      <c r="L152" s="265">
        <v>1215.6347546422019</v>
      </c>
      <c r="M152" s="205">
        <f t="shared" si="21"/>
        <v>0</v>
      </c>
      <c r="N152" s="207"/>
      <c r="O152" s="207"/>
      <c r="P152" s="207">
        <f t="shared" si="20"/>
        <v>0</v>
      </c>
      <c r="Q152" s="123"/>
      <c r="R152" s="265">
        <v>1215.6347546422019</v>
      </c>
      <c r="S152" s="207">
        <f t="shared" si="19"/>
        <v>0</v>
      </c>
      <c r="T152" s="207"/>
      <c r="U152" s="207"/>
      <c r="V152" s="207">
        <f t="shared" si="18"/>
        <v>0</v>
      </c>
      <c r="W152" s="123"/>
      <c r="X152" s="268"/>
      <c r="Y152" s="207"/>
      <c r="Z152" s="265">
        <v>1215.6347546422019</v>
      </c>
      <c r="AA152" s="207">
        <v>0</v>
      </c>
      <c r="AB152" s="207"/>
      <c r="AC152" s="207"/>
      <c r="AD152" s="207">
        <v>0</v>
      </c>
    </row>
    <row r="153" spans="1:30" s="215" customFormat="1" ht="23.1" hidden="1" customHeight="1" outlineLevel="2" collapsed="1">
      <c r="A153" s="220">
        <v>4.5999999999999996</v>
      </c>
      <c r="B153" s="220" t="s">
        <v>545</v>
      </c>
      <c r="C153" s="220"/>
      <c r="D153" s="220"/>
      <c r="E153" s="229"/>
      <c r="F153" s="222">
        <v>0</v>
      </c>
      <c r="G153" s="222">
        <v>0</v>
      </c>
      <c r="H153" s="229"/>
      <c r="I153" s="229"/>
      <c r="J153" s="229">
        <v>0</v>
      </c>
      <c r="K153" s="137"/>
      <c r="L153" s="266">
        <v>0</v>
      </c>
      <c r="M153" s="205">
        <f t="shared" si="21"/>
        <v>0</v>
      </c>
      <c r="N153" s="229"/>
      <c r="O153" s="229"/>
      <c r="P153" s="207">
        <f t="shared" si="20"/>
        <v>0</v>
      </c>
      <c r="Q153" s="137"/>
      <c r="R153" s="266">
        <v>0</v>
      </c>
      <c r="S153" s="207">
        <f t="shared" si="19"/>
        <v>0</v>
      </c>
      <c r="T153" s="229"/>
      <c r="U153" s="229"/>
      <c r="V153" s="207">
        <f t="shared" si="18"/>
        <v>0</v>
      </c>
      <c r="W153" s="137"/>
      <c r="X153" s="269"/>
      <c r="Y153" s="229"/>
      <c r="Z153" s="266">
        <v>0</v>
      </c>
      <c r="AA153" s="207">
        <v>0</v>
      </c>
      <c r="AB153" s="229"/>
      <c r="AC153" s="229"/>
      <c r="AD153" s="207">
        <v>0</v>
      </c>
    </row>
    <row r="154" spans="1:30" s="216" customFormat="1" ht="23.1" hidden="1" customHeight="1" outlineLevel="3">
      <c r="A154" s="223"/>
      <c r="B154" s="225" t="s">
        <v>547</v>
      </c>
      <c r="C154" s="223" t="s">
        <v>548</v>
      </c>
      <c r="D154" s="261" t="s">
        <v>247</v>
      </c>
      <c r="E154" s="207">
        <v>19.22</v>
      </c>
      <c r="F154" s="205">
        <v>434.94588066055047</v>
      </c>
      <c r="G154" s="205">
        <v>8359.6598262957796</v>
      </c>
      <c r="H154" s="207">
        <v>19.22</v>
      </c>
      <c r="I154" s="207"/>
      <c r="J154" s="207">
        <v>16529.2</v>
      </c>
      <c r="K154" s="123"/>
      <c r="L154" s="265">
        <v>434.94588066055047</v>
      </c>
      <c r="M154" s="205">
        <f t="shared" si="21"/>
        <v>0</v>
      </c>
      <c r="N154" s="207"/>
      <c r="O154" s="207"/>
      <c r="P154" s="207">
        <f t="shared" si="20"/>
        <v>0</v>
      </c>
      <c r="Q154" s="123"/>
      <c r="R154" s="265">
        <v>434.94588066055047</v>
      </c>
      <c r="S154" s="207">
        <f t="shared" si="19"/>
        <v>0</v>
      </c>
      <c r="T154" s="207"/>
      <c r="U154" s="207"/>
      <c r="V154" s="207">
        <f t="shared" si="18"/>
        <v>0</v>
      </c>
      <c r="W154" s="123"/>
      <c r="X154" s="268"/>
      <c r="Y154" s="207"/>
      <c r="Z154" s="265">
        <v>434.94588066055047</v>
      </c>
      <c r="AA154" s="207">
        <v>0</v>
      </c>
      <c r="AB154" s="207"/>
      <c r="AC154" s="207"/>
      <c r="AD154" s="207">
        <v>0</v>
      </c>
    </row>
    <row r="155" spans="1:30" s="216" customFormat="1" ht="23.1" hidden="1" customHeight="1" outlineLevel="3">
      <c r="A155" s="223"/>
      <c r="B155" s="225" t="s">
        <v>550</v>
      </c>
      <c r="C155" s="223" t="s">
        <v>551</v>
      </c>
      <c r="D155" s="261" t="s">
        <v>247</v>
      </c>
      <c r="E155" s="207">
        <v>22.71</v>
      </c>
      <c r="F155" s="205">
        <v>434.94588066055047</v>
      </c>
      <c r="G155" s="205">
        <v>9877.6209498011012</v>
      </c>
      <c r="H155" s="207">
        <v>22.71</v>
      </c>
      <c r="I155" s="207"/>
      <c r="J155" s="207">
        <v>19530.600000000002</v>
      </c>
      <c r="K155" s="123"/>
      <c r="L155" s="265">
        <v>434.94588066055047</v>
      </c>
      <c r="M155" s="205">
        <f t="shared" si="21"/>
        <v>0</v>
      </c>
      <c r="N155" s="207"/>
      <c r="O155" s="207"/>
      <c r="P155" s="207">
        <f t="shared" si="20"/>
        <v>0</v>
      </c>
      <c r="Q155" s="123"/>
      <c r="R155" s="265">
        <v>434.94588066055047</v>
      </c>
      <c r="S155" s="207">
        <f t="shared" si="19"/>
        <v>0</v>
      </c>
      <c r="T155" s="207"/>
      <c r="U155" s="207"/>
      <c r="V155" s="207">
        <f t="shared" si="18"/>
        <v>0</v>
      </c>
      <c r="W155" s="123"/>
      <c r="X155" s="268"/>
      <c r="Y155" s="207"/>
      <c r="Z155" s="265">
        <v>434.94588066055047</v>
      </c>
      <c r="AA155" s="207">
        <v>0</v>
      </c>
      <c r="AB155" s="207"/>
      <c r="AC155" s="207"/>
      <c r="AD155" s="207">
        <v>0</v>
      </c>
    </row>
    <row r="156" spans="1:30" s="215" customFormat="1" ht="23.1" hidden="1" customHeight="1" outlineLevel="2" collapsed="1">
      <c r="A156" s="220">
        <v>4.7</v>
      </c>
      <c r="B156" s="220" t="s">
        <v>552</v>
      </c>
      <c r="C156" s="220"/>
      <c r="D156" s="220"/>
      <c r="E156" s="229"/>
      <c r="F156" s="222">
        <v>0</v>
      </c>
      <c r="G156" s="222">
        <v>0</v>
      </c>
      <c r="H156" s="229"/>
      <c r="I156" s="229"/>
      <c r="J156" s="229">
        <v>0</v>
      </c>
      <c r="K156" s="137"/>
      <c r="L156" s="266">
        <v>0</v>
      </c>
      <c r="M156" s="205">
        <f t="shared" si="21"/>
        <v>0</v>
      </c>
      <c r="N156" s="229"/>
      <c r="O156" s="229"/>
      <c r="P156" s="207">
        <f t="shared" si="20"/>
        <v>0</v>
      </c>
      <c r="Q156" s="137"/>
      <c r="R156" s="266">
        <v>0</v>
      </c>
      <c r="S156" s="207">
        <f t="shared" si="19"/>
        <v>0</v>
      </c>
      <c r="T156" s="229"/>
      <c r="U156" s="229"/>
      <c r="V156" s="207">
        <f t="shared" si="18"/>
        <v>0</v>
      </c>
      <c r="W156" s="137"/>
      <c r="X156" s="269"/>
      <c r="Y156" s="229"/>
      <c r="Z156" s="266">
        <v>0</v>
      </c>
      <c r="AA156" s="207">
        <v>0</v>
      </c>
      <c r="AB156" s="229"/>
      <c r="AC156" s="229"/>
      <c r="AD156" s="207">
        <v>0</v>
      </c>
    </row>
    <row r="157" spans="1:30" s="216" customFormat="1" ht="23.1" hidden="1" customHeight="1" outlineLevel="3">
      <c r="A157" s="223"/>
      <c r="B157" s="225" t="s">
        <v>552</v>
      </c>
      <c r="C157" s="223" t="s">
        <v>554</v>
      </c>
      <c r="D157" s="261" t="s">
        <v>247</v>
      </c>
      <c r="E157" s="207">
        <v>1010.16</v>
      </c>
      <c r="F157" s="205">
        <v>871.23857790825696</v>
      </c>
      <c r="G157" s="205">
        <v>880090.36185980483</v>
      </c>
      <c r="H157" s="207">
        <v>1010.16</v>
      </c>
      <c r="I157" s="207"/>
      <c r="J157" s="207">
        <v>927912.77280000004</v>
      </c>
      <c r="K157" s="123"/>
      <c r="L157" s="265">
        <v>871.23857790825696</v>
      </c>
      <c r="M157" s="205">
        <f t="shared" si="21"/>
        <v>0</v>
      </c>
      <c r="N157" s="207"/>
      <c r="O157" s="207"/>
      <c r="P157" s="207">
        <f t="shared" si="20"/>
        <v>0</v>
      </c>
      <c r="Q157" s="123"/>
      <c r="R157" s="265">
        <v>871.23857790825696</v>
      </c>
      <c r="S157" s="207">
        <f t="shared" si="19"/>
        <v>0</v>
      </c>
      <c r="T157" s="207"/>
      <c r="U157" s="207"/>
      <c r="V157" s="207">
        <f t="shared" si="18"/>
        <v>0</v>
      </c>
      <c r="W157" s="123"/>
      <c r="X157" s="268"/>
      <c r="Y157" s="207"/>
      <c r="Z157" s="265">
        <v>871.23857790825696</v>
      </c>
      <c r="AA157" s="207">
        <v>0</v>
      </c>
      <c r="AB157" s="207"/>
      <c r="AC157" s="207"/>
      <c r="AD157" s="207">
        <v>0</v>
      </c>
    </row>
    <row r="158" spans="1:30" s="215" customFormat="1" ht="23.1" hidden="1" customHeight="1" outlineLevel="2" collapsed="1">
      <c r="A158" s="220">
        <v>4.8</v>
      </c>
      <c r="B158" s="220" t="s">
        <v>555</v>
      </c>
      <c r="C158" s="220"/>
      <c r="D158" s="220"/>
      <c r="E158" s="229"/>
      <c r="F158" s="222">
        <v>0</v>
      </c>
      <c r="G158" s="222">
        <v>0</v>
      </c>
      <c r="H158" s="229"/>
      <c r="I158" s="229"/>
      <c r="J158" s="229">
        <v>0</v>
      </c>
      <c r="K158" s="137"/>
      <c r="L158" s="266">
        <v>0</v>
      </c>
      <c r="M158" s="205">
        <f t="shared" si="21"/>
        <v>0</v>
      </c>
      <c r="N158" s="229"/>
      <c r="O158" s="229"/>
      <c r="P158" s="207">
        <f t="shared" si="20"/>
        <v>0</v>
      </c>
      <c r="Q158" s="137"/>
      <c r="R158" s="266">
        <v>0</v>
      </c>
      <c r="S158" s="207">
        <f t="shared" si="19"/>
        <v>0</v>
      </c>
      <c r="T158" s="229"/>
      <c r="U158" s="229"/>
      <c r="V158" s="207">
        <f t="shared" si="18"/>
        <v>0</v>
      </c>
      <c r="W158" s="137"/>
      <c r="X158" s="269"/>
      <c r="Y158" s="229"/>
      <c r="Z158" s="266">
        <v>0</v>
      </c>
      <c r="AA158" s="207">
        <v>0</v>
      </c>
      <c r="AB158" s="229"/>
      <c r="AC158" s="229"/>
      <c r="AD158" s="207">
        <v>0</v>
      </c>
    </row>
    <row r="159" spans="1:30" s="216" customFormat="1" ht="23.1" hidden="1" customHeight="1" outlineLevel="3">
      <c r="A159" s="223"/>
      <c r="B159" s="225" t="s">
        <v>499</v>
      </c>
      <c r="C159" s="223" t="s">
        <v>557</v>
      </c>
      <c r="D159" s="261" t="s">
        <v>247</v>
      </c>
      <c r="E159" s="207">
        <v>485.56</v>
      </c>
      <c r="F159" s="205">
        <v>948.40547757798174</v>
      </c>
      <c r="G159" s="205">
        <v>460507.7636927648</v>
      </c>
      <c r="H159" s="207">
        <v>485.56</v>
      </c>
      <c r="I159" s="207"/>
      <c r="J159" s="207">
        <v>485530.86640000006</v>
      </c>
      <c r="K159" s="123"/>
      <c r="L159" s="265">
        <v>948.40547757798174</v>
      </c>
      <c r="M159" s="205">
        <f t="shared" si="21"/>
        <v>0</v>
      </c>
      <c r="N159" s="207"/>
      <c r="O159" s="207"/>
      <c r="P159" s="207">
        <f t="shared" si="20"/>
        <v>0</v>
      </c>
      <c r="Q159" s="123"/>
      <c r="R159" s="265">
        <v>948.40547757798174</v>
      </c>
      <c r="S159" s="207">
        <f t="shared" si="19"/>
        <v>0</v>
      </c>
      <c r="T159" s="207"/>
      <c r="U159" s="207"/>
      <c r="V159" s="207">
        <f t="shared" si="18"/>
        <v>0</v>
      </c>
      <c r="W159" s="123"/>
      <c r="X159" s="268"/>
      <c r="Y159" s="207"/>
      <c r="Z159" s="265">
        <v>948.40547757798174</v>
      </c>
      <c r="AA159" s="207">
        <v>0</v>
      </c>
      <c r="AB159" s="207"/>
      <c r="AC159" s="207"/>
      <c r="AD159" s="207">
        <v>0</v>
      </c>
    </row>
    <row r="160" spans="1:30" s="216" customFormat="1" ht="23.1" hidden="1" customHeight="1" outlineLevel="3">
      <c r="A160" s="223"/>
      <c r="B160" s="225" t="s">
        <v>559</v>
      </c>
      <c r="C160" s="223" t="s">
        <v>575</v>
      </c>
      <c r="D160" s="261" t="s">
        <v>247</v>
      </c>
      <c r="E160" s="207">
        <v>46.08</v>
      </c>
      <c r="F160" s="205">
        <v>790.34422106422016</v>
      </c>
      <c r="G160" s="205">
        <v>36419.061706639266</v>
      </c>
      <c r="H160" s="207">
        <v>46.08</v>
      </c>
      <c r="I160" s="207"/>
      <c r="J160" s="207">
        <v>38398.003199999999</v>
      </c>
      <c r="K160" s="123"/>
      <c r="L160" s="265">
        <v>790.34422106422016</v>
      </c>
      <c r="M160" s="205">
        <f t="shared" si="21"/>
        <v>0</v>
      </c>
      <c r="N160" s="207"/>
      <c r="O160" s="207"/>
      <c r="P160" s="207">
        <f t="shared" si="20"/>
        <v>0</v>
      </c>
      <c r="Q160" s="123"/>
      <c r="R160" s="265">
        <v>790.34422106422016</v>
      </c>
      <c r="S160" s="207">
        <f t="shared" si="19"/>
        <v>0</v>
      </c>
      <c r="T160" s="207"/>
      <c r="U160" s="207"/>
      <c r="V160" s="207">
        <f t="shared" si="18"/>
        <v>0</v>
      </c>
      <c r="W160" s="123"/>
      <c r="X160" s="268"/>
      <c r="Y160" s="207"/>
      <c r="Z160" s="265">
        <v>790.34422106422016</v>
      </c>
      <c r="AA160" s="207">
        <v>0</v>
      </c>
      <c r="AB160" s="207"/>
      <c r="AC160" s="207"/>
      <c r="AD160" s="207">
        <v>0</v>
      </c>
    </row>
    <row r="161" spans="1:30" s="216" customFormat="1" ht="23.1" hidden="1" customHeight="1" outlineLevel="3">
      <c r="A161" s="223"/>
      <c r="B161" s="225" t="s">
        <v>562</v>
      </c>
      <c r="C161" s="223" t="s">
        <v>557</v>
      </c>
      <c r="D161" s="261" t="s">
        <v>247</v>
      </c>
      <c r="E161" s="207">
        <v>1459.24</v>
      </c>
      <c r="F161" s="205">
        <v>948.40547757798174</v>
      </c>
      <c r="G161" s="205">
        <v>1383951.2091008942</v>
      </c>
      <c r="H161" s="207">
        <v>1459.24</v>
      </c>
      <c r="I161" s="207"/>
      <c r="J161" s="207">
        <v>1459152.4456</v>
      </c>
      <c r="K161" s="123"/>
      <c r="L161" s="265">
        <v>948.40547757798174</v>
      </c>
      <c r="M161" s="205">
        <f t="shared" si="21"/>
        <v>0</v>
      </c>
      <c r="N161" s="207"/>
      <c r="O161" s="207"/>
      <c r="P161" s="207">
        <f t="shared" si="20"/>
        <v>0</v>
      </c>
      <c r="Q161" s="123"/>
      <c r="R161" s="265">
        <v>948.40547757798174</v>
      </c>
      <c r="S161" s="207">
        <f t="shared" si="19"/>
        <v>0</v>
      </c>
      <c r="T161" s="207"/>
      <c r="U161" s="207"/>
      <c r="V161" s="207">
        <f t="shared" si="18"/>
        <v>0</v>
      </c>
      <c r="W161" s="123"/>
      <c r="X161" s="268"/>
      <c r="Y161" s="207"/>
      <c r="Z161" s="265">
        <v>948.40547757798174</v>
      </c>
      <c r="AA161" s="207">
        <v>0</v>
      </c>
      <c r="AB161" s="207"/>
      <c r="AC161" s="207"/>
      <c r="AD161" s="207">
        <v>0</v>
      </c>
    </row>
    <row r="162" spans="1:30" s="216" customFormat="1" ht="23.1" hidden="1" customHeight="1" outlineLevel="3">
      <c r="A162" s="223"/>
      <c r="B162" s="225" t="s">
        <v>564</v>
      </c>
      <c r="C162" s="223" t="s">
        <v>576</v>
      </c>
      <c r="D162" s="261" t="s">
        <v>247</v>
      </c>
      <c r="E162" s="207">
        <v>58.35</v>
      </c>
      <c r="F162" s="205">
        <v>721.89369071559634</v>
      </c>
      <c r="G162" s="205">
        <v>42122.496853255048</v>
      </c>
      <c r="H162" s="207">
        <v>58.35</v>
      </c>
      <c r="I162" s="207"/>
      <c r="J162" s="207">
        <v>44411.351999999999</v>
      </c>
      <c r="K162" s="123"/>
      <c r="L162" s="265">
        <v>721.89369071559634</v>
      </c>
      <c r="M162" s="205">
        <f t="shared" si="21"/>
        <v>0</v>
      </c>
      <c r="N162" s="207"/>
      <c r="O162" s="207"/>
      <c r="P162" s="207">
        <f t="shared" si="20"/>
        <v>0</v>
      </c>
      <c r="Q162" s="123"/>
      <c r="R162" s="265">
        <v>721.89369071559634</v>
      </c>
      <c r="S162" s="207">
        <f t="shared" si="19"/>
        <v>0</v>
      </c>
      <c r="T162" s="207"/>
      <c r="U162" s="207"/>
      <c r="V162" s="207">
        <f t="shared" si="18"/>
        <v>0</v>
      </c>
      <c r="W162" s="123"/>
      <c r="X162" s="268"/>
      <c r="Y162" s="207"/>
      <c r="Z162" s="265">
        <v>721.89369071559634</v>
      </c>
      <c r="AA162" s="207">
        <v>0</v>
      </c>
      <c r="AB162" s="207"/>
      <c r="AC162" s="207"/>
      <c r="AD162" s="207">
        <v>0</v>
      </c>
    </row>
    <row r="163" spans="1:30" s="215" customFormat="1" ht="23.1" hidden="1" customHeight="1" outlineLevel="2" collapsed="1">
      <c r="A163" s="220">
        <v>4.9000000000000004</v>
      </c>
      <c r="B163" s="220" t="s">
        <v>453</v>
      </c>
      <c r="C163" s="220"/>
      <c r="D163" s="220"/>
      <c r="E163" s="229"/>
      <c r="F163" s="222">
        <v>0</v>
      </c>
      <c r="G163" s="222">
        <v>0</v>
      </c>
      <c r="H163" s="229"/>
      <c r="I163" s="229"/>
      <c r="J163" s="229">
        <v>0</v>
      </c>
      <c r="K163" s="137"/>
      <c r="L163" s="266">
        <v>0</v>
      </c>
      <c r="M163" s="205">
        <f t="shared" si="21"/>
        <v>0</v>
      </c>
      <c r="N163" s="229"/>
      <c r="O163" s="229"/>
      <c r="P163" s="207">
        <f t="shared" si="20"/>
        <v>0</v>
      </c>
      <c r="Q163" s="137"/>
      <c r="R163" s="266">
        <v>0</v>
      </c>
      <c r="S163" s="207">
        <f t="shared" si="19"/>
        <v>0</v>
      </c>
      <c r="T163" s="229"/>
      <c r="U163" s="229"/>
      <c r="V163" s="207">
        <f t="shared" si="18"/>
        <v>0</v>
      </c>
      <c r="W163" s="137"/>
      <c r="X163" s="269"/>
      <c r="Y163" s="229"/>
      <c r="Z163" s="266">
        <v>0</v>
      </c>
      <c r="AA163" s="207">
        <v>0</v>
      </c>
      <c r="AB163" s="229"/>
      <c r="AC163" s="229"/>
      <c r="AD163" s="207">
        <v>0</v>
      </c>
    </row>
    <row r="164" spans="1:30" s="216" customFormat="1" ht="23.1" hidden="1" customHeight="1" outlineLevel="3">
      <c r="A164" s="223"/>
      <c r="B164" s="225" t="s">
        <v>455</v>
      </c>
      <c r="C164" s="223" t="s">
        <v>514</v>
      </c>
      <c r="D164" s="261" t="s">
        <v>247</v>
      </c>
      <c r="E164" s="207">
        <v>108</v>
      </c>
      <c r="F164" s="205">
        <v>285.81913981651377</v>
      </c>
      <c r="G164" s="205">
        <v>30868.467100183487</v>
      </c>
      <c r="H164" s="207">
        <v>108</v>
      </c>
      <c r="I164" s="207"/>
      <c r="J164" s="207">
        <v>32545.800000000003</v>
      </c>
      <c r="K164" s="123"/>
      <c r="L164" s="265">
        <v>285.81913981651377</v>
      </c>
      <c r="M164" s="205">
        <f t="shared" si="21"/>
        <v>0</v>
      </c>
      <c r="N164" s="207"/>
      <c r="O164" s="207"/>
      <c r="P164" s="207">
        <f t="shared" si="20"/>
        <v>0</v>
      </c>
      <c r="Q164" s="123"/>
      <c r="R164" s="265">
        <v>285.81913981651377</v>
      </c>
      <c r="S164" s="207">
        <f t="shared" si="19"/>
        <v>0</v>
      </c>
      <c r="T164" s="207"/>
      <c r="U164" s="207"/>
      <c r="V164" s="207">
        <f t="shared" si="18"/>
        <v>0</v>
      </c>
      <c r="W164" s="123"/>
      <c r="X164" s="268"/>
      <c r="Y164" s="207"/>
      <c r="Z164" s="265">
        <v>285.81913981651377</v>
      </c>
      <c r="AA164" s="207">
        <v>0</v>
      </c>
      <c r="AB164" s="207"/>
      <c r="AC164" s="207"/>
      <c r="AD164" s="207">
        <v>0</v>
      </c>
    </row>
    <row r="165" spans="1:30" s="216" customFormat="1" ht="23.1" hidden="1" customHeight="1" outlineLevel="3">
      <c r="A165" s="223"/>
      <c r="B165" s="225" t="s">
        <v>568</v>
      </c>
      <c r="C165" s="223" t="s">
        <v>569</v>
      </c>
      <c r="D165" s="261" t="s">
        <v>247</v>
      </c>
      <c r="E165" s="207">
        <v>935.72</v>
      </c>
      <c r="F165" s="205">
        <v>270.06517959633027</v>
      </c>
      <c r="G165" s="205">
        <v>252705.38985187816</v>
      </c>
      <c r="H165" s="207">
        <v>935.72</v>
      </c>
      <c r="I165" s="207"/>
      <c r="J165" s="207">
        <v>266436.91279999999</v>
      </c>
      <c r="K165" s="123"/>
      <c r="L165" s="265">
        <v>270.06517959633027</v>
      </c>
      <c r="M165" s="205">
        <f t="shared" si="21"/>
        <v>0</v>
      </c>
      <c r="N165" s="207"/>
      <c r="O165" s="207"/>
      <c r="P165" s="207">
        <f t="shared" si="20"/>
        <v>0</v>
      </c>
      <c r="Q165" s="123"/>
      <c r="R165" s="265">
        <v>270.06517959633027</v>
      </c>
      <c r="S165" s="207">
        <f t="shared" si="19"/>
        <v>0</v>
      </c>
      <c r="T165" s="207"/>
      <c r="U165" s="207"/>
      <c r="V165" s="207">
        <f t="shared" si="18"/>
        <v>0</v>
      </c>
      <c r="W165" s="123"/>
      <c r="X165" s="268"/>
      <c r="Y165" s="207"/>
      <c r="Z165" s="265">
        <v>270.06517959633027</v>
      </c>
      <c r="AA165" s="207">
        <v>0</v>
      </c>
      <c r="AB165" s="207"/>
      <c r="AC165" s="207"/>
      <c r="AD165" s="207">
        <v>0</v>
      </c>
    </row>
    <row r="166" spans="1:30" s="215" customFormat="1" ht="23.1" hidden="1" customHeight="1" outlineLevel="2">
      <c r="A166" s="266">
        <v>4.0999999999999996</v>
      </c>
      <c r="B166" s="224" t="s">
        <v>376</v>
      </c>
      <c r="C166" s="220"/>
      <c r="D166" s="259" t="s">
        <v>143</v>
      </c>
      <c r="E166" s="229">
        <v>1</v>
      </c>
      <c r="F166" s="222">
        <v>-9052.4854212110076</v>
      </c>
      <c r="G166" s="222">
        <v>-9052.4854212110076</v>
      </c>
      <c r="H166" s="229">
        <v>1</v>
      </c>
      <c r="I166" s="229"/>
      <c r="J166" s="229">
        <v>0</v>
      </c>
      <c r="K166" s="137">
        <v>1</v>
      </c>
      <c r="L166" s="264">
        <v>-9052.4854212110076</v>
      </c>
      <c r="M166" s="205">
        <f t="shared" si="21"/>
        <v>-9052.4854212110076</v>
      </c>
      <c r="N166" s="229"/>
      <c r="O166" s="229"/>
      <c r="P166" s="207">
        <f t="shared" si="20"/>
        <v>0</v>
      </c>
      <c r="Q166" s="137">
        <v>1</v>
      </c>
      <c r="R166" s="264">
        <v>-9052.4854212110076</v>
      </c>
      <c r="S166" s="207">
        <f t="shared" si="19"/>
        <v>-9052.4854212110076</v>
      </c>
      <c r="T166" s="229"/>
      <c r="U166" s="229"/>
      <c r="V166" s="207">
        <f t="shared" si="18"/>
        <v>0</v>
      </c>
      <c r="W166" s="137"/>
      <c r="X166" s="269"/>
      <c r="Y166" s="229"/>
      <c r="Z166" s="264">
        <v>-9052.4854212110076</v>
      </c>
      <c r="AA166" s="207">
        <v>0</v>
      </c>
      <c r="AB166" s="229"/>
      <c r="AC166" s="229"/>
      <c r="AD166" s="207">
        <v>0</v>
      </c>
    </row>
    <row r="167" spans="1:30" s="215" customFormat="1" ht="23.1" hidden="1" customHeight="1" outlineLevel="2">
      <c r="A167" s="220">
        <v>4.1100000000000003</v>
      </c>
      <c r="B167" s="224" t="s">
        <v>377</v>
      </c>
      <c r="C167" s="220"/>
      <c r="D167" s="259" t="s">
        <v>143</v>
      </c>
      <c r="E167" s="229">
        <v>1</v>
      </c>
      <c r="F167" s="222">
        <v>-155211.92375427522</v>
      </c>
      <c r="G167" s="222">
        <v>-155211.92375427522</v>
      </c>
      <c r="H167" s="229">
        <v>1</v>
      </c>
      <c r="I167" s="229"/>
      <c r="J167" s="229">
        <v>0</v>
      </c>
      <c r="K167" s="137">
        <v>1</v>
      </c>
      <c r="L167" s="264">
        <v>-155211.92375427522</v>
      </c>
      <c r="M167" s="205">
        <f t="shared" si="21"/>
        <v>-155211.92375427522</v>
      </c>
      <c r="N167" s="229"/>
      <c r="O167" s="229"/>
      <c r="P167" s="207">
        <f t="shared" si="20"/>
        <v>0</v>
      </c>
      <c r="Q167" s="137">
        <v>1</v>
      </c>
      <c r="R167" s="264">
        <v>-155211.92375427522</v>
      </c>
      <c r="S167" s="207">
        <f t="shared" si="19"/>
        <v>-155211.92375427522</v>
      </c>
      <c r="T167" s="229"/>
      <c r="U167" s="229"/>
      <c r="V167" s="207">
        <f t="shared" si="18"/>
        <v>0</v>
      </c>
      <c r="W167" s="137"/>
      <c r="X167" s="269"/>
      <c r="Y167" s="229"/>
      <c r="Z167" s="264">
        <v>-155211.92375427522</v>
      </c>
      <c r="AA167" s="207">
        <v>0</v>
      </c>
      <c r="AB167" s="229"/>
      <c r="AC167" s="229"/>
      <c r="AD167" s="207">
        <v>0</v>
      </c>
    </row>
    <row r="168" spans="1:30" s="215" customFormat="1" ht="23.1" customHeight="1" collapsed="1">
      <c r="A168" s="220" t="s">
        <v>233</v>
      </c>
      <c r="B168" s="224" t="s">
        <v>577</v>
      </c>
      <c r="C168" s="220"/>
      <c r="D168" s="259"/>
      <c r="E168" s="229"/>
      <c r="F168" s="222"/>
      <c r="G168" s="222">
        <v>287365.75493714208</v>
      </c>
      <c r="H168" s="229"/>
      <c r="I168" s="229"/>
      <c r="J168" s="229">
        <v>322864.04519999993</v>
      </c>
      <c r="K168" s="137"/>
      <c r="L168" s="264"/>
      <c r="M168" s="222">
        <f t="shared" si="21"/>
        <v>0</v>
      </c>
      <c r="N168" s="229"/>
      <c r="O168" s="229"/>
      <c r="P168" s="229">
        <f t="shared" si="20"/>
        <v>0</v>
      </c>
      <c r="Q168" s="137"/>
      <c r="R168" s="264"/>
      <c r="S168" s="229">
        <f t="shared" si="19"/>
        <v>0</v>
      </c>
      <c r="T168" s="229"/>
      <c r="U168" s="229"/>
      <c r="V168" s="229">
        <f t="shared" ref="V168:V231" si="22">+U168*T168</f>
        <v>0</v>
      </c>
      <c r="W168" s="137"/>
      <c r="X168" s="271"/>
      <c r="Y168" s="229"/>
      <c r="Z168" s="264"/>
      <c r="AA168" s="229">
        <v>0</v>
      </c>
      <c r="AB168" s="229"/>
      <c r="AC168" s="229"/>
      <c r="AD168" s="229">
        <v>0</v>
      </c>
    </row>
    <row r="169" spans="1:30" s="216" customFormat="1" ht="23.1" hidden="1" customHeight="1" outlineLevel="1" collapsed="1">
      <c r="A169" s="223">
        <v>1</v>
      </c>
      <c r="B169" s="225" t="s">
        <v>578</v>
      </c>
      <c r="C169" s="223"/>
      <c r="D169" s="261"/>
      <c r="E169" s="207"/>
      <c r="F169" s="205">
        <v>0</v>
      </c>
      <c r="G169" s="205"/>
      <c r="H169" s="207"/>
      <c r="I169" s="207"/>
      <c r="J169" s="207"/>
      <c r="K169" s="123"/>
      <c r="L169" s="265">
        <v>0</v>
      </c>
      <c r="M169" s="205">
        <f t="shared" si="21"/>
        <v>0</v>
      </c>
      <c r="N169" s="207"/>
      <c r="O169" s="207"/>
      <c r="P169" s="207">
        <f t="shared" si="20"/>
        <v>0</v>
      </c>
      <c r="Q169" s="123"/>
      <c r="R169" s="265">
        <v>0</v>
      </c>
      <c r="S169" s="207">
        <f t="shared" si="19"/>
        <v>0</v>
      </c>
      <c r="T169" s="207"/>
      <c r="U169" s="207"/>
      <c r="V169" s="207">
        <f t="shared" si="22"/>
        <v>0</v>
      </c>
      <c r="W169" s="123"/>
      <c r="X169" s="268"/>
      <c r="Y169" s="207"/>
      <c r="Z169" s="265">
        <v>0</v>
      </c>
      <c r="AA169" s="207">
        <v>0</v>
      </c>
      <c r="AB169" s="207"/>
      <c r="AC169" s="207"/>
      <c r="AD169" s="207">
        <v>0</v>
      </c>
    </row>
    <row r="170" spans="1:30" s="216" customFormat="1" ht="23.1" hidden="1" customHeight="1" outlineLevel="2">
      <c r="A170" s="223"/>
      <c r="B170" s="225" t="s">
        <v>579</v>
      </c>
      <c r="C170" s="223" t="s">
        <v>580</v>
      </c>
      <c r="D170" s="261" t="s">
        <v>406</v>
      </c>
      <c r="E170" s="207">
        <v>1</v>
      </c>
      <c r="F170" s="205">
        <v>6618.4084632660552</v>
      </c>
      <c r="G170" s="205">
        <v>6618.4084632660552</v>
      </c>
      <c r="H170" s="207">
        <v>1</v>
      </c>
      <c r="I170" s="207"/>
      <c r="J170" s="207">
        <v>6978.04</v>
      </c>
      <c r="K170" s="123"/>
      <c r="L170" s="265">
        <v>6618.4084632660552</v>
      </c>
      <c r="M170" s="205">
        <f t="shared" si="21"/>
        <v>0</v>
      </c>
      <c r="N170" s="207"/>
      <c r="O170" s="207"/>
      <c r="P170" s="207">
        <f t="shared" si="20"/>
        <v>0</v>
      </c>
      <c r="Q170" s="123"/>
      <c r="R170" s="265">
        <v>6618.4084632660552</v>
      </c>
      <c r="S170" s="207">
        <f t="shared" si="19"/>
        <v>0</v>
      </c>
      <c r="T170" s="207"/>
      <c r="U170" s="207"/>
      <c r="V170" s="207">
        <f t="shared" si="22"/>
        <v>0</v>
      </c>
      <c r="W170" s="123"/>
      <c r="X170" s="268"/>
      <c r="Y170" s="207"/>
      <c r="Z170" s="265">
        <v>6618.4084632660552</v>
      </c>
      <c r="AA170" s="207">
        <v>0</v>
      </c>
      <c r="AB170" s="207"/>
      <c r="AC170" s="207"/>
      <c r="AD170" s="207">
        <v>0</v>
      </c>
    </row>
    <row r="171" spans="1:30" s="216" customFormat="1" ht="23.1" hidden="1" customHeight="1" outlineLevel="2">
      <c r="A171" s="223"/>
      <c r="B171" s="225" t="s">
        <v>581</v>
      </c>
      <c r="C171" s="223" t="s">
        <v>582</v>
      </c>
      <c r="D171" s="261" t="s">
        <v>406</v>
      </c>
      <c r="E171" s="207">
        <v>1</v>
      </c>
      <c r="F171" s="205">
        <v>7586.447112220183</v>
      </c>
      <c r="G171" s="205">
        <v>7586.447112220183</v>
      </c>
      <c r="H171" s="207">
        <v>1</v>
      </c>
      <c r="I171" s="207"/>
      <c r="J171" s="207">
        <v>7998.68</v>
      </c>
      <c r="K171" s="123"/>
      <c r="L171" s="265">
        <v>7586.447112220183</v>
      </c>
      <c r="M171" s="205">
        <f t="shared" si="21"/>
        <v>0</v>
      </c>
      <c r="N171" s="207"/>
      <c r="O171" s="207"/>
      <c r="P171" s="207">
        <f t="shared" si="20"/>
        <v>0</v>
      </c>
      <c r="Q171" s="123"/>
      <c r="R171" s="265">
        <v>7586.447112220183</v>
      </c>
      <c r="S171" s="207">
        <f t="shared" si="19"/>
        <v>0</v>
      </c>
      <c r="T171" s="207"/>
      <c r="U171" s="207"/>
      <c r="V171" s="207">
        <f t="shared" si="22"/>
        <v>0</v>
      </c>
      <c r="W171" s="123"/>
      <c r="X171" s="268"/>
      <c r="Y171" s="207"/>
      <c r="Z171" s="265">
        <v>7586.447112220183</v>
      </c>
      <c r="AA171" s="207">
        <v>0</v>
      </c>
      <c r="AB171" s="207"/>
      <c r="AC171" s="207"/>
      <c r="AD171" s="207">
        <v>0</v>
      </c>
    </row>
    <row r="172" spans="1:30" s="216" customFormat="1" ht="23.1" hidden="1" customHeight="1" outlineLevel="2">
      <c r="A172" s="223"/>
      <c r="B172" s="225" t="s">
        <v>583</v>
      </c>
      <c r="C172" s="223" t="s">
        <v>584</v>
      </c>
      <c r="D172" s="261" t="s">
        <v>406</v>
      </c>
      <c r="E172" s="207">
        <v>3</v>
      </c>
      <c r="F172" s="205">
        <v>2983.2177097981653</v>
      </c>
      <c r="G172" s="205">
        <v>8949.6531293944954</v>
      </c>
      <c r="H172" s="207">
        <v>3</v>
      </c>
      <c r="I172" s="207"/>
      <c r="J172" s="207">
        <v>9435.9600000000009</v>
      </c>
      <c r="K172" s="123"/>
      <c r="L172" s="265">
        <v>2983.2177097981653</v>
      </c>
      <c r="M172" s="205">
        <f t="shared" si="21"/>
        <v>0</v>
      </c>
      <c r="N172" s="207"/>
      <c r="O172" s="207"/>
      <c r="P172" s="207">
        <f t="shared" si="20"/>
        <v>0</v>
      </c>
      <c r="Q172" s="123"/>
      <c r="R172" s="265">
        <v>2983.2177097981653</v>
      </c>
      <c r="S172" s="207">
        <f t="shared" si="19"/>
        <v>0</v>
      </c>
      <c r="T172" s="207"/>
      <c r="U172" s="207"/>
      <c r="V172" s="207">
        <f t="shared" si="22"/>
        <v>0</v>
      </c>
      <c r="W172" s="123"/>
      <c r="X172" s="268"/>
      <c r="Y172" s="207"/>
      <c r="Z172" s="265">
        <v>2983.2177097981653</v>
      </c>
      <c r="AA172" s="207">
        <v>0</v>
      </c>
      <c r="AB172" s="207"/>
      <c r="AC172" s="207"/>
      <c r="AD172" s="207">
        <v>0</v>
      </c>
    </row>
    <row r="173" spans="1:30" s="216" customFormat="1" ht="23.1" hidden="1" customHeight="1" outlineLevel="2">
      <c r="A173" s="223"/>
      <c r="B173" s="225" t="s">
        <v>585</v>
      </c>
      <c r="C173" s="223" t="s">
        <v>586</v>
      </c>
      <c r="D173" s="261" t="s">
        <v>406</v>
      </c>
      <c r="E173" s="207">
        <v>1</v>
      </c>
      <c r="F173" s="205">
        <v>3847.7411740183488</v>
      </c>
      <c r="G173" s="205">
        <v>3847.7411740183488</v>
      </c>
      <c r="H173" s="207">
        <v>1</v>
      </c>
      <c r="I173" s="207"/>
      <c r="J173" s="207">
        <v>4056.82</v>
      </c>
      <c r="K173" s="123"/>
      <c r="L173" s="265">
        <v>3847.7411740183488</v>
      </c>
      <c r="M173" s="205">
        <f t="shared" si="21"/>
        <v>0</v>
      </c>
      <c r="N173" s="207"/>
      <c r="O173" s="207"/>
      <c r="P173" s="207">
        <f t="shared" si="20"/>
        <v>0</v>
      </c>
      <c r="Q173" s="123"/>
      <c r="R173" s="265">
        <v>3847.7411740183488</v>
      </c>
      <c r="S173" s="207">
        <f t="shared" ref="S173:S236" si="23">+R173*Q173</f>
        <v>0</v>
      </c>
      <c r="T173" s="207"/>
      <c r="U173" s="207"/>
      <c r="V173" s="207">
        <f t="shared" si="22"/>
        <v>0</v>
      </c>
      <c r="W173" s="123"/>
      <c r="X173" s="268"/>
      <c r="Y173" s="207"/>
      <c r="Z173" s="265">
        <v>3847.7411740183488</v>
      </c>
      <c r="AA173" s="207">
        <v>0</v>
      </c>
      <c r="AB173" s="207"/>
      <c r="AC173" s="207"/>
      <c r="AD173" s="207">
        <v>0</v>
      </c>
    </row>
    <row r="174" spans="1:30" s="216" customFormat="1" ht="23.1" hidden="1" customHeight="1" outlineLevel="2">
      <c r="A174" s="223"/>
      <c r="B174" s="225" t="s">
        <v>587</v>
      </c>
      <c r="C174" s="223" t="s">
        <v>588</v>
      </c>
      <c r="D174" s="261" t="s">
        <v>406</v>
      </c>
      <c r="E174" s="207">
        <v>3</v>
      </c>
      <c r="F174" s="205">
        <v>1793.096593321101</v>
      </c>
      <c r="G174" s="205">
        <v>5379.2897799633029</v>
      </c>
      <c r="H174" s="207">
        <v>3</v>
      </c>
      <c r="I174" s="207"/>
      <c r="J174" s="207">
        <v>5671.59</v>
      </c>
      <c r="K174" s="123"/>
      <c r="L174" s="265">
        <v>1793.096593321101</v>
      </c>
      <c r="M174" s="205">
        <f t="shared" si="21"/>
        <v>0</v>
      </c>
      <c r="N174" s="207"/>
      <c r="O174" s="207"/>
      <c r="P174" s="207">
        <f t="shared" si="20"/>
        <v>0</v>
      </c>
      <c r="Q174" s="123"/>
      <c r="R174" s="265">
        <v>1793.096593321101</v>
      </c>
      <c r="S174" s="207">
        <f t="shared" si="23"/>
        <v>0</v>
      </c>
      <c r="T174" s="207"/>
      <c r="U174" s="207"/>
      <c r="V174" s="207">
        <f t="shared" si="22"/>
        <v>0</v>
      </c>
      <c r="W174" s="123"/>
      <c r="X174" s="268"/>
      <c r="Y174" s="207"/>
      <c r="Z174" s="265">
        <v>1793.096593321101</v>
      </c>
      <c r="AA174" s="207">
        <v>0</v>
      </c>
      <c r="AB174" s="207"/>
      <c r="AC174" s="207"/>
      <c r="AD174" s="207">
        <v>0</v>
      </c>
    </row>
    <row r="175" spans="1:30" s="216" customFormat="1" ht="23.1" hidden="1" customHeight="1" outlineLevel="2">
      <c r="A175" s="223"/>
      <c r="B175" s="225" t="s">
        <v>589</v>
      </c>
      <c r="C175" s="223" t="s">
        <v>590</v>
      </c>
      <c r="D175" s="261" t="s">
        <v>406</v>
      </c>
      <c r="E175" s="207">
        <v>2</v>
      </c>
      <c r="F175" s="205">
        <v>2469.5494511559632</v>
      </c>
      <c r="G175" s="205">
        <v>4939.0989023119264</v>
      </c>
      <c r="H175" s="207">
        <v>2</v>
      </c>
      <c r="I175" s="207"/>
      <c r="J175" s="207">
        <v>5207.4799999999996</v>
      </c>
      <c r="K175" s="123"/>
      <c r="L175" s="265">
        <v>2469.5494511559632</v>
      </c>
      <c r="M175" s="205">
        <f t="shared" si="21"/>
        <v>0</v>
      </c>
      <c r="N175" s="207"/>
      <c r="O175" s="207"/>
      <c r="P175" s="207">
        <f t="shared" si="20"/>
        <v>0</v>
      </c>
      <c r="Q175" s="123"/>
      <c r="R175" s="265">
        <v>2469.5494511559632</v>
      </c>
      <c r="S175" s="207">
        <f t="shared" si="23"/>
        <v>0</v>
      </c>
      <c r="T175" s="207"/>
      <c r="U175" s="207"/>
      <c r="V175" s="207">
        <f t="shared" si="22"/>
        <v>0</v>
      </c>
      <c r="W175" s="123"/>
      <c r="X175" s="268"/>
      <c r="Y175" s="207"/>
      <c r="Z175" s="265">
        <v>2469.5494511559632</v>
      </c>
      <c r="AA175" s="207">
        <v>0</v>
      </c>
      <c r="AB175" s="207"/>
      <c r="AC175" s="207"/>
      <c r="AD175" s="207">
        <v>0</v>
      </c>
    </row>
    <row r="176" spans="1:30" s="216" customFormat="1" ht="23.1" hidden="1" customHeight="1" outlineLevel="2">
      <c r="A176" s="223"/>
      <c r="B176" s="225" t="s">
        <v>591</v>
      </c>
      <c r="C176" s="223" t="s">
        <v>592</v>
      </c>
      <c r="D176" s="261" t="s">
        <v>406</v>
      </c>
      <c r="E176" s="207">
        <v>1</v>
      </c>
      <c r="F176" s="205">
        <v>114.59322539449541</v>
      </c>
      <c r="G176" s="205">
        <v>114.59322539449541</v>
      </c>
      <c r="H176" s="207">
        <v>1</v>
      </c>
      <c r="I176" s="207"/>
      <c r="J176" s="207">
        <v>120.82</v>
      </c>
      <c r="K176" s="123"/>
      <c r="L176" s="265">
        <v>114.59322539449541</v>
      </c>
      <c r="M176" s="205">
        <f t="shared" si="21"/>
        <v>0</v>
      </c>
      <c r="N176" s="207"/>
      <c r="O176" s="207"/>
      <c r="P176" s="207">
        <f t="shared" si="20"/>
        <v>0</v>
      </c>
      <c r="Q176" s="123"/>
      <c r="R176" s="265">
        <v>114.59322539449541</v>
      </c>
      <c r="S176" s="207">
        <f t="shared" si="23"/>
        <v>0</v>
      </c>
      <c r="T176" s="207"/>
      <c r="U176" s="207"/>
      <c r="V176" s="207">
        <f t="shared" si="22"/>
        <v>0</v>
      </c>
      <c r="W176" s="123"/>
      <c r="X176" s="268"/>
      <c r="Y176" s="207"/>
      <c r="Z176" s="265">
        <v>114.59322539449541</v>
      </c>
      <c r="AA176" s="207">
        <v>0</v>
      </c>
      <c r="AB176" s="207"/>
      <c r="AC176" s="207"/>
      <c r="AD176" s="207">
        <v>0</v>
      </c>
    </row>
    <row r="177" spans="1:30" s="216" customFormat="1" ht="23.1" hidden="1" customHeight="1" outlineLevel="2">
      <c r="A177" s="223"/>
      <c r="B177" s="225" t="s">
        <v>593</v>
      </c>
      <c r="C177" s="223" t="s">
        <v>594</v>
      </c>
      <c r="D177" s="261" t="s">
        <v>406</v>
      </c>
      <c r="E177" s="207">
        <v>64</v>
      </c>
      <c r="F177" s="205">
        <v>16.598091743119266</v>
      </c>
      <c r="G177" s="205">
        <v>1062.277871559633</v>
      </c>
      <c r="H177" s="207">
        <v>64</v>
      </c>
      <c r="I177" s="207"/>
      <c r="J177" s="207">
        <v>1120</v>
      </c>
      <c r="K177" s="123"/>
      <c r="L177" s="265">
        <v>16.598091743119266</v>
      </c>
      <c r="M177" s="205">
        <f t="shared" si="21"/>
        <v>0</v>
      </c>
      <c r="N177" s="207"/>
      <c r="O177" s="207"/>
      <c r="P177" s="207">
        <f t="shared" si="20"/>
        <v>0</v>
      </c>
      <c r="Q177" s="123"/>
      <c r="R177" s="265">
        <v>16.598091743119266</v>
      </c>
      <c r="S177" s="207">
        <f t="shared" si="23"/>
        <v>0</v>
      </c>
      <c r="T177" s="207"/>
      <c r="U177" s="207"/>
      <c r="V177" s="207">
        <f t="shared" si="22"/>
        <v>0</v>
      </c>
      <c r="W177" s="123"/>
      <c r="X177" s="268"/>
      <c r="Y177" s="207"/>
      <c r="Z177" s="265">
        <v>16.598091743119266</v>
      </c>
      <c r="AA177" s="207">
        <v>0</v>
      </c>
      <c r="AB177" s="207"/>
      <c r="AC177" s="207"/>
      <c r="AD177" s="207">
        <v>0</v>
      </c>
    </row>
    <row r="178" spans="1:30" s="216" customFormat="1" ht="23.1" hidden="1" customHeight="1" outlineLevel="2">
      <c r="A178" s="223"/>
      <c r="B178" s="225" t="s">
        <v>595</v>
      </c>
      <c r="C178" s="223" t="s">
        <v>596</v>
      </c>
      <c r="D178" s="261" t="s">
        <v>406</v>
      </c>
      <c r="E178" s="207">
        <v>3</v>
      </c>
      <c r="F178" s="205">
        <v>403.03960601834859</v>
      </c>
      <c r="G178" s="205">
        <v>1209.1188180550457</v>
      </c>
      <c r="H178" s="207">
        <v>3</v>
      </c>
      <c r="I178" s="207"/>
      <c r="J178" s="207">
        <v>1274.82</v>
      </c>
      <c r="K178" s="123"/>
      <c r="L178" s="265">
        <v>403.03960601834859</v>
      </c>
      <c r="M178" s="205">
        <f t="shared" si="21"/>
        <v>0</v>
      </c>
      <c r="N178" s="207"/>
      <c r="O178" s="207"/>
      <c r="P178" s="207">
        <f t="shared" ref="P178:P241" si="24">+O178*N178</f>
        <v>0</v>
      </c>
      <c r="Q178" s="123"/>
      <c r="R178" s="265">
        <v>403.03960601834859</v>
      </c>
      <c r="S178" s="207">
        <f t="shared" si="23"/>
        <v>0</v>
      </c>
      <c r="T178" s="207"/>
      <c r="U178" s="207"/>
      <c r="V178" s="207">
        <f t="shared" si="22"/>
        <v>0</v>
      </c>
      <c r="W178" s="123"/>
      <c r="X178" s="268"/>
      <c r="Y178" s="207"/>
      <c r="Z178" s="265">
        <v>403.03960601834859</v>
      </c>
      <c r="AA178" s="207">
        <v>0</v>
      </c>
      <c r="AB178" s="207"/>
      <c r="AC178" s="207"/>
      <c r="AD178" s="207">
        <v>0</v>
      </c>
    </row>
    <row r="179" spans="1:30" s="216" customFormat="1" ht="23.1" hidden="1" customHeight="1" outlineLevel="2">
      <c r="A179" s="223"/>
      <c r="B179" s="225" t="s">
        <v>597</v>
      </c>
      <c r="C179" s="223" t="s">
        <v>598</v>
      </c>
      <c r="D179" s="261" t="s">
        <v>406</v>
      </c>
      <c r="E179" s="207">
        <v>1</v>
      </c>
      <c r="F179" s="205">
        <v>1793.096593321101</v>
      </c>
      <c r="G179" s="205">
        <v>1793.096593321101</v>
      </c>
      <c r="H179" s="207">
        <v>1</v>
      </c>
      <c r="I179" s="207"/>
      <c r="J179" s="207">
        <v>1890.53</v>
      </c>
      <c r="K179" s="123"/>
      <c r="L179" s="265">
        <v>1793.096593321101</v>
      </c>
      <c r="M179" s="205">
        <f t="shared" si="21"/>
        <v>0</v>
      </c>
      <c r="N179" s="207"/>
      <c r="O179" s="207"/>
      <c r="P179" s="207">
        <f t="shared" si="24"/>
        <v>0</v>
      </c>
      <c r="Q179" s="123"/>
      <c r="R179" s="265">
        <v>1793.096593321101</v>
      </c>
      <c r="S179" s="207">
        <f t="shared" si="23"/>
        <v>0</v>
      </c>
      <c r="T179" s="207"/>
      <c r="U179" s="207"/>
      <c r="V179" s="207">
        <f t="shared" si="22"/>
        <v>0</v>
      </c>
      <c r="W179" s="123"/>
      <c r="X179" s="268"/>
      <c r="Y179" s="207"/>
      <c r="Z179" s="265">
        <v>1793.096593321101</v>
      </c>
      <c r="AA179" s="207">
        <v>0</v>
      </c>
      <c r="AB179" s="207"/>
      <c r="AC179" s="207"/>
      <c r="AD179" s="207">
        <v>0</v>
      </c>
    </row>
    <row r="180" spans="1:30" s="216" customFormat="1" ht="23.1" hidden="1" customHeight="1" outlineLevel="2">
      <c r="A180" s="223"/>
      <c r="B180" s="225" t="s">
        <v>599</v>
      </c>
      <c r="C180" s="223" t="s">
        <v>600</v>
      </c>
      <c r="D180" s="261" t="s">
        <v>406</v>
      </c>
      <c r="E180" s="207">
        <v>1</v>
      </c>
      <c r="F180" s="205">
        <v>4148.8400428623845</v>
      </c>
      <c r="G180" s="205">
        <v>4148.8400428623845</v>
      </c>
      <c r="H180" s="207">
        <v>1</v>
      </c>
      <c r="I180" s="207"/>
      <c r="J180" s="207">
        <v>4374.28</v>
      </c>
      <c r="K180" s="123"/>
      <c r="L180" s="265">
        <v>4148.8400428623845</v>
      </c>
      <c r="M180" s="205">
        <f t="shared" si="21"/>
        <v>0</v>
      </c>
      <c r="N180" s="207"/>
      <c r="O180" s="207"/>
      <c r="P180" s="207">
        <f t="shared" si="24"/>
        <v>0</v>
      </c>
      <c r="Q180" s="123"/>
      <c r="R180" s="265">
        <v>4148.8400428623845</v>
      </c>
      <c r="S180" s="207">
        <f t="shared" si="23"/>
        <v>0</v>
      </c>
      <c r="T180" s="207"/>
      <c r="U180" s="207"/>
      <c r="V180" s="207">
        <f t="shared" si="22"/>
        <v>0</v>
      </c>
      <c r="W180" s="123"/>
      <c r="X180" s="268"/>
      <c r="Y180" s="207"/>
      <c r="Z180" s="265">
        <v>4148.8400428623845</v>
      </c>
      <c r="AA180" s="207">
        <v>0</v>
      </c>
      <c r="AB180" s="207"/>
      <c r="AC180" s="207"/>
      <c r="AD180" s="207">
        <v>0</v>
      </c>
    </row>
    <row r="181" spans="1:30" s="216" customFormat="1" ht="23.1" hidden="1" customHeight="1" outlineLevel="2">
      <c r="A181" s="223"/>
      <c r="B181" s="225" t="s">
        <v>601</v>
      </c>
      <c r="C181" s="223" t="s">
        <v>602</v>
      </c>
      <c r="D181" s="261" t="s">
        <v>406</v>
      </c>
      <c r="E181" s="207">
        <v>1</v>
      </c>
      <c r="F181" s="205">
        <v>948.28217746788994</v>
      </c>
      <c r="G181" s="205">
        <v>948.28217746788994</v>
      </c>
      <c r="H181" s="207">
        <v>1</v>
      </c>
      <c r="I181" s="207"/>
      <c r="J181" s="207">
        <v>999.81</v>
      </c>
      <c r="K181" s="123"/>
      <c r="L181" s="265">
        <v>948.28217746788994</v>
      </c>
      <c r="M181" s="205">
        <f t="shared" si="21"/>
        <v>0</v>
      </c>
      <c r="N181" s="207"/>
      <c r="O181" s="207"/>
      <c r="P181" s="207">
        <f t="shared" si="24"/>
        <v>0</v>
      </c>
      <c r="Q181" s="123"/>
      <c r="R181" s="265">
        <v>948.28217746788994</v>
      </c>
      <c r="S181" s="207">
        <f t="shared" si="23"/>
        <v>0</v>
      </c>
      <c r="T181" s="207"/>
      <c r="U181" s="207"/>
      <c r="V181" s="207">
        <f t="shared" si="22"/>
        <v>0</v>
      </c>
      <c r="W181" s="123"/>
      <c r="X181" s="268"/>
      <c r="Y181" s="207"/>
      <c r="Z181" s="265">
        <v>948.28217746788994</v>
      </c>
      <c r="AA181" s="207">
        <v>0</v>
      </c>
      <c r="AB181" s="207"/>
      <c r="AC181" s="207"/>
      <c r="AD181" s="207">
        <v>0</v>
      </c>
    </row>
    <row r="182" spans="1:30" s="216" customFormat="1" ht="23.1" hidden="1" customHeight="1" outlineLevel="2">
      <c r="A182" s="223"/>
      <c r="B182" s="225" t="s">
        <v>376</v>
      </c>
      <c r="C182" s="223"/>
      <c r="D182" s="261" t="s">
        <v>143</v>
      </c>
      <c r="E182" s="207">
        <v>1</v>
      </c>
      <c r="F182" s="205">
        <v>0</v>
      </c>
      <c r="G182" s="205">
        <v>0</v>
      </c>
      <c r="H182" s="207">
        <v>1</v>
      </c>
      <c r="I182" s="207"/>
      <c r="J182" s="207">
        <v>0</v>
      </c>
      <c r="K182" s="123"/>
      <c r="L182" s="265">
        <v>0</v>
      </c>
      <c r="M182" s="205">
        <f t="shared" si="21"/>
        <v>0</v>
      </c>
      <c r="N182" s="207"/>
      <c r="O182" s="207"/>
      <c r="P182" s="207">
        <f t="shared" si="24"/>
        <v>0</v>
      </c>
      <c r="Q182" s="123"/>
      <c r="R182" s="265">
        <v>0</v>
      </c>
      <c r="S182" s="207">
        <f t="shared" si="23"/>
        <v>0</v>
      </c>
      <c r="T182" s="207"/>
      <c r="U182" s="207"/>
      <c r="V182" s="207">
        <f t="shared" si="22"/>
        <v>0</v>
      </c>
      <c r="W182" s="123"/>
      <c r="X182" s="268"/>
      <c r="Y182" s="207"/>
      <c r="Z182" s="265">
        <v>0</v>
      </c>
      <c r="AA182" s="207">
        <v>0</v>
      </c>
      <c r="AB182" s="207"/>
      <c r="AC182" s="207"/>
      <c r="AD182" s="207">
        <v>0</v>
      </c>
    </row>
    <row r="183" spans="1:30" s="216" customFormat="1" ht="23.1" hidden="1" customHeight="1" outlineLevel="2">
      <c r="A183" s="223"/>
      <c r="B183" s="225" t="s">
        <v>377</v>
      </c>
      <c r="C183" s="223"/>
      <c r="D183" s="261" t="s">
        <v>143</v>
      </c>
      <c r="E183" s="207">
        <v>1</v>
      </c>
      <c r="F183" s="205">
        <v>-2218.7380579816518</v>
      </c>
      <c r="G183" s="205">
        <v>-2218.7380579816518</v>
      </c>
      <c r="H183" s="207">
        <v>1</v>
      </c>
      <c r="I183" s="207"/>
      <c r="J183" s="207">
        <v>0</v>
      </c>
      <c r="K183" s="123">
        <v>1</v>
      </c>
      <c r="L183" s="265">
        <v>-2218.7380579816518</v>
      </c>
      <c r="M183" s="205">
        <f t="shared" si="21"/>
        <v>-2218.7380579816518</v>
      </c>
      <c r="N183" s="207"/>
      <c r="O183" s="207"/>
      <c r="P183" s="207">
        <f t="shared" si="24"/>
        <v>0</v>
      </c>
      <c r="Q183" s="123">
        <v>1</v>
      </c>
      <c r="R183" s="265">
        <v>-2218.7380579816518</v>
      </c>
      <c r="S183" s="207">
        <f t="shared" si="23"/>
        <v>-2218.7380579816518</v>
      </c>
      <c r="T183" s="207"/>
      <c r="U183" s="207"/>
      <c r="V183" s="207">
        <f t="shared" si="22"/>
        <v>0</v>
      </c>
      <c r="W183" s="123"/>
      <c r="X183" s="268"/>
      <c r="Y183" s="207"/>
      <c r="Z183" s="265">
        <v>-2218.7380579816518</v>
      </c>
      <c r="AA183" s="207">
        <v>0</v>
      </c>
      <c r="AB183" s="207"/>
      <c r="AC183" s="207"/>
      <c r="AD183" s="207">
        <v>0</v>
      </c>
    </row>
    <row r="184" spans="1:30" s="216" customFormat="1" ht="23.1" hidden="1" customHeight="1" outlineLevel="1" collapsed="1">
      <c r="A184" s="223">
        <v>2</v>
      </c>
      <c r="B184" s="225" t="s">
        <v>603</v>
      </c>
      <c r="C184" s="223"/>
      <c r="D184" s="261"/>
      <c r="E184" s="207"/>
      <c r="F184" s="205">
        <v>0</v>
      </c>
      <c r="G184" s="205">
        <v>0</v>
      </c>
      <c r="H184" s="207"/>
      <c r="I184" s="207"/>
      <c r="J184" s="207">
        <v>0</v>
      </c>
      <c r="K184" s="123"/>
      <c r="L184" s="265">
        <v>0</v>
      </c>
      <c r="M184" s="205">
        <f t="shared" si="21"/>
        <v>0</v>
      </c>
      <c r="N184" s="207"/>
      <c r="O184" s="207"/>
      <c r="P184" s="207">
        <f t="shared" si="24"/>
        <v>0</v>
      </c>
      <c r="Q184" s="123"/>
      <c r="R184" s="265">
        <v>0</v>
      </c>
      <c r="S184" s="207">
        <f t="shared" si="23"/>
        <v>0</v>
      </c>
      <c r="T184" s="207"/>
      <c r="U184" s="207"/>
      <c r="V184" s="207">
        <f t="shared" si="22"/>
        <v>0</v>
      </c>
      <c r="W184" s="123"/>
      <c r="X184" s="268"/>
      <c r="Y184" s="207"/>
      <c r="Z184" s="265">
        <v>0</v>
      </c>
      <c r="AA184" s="207">
        <v>0</v>
      </c>
      <c r="AB184" s="207"/>
      <c r="AC184" s="207"/>
      <c r="AD184" s="207">
        <v>0</v>
      </c>
    </row>
    <row r="185" spans="1:30" s="216" customFormat="1" ht="23.1" hidden="1" customHeight="1" outlineLevel="2">
      <c r="A185" s="223"/>
      <c r="B185" s="225" t="s">
        <v>604</v>
      </c>
      <c r="C185" s="223" t="s">
        <v>605</v>
      </c>
      <c r="D185" s="261" t="s">
        <v>606</v>
      </c>
      <c r="E185" s="207">
        <v>72</v>
      </c>
      <c r="F185" s="205">
        <v>276.59060080733946</v>
      </c>
      <c r="G185" s="205">
        <v>19914.52325812844</v>
      </c>
      <c r="H185" s="207">
        <v>72</v>
      </c>
      <c r="I185" s="207"/>
      <c r="J185" s="207">
        <v>20996.639999999999</v>
      </c>
      <c r="K185" s="123"/>
      <c r="L185" s="265">
        <v>276.59060080733946</v>
      </c>
      <c r="M185" s="205">
        <f t="shared" si="21"/>
        <v>0</v>
      </c>
      <c r="N185" s="207"/>
      <c r="O185" s="207"/>
      <c r="P185" s="207">
        <f t="shared" si="24"/>
        <v>0</v>
      </c>
      <c r="Q185" s="123"/>
      <c r="R185" s="265">
        <v>276.59060080733946</v>
      </c>
      <c r="S185" s="207">
        <f t="shared" si="23"/>
        <v>0</v>
      </c>
      <c r="T185" s="207"/>
      <c r="U185" s="207"/>
      <c r="V185" s="207">
        <f t="shared" si="22"/>
        <v>0</v>
      </c>
      <c r="W185" s="123"/>
      <c r="X185" s="268"/>
      <c r="Y185" s="207"/>
      <c r="Z185" s="265">
        <v>276.59060080733946</v>
      </c>
      <c r="AA185" s="207">
        <v>0</v>
      </c>
      <c r="AB185" s="207"/>
      <c r="AC185" s="207"/>
      <c r="AD185" s="207">
        <v>0</v>
      </c>
    </row>
    <row r="186" spans="1:30" s="216" customFormat="1" ht="23.1" hidden="1" customHeight="1" outlineLevel="2">
      <c r="A186" s="223"/>
      <c r="B186" s="225" t="s">
        <v>607</v>
      </c>
      <c r="C186" s="223" t="s">
        <v>608</v>
      </c>
      <c r="D186" s="261" t="s">
        <v>606</v>
      </c>
      <c r="E186" s="207">
        <v>72</v>
      </c>
      <c r="F186" s="205">
        <v>101.15351339449542</v>
      </c>
      <c r="G186" s="205">
        <v>7283.0529644036706</v>
      </c>
      <c r="H186" s="207">
        <v>72</v>
      </c>
      <c r="I186" s="207"/>
      <c r="J186" s="207">
        <v>7678.8</v>
      </c>
      <c r="K186" s="123"/>
      <c r="L186" s="265">
        <v>101.15351339449542</v>
      </c>
      <c r="M186" s="205">
        <f t="shared" si="21"/>
        <v>0</v>
      </c>
      <c r="N186" s="207"/>
      <c r="O186" s="207"/>
      <c r="P186" s="207">
        <f t="shared" si="24"/>
        <v>0</v>
      </c>
      <c r="Q186" s="123"/>
      <c r="R186" s="265">
        <v>101.15351339449542</v>
      </c>
      <c r="S186" s="207">
        <f t="shared" si="23"/>
        <v>0</v>
      </c>
      <c r="T186" s="207"/>
      <c r="U186" s="207"/>
      <c r="V186" s="207">
        <f t="shared" si="22"/>
        <v>0</v>
      </c>
      <c r="W186" s="123"/>
      <c r="X186" s="268"/>
      <c r="Y186" s="207"/>
      <c r="Z186" s="265">
        <v>101.15351339449542</v>
      </c>
      <c r="AA186" s="207">
        <v>0</v>
      </c>
      <c r="AB186" s="207"/>
      <c r="AC186" s="207"/>
      <c r="AD186" s="207">
        <v>0</v>
      </c>
    </row>
    <row r="187" spans="1:30" s="216" customFormat="1" ht="23.1" hidden="1" customHeight="1" outlineLevel="2">
      <c r="A187" s="223"/>
      <c r="B187" s="225" t="s">
        <v>609</v>
      </c>
      <c r="C187" s="223" t="s">
        <v>610</v>
      </c>
      <c r="D187" s="261" t="s">
        <v>606</v>
      </c>
      <c r="E187" s="207">
        <v>2</v>
      </c>
      <c r="F187" s="205">
        <v>840.0626193027523</v>
      </c>
      <c r="G187" s="205">
        <v>1680.1252386055046</v>
      </c>
      <c r="H187" s="207">
        <v>2</v>
      </c>
      <c r="I187" s="207"/>
      <c r="J187" s="207">
        <v>1771.42</v>
      </c>
      <c r="K187" s="123"/>
      <c r="L187" s="265">
        <v>840.0626193027523</v>
      </c>
      <c r="M187" s="205">
        <f t="shared" ref="M187:M250" si="25">+L187*K187</f>
        <v>0</v>
      </c>
      <c r="N187" s="207"/>
      <c r="O187" s="207"/>
      <c r="P187" s="207">
        <f t="shared" si="24"/>
        <v>0</v>
      </c>
      <c r="Q187" s="123"/>
      <c r="R187" s="265">
        <v>840.0626193027523</v>
      </c>
      <c r="S187" s="207">
        <f t="shared" si="23"/>
        <v>0</v>
      </c>
      <c r="T187" s="207"/>
      <c r="U187" s="207"/>
      <c r="V187" s="207">
        <f t="shared" si="22"/>
        <v>0</v>
      </c>
      <c r="W187" s="123"/>
      <c r="X187" s="268"/>
      <c r="Y187" s="207"/>
      <c r="Z187" s="265">
        <v>840.0626193027523</v>
      </c>
      <c r="AA187" s="207">
        <v>0</v>
      </c>
      <c r="AB187" s="207"/>
      <c r="AC187" s="207"/>
      <c r="AD187" s="207">
        <v>0</v>
      </c>
    </row>
    <row r="188" spans="1:30" s="216" customFormat="1" ht="23.1" hidden="1" customHeight="1" outlineLevel="2">
      <c r="A188" s="223"/>
      <c r="B188" s="225" t="s">
        <v>611</v>
      </c>
      <c r="C188" s="223" t="s">
        <v>612</v>
      </c>
      <c r="D188" s="261" t="s">
        <v>606</v>
      </c>
      <c r="E188" s="207">
        <v>392</v>
      </c>
      <c r="F188" s="205">
        <v>35.567339449541279</v>
      </c>
      <c r="G188" s="205">
        <v>13942.397064220182</v>
      </c>
      <c r="H188" s="207">
        <v>392</v>
      </c>
      <c r="I188" s="207"/>
      <c r="J188" s="207">
        <v>14700</v>
      </c>
      <c r="K188" s="123"/>
      <c r="L188" s="265">
        <v>35.567339449541279</v>
      </c>
      <c r="M188" s="205">
        <f t="shared" si="25"/>
        <v>0</v>
      </c>
      <c r="N188" s="207"/>
      <c r="O188" s="207"/>
      <c r="P188" s="207">
        <f t="shared" si="24"/>
        <v>0</v>
      </c>
      <c r="Q188" s="123"/>
      <c r="R188" s="265">
        <v>35.567339449541279</v>
      </c>
      <c r="S188" s="207">
        <f t="shared" si="23"/>
        <v>0</v>
      </c>
      <c r="T188" s="207"/>
      <c r="U188" s="207"/>
      <c r="V188" s="207">
        <f t="shared" si="22"/>
        <v>0</v>
      </c>
      <c r="W188" s="123"/>
      <c r="X188" s="268"/>
      <c r="Y188" s="207"/>
      <c r="Z188" s="265">
        <v>35.567339449541279</v>
      </c>
      <c r="AA188" s="207">
        <v>0</v>
      </c>
      <c r="AB188" s="207"/>
      <c r="AC188" s="207"/>
      <c r="AD188" s="207">
        <v>0</v>
      </c>
    </row>
    <row r="189" spans="1:30" s="216" customFormat="1" ht="23.1" hidden="1" customHeight="1" outlineLevel="2">
      <c r="A189" s="223"/>
      <c r="B189" s="225" t="s">
        <v>613</v>
      </c>
      <c r="C189" s="223" t="s">
        <v>614</v>
      </c>
      <c r="D189" s="261" t="s">
        <v>606</v>
      </c>
      <c r="E189" s="207">
        <v>132</v>
      </c>
      <c r="F189" s="205">
        <v>16.598091743119266</v>
      </c>
      <c r="G189" s="205">
        <v>2190.9481100917433</v>
      </c>
      <c r="H189" s="207">
        <v>132</v>
      </c>
      <c r="I189" s="207"/>
      <c r="J189" s="207">
        <v>2310</v>
      </c>
      <c r="K189" s="123"/>
      <c r="L189" s="265">
        <v>16.598091743119266</v>
      </c>
      <c r="M189" s="205">
        <f t="shared" si="25"/>
        <v>0</v>
      </c>
      <c r="N189" s="207"/>
      <c r="O189" s="207"/>
      <c r="P189" s="207">
        <f t="shared" si="24"/>
        <v>0</v>
      </c>
      <c r="Q189" s="123"/>
      <c r="R189" s="265">
        <v>16.598091743119266</v>
      </c>
      <c r="S189" s="207">
        <f t="shared" si="23"/>
        <v>0</v>
      </c>
      <c r="T189" s="207"/>
      <c r="U189" s="207"/>
      <c r="V189" s="207">
        <f t="shared" si="22"/>
        <v>0</v>
      </c>
      <c r="W189" s="123"/>
      <c r="X189" s="268"/>
      <c r="Y189" s="207"/>
      <c r="Z189" s="265">
        <v>16.598091743119266</v>
      </c>
      <c r="AA189" s="207">
        <v>0</v>
      </c>
      <c r="AB189" s="207"/>
      <c r="AC189" s="207"/>
      <c r="AD189" s="207">
        <v>0</v>
      </c>
    </row>
    <row r="190" spans="1:30" s="216" customFormat="1" ht="23.1" hidden="1" customHeight="1" outlineLevel="2">
      <c r="A190" s="223"/>
      <c r="B190" s="225" t="s">
        <v>615</v>
      </c>
      <c r="C190" s="223" t="s">
        <v>616</v>
      </c>
      <c r="D190" s="261" t="s">
        <v>606</v>
      </c>
      <c r="E190" s="207">
        <v>140</v>
      </c>
      <c r="F190" s="205">
        <v>10.281332256880734</v>
      </c>
      <c r="G190" s="205">
        <v>1439.3865159633028</v>
      </c>
      <c r="H190" s="207">
        <v>140</v>
      </c>
      <c r="I190" s="207"/>
      <c r="J190" s="207">
        <v>1517.6</v>
      </c>
      <c r="K190" s="123"/>
      <c r="L190" s="265">
        <v>10.281332256880734</v>
      </c>
      <c r="M190" s="205">
        <f t="shared" si="25"/>
        <v>0</v>
      </c>
      <c r="N190" s="207"/>
      <c r="O190" s="207"/>
      <c r="P190" s="207">
        <f t="shared" si="24"/>
        <v>0</v>
      </c>
      <c r="Q190" s="123"/>
      <c r="R190" s="265">
        <v>10.281332256880734</v>
      </c>
      <c r="S190" s="207">
        <f t="shared" si="23"/>
        <v>0</v>
      </c>
      <c r="T190" s="207"/>
      <c r="U190" s="207"/>
      <c r="V190" s="207">
        <f t="shared" si="22"/>
        <v>0</v>
      </c>
      <c r="W190" s="123"/>
      <c r="X190" s="268"/>
      <c r="Y190" s="207"/>
      <c r="Z190" s="265">
        <v>10.281332256880734</v>
      </c>
      <c r="AA190" s="207">
        <v>0</v>
      </c>
      <c r="AB190" s="207"/>
      <c r="AC190" s="207"/>
      <c r="AD190" s="207">
        <v>0</v>
      </c>
    </row>
    <row r="191" spans="1:30" s="216" customFormat="1" ht="23.1" hidden="1" customHeight="1" outlineLevel="2">
      <c r="A191" s="223"/>
      <c r="B191" s="225" t="s">
        <v>617</v>
      </c>
      <c r="C191" s="223" t="s">
        <v>618</v>
      </c>
      <c r="D191" s="261" t="s">
        <v>606</v>
      </c>
      <c r="E191" s="207">
        <v>137</v>
      </c>
      <c r="F191" s="205">
        <v>73.477380990825694</v>
      </c>
      <c r="G191" s="205">
        <v>10066.401195743119</v>
      </c>
      <c r="H191" s="207">
        <v>137</v>
      </c>
      <c r="I191" s="207"/>
      <c r="J191" s="207">
        <v>10613.39</v>
      </c>
      <c r="K191" s="123"/>
      <c r="L191" s="265">
        <v>73.477380990825694</v>
      </c>
      <c r="M191" s="205">
        <f t="shared" si="25"/>
        <v>0</v>
      </c>
      <c r="N191" s="207"/>
      <c r="O191" s="207"/>
      <c r="P191" s="207">
        <f t="shared" si="24"/>
        <v>0</v>
      </c>
      <c r="Q191" s="123"/>
      <c r="R191" s="265">
        <v>73.477380990825694</v>
      </c>
      <c r="S191" s="207">
        <f t="shared" si="23"/>
        <v>0</v>
      </c>
      <c r="T191" s="207"/>
      <c r="U191" s="207"/>
      <c r="V191" s="207">
        <f t="shared" si="22"/>
        <v>0</v>
      </c>
      <c r="W191" s="123"/>
      <c r="X191" s="268"/>
      <c r="Y191" s="207"/>
      <c r="Z191" s="265">
        <v>73.477380990825694</v>
      </c>
      <c r="AA191" s="207">
        <v>0</v>
      </c>
      <c r="AB191" s="207"/>
      <c r="AC191" s="207"/>
      <c r="AD191" s="207">
        <v>0</v>
      </c>
    </row>
    <row r="192" spans="1:30" s="216" customFormat="1" ht="23.1" hidden="1" customHeight="1" outlineLevel="2">
      <c r="A192" s="223"/>
      <c r="B192" s="225" t="s">
        <v>619</v>
      </c>
      <c r="C192" s="223" t="s">
        <v>620</v>
      </c>
      <c r="D192" s="261" t="s">
        <v>606</v>
      </c>
      <c r="E192" s="207">
        <v>72</v>
      </c>
      <c r="F192" s="205">
        <v>109.07317431192661</v>
      </c>
      <c r="G192" s="205">
        <v>7853.2685504587153</v>
      </c>
      <c r="H192" s="207">
        <v>72</v>
      </c>
      <c r="I192" s="207"/>
      <c r="J192" s="207">
        <v>8280</v>
      </c>
      <c r="K192" s="123"/>
      <c r="L192" s="265">
        <v>109.07317431192661</v>
      </c>
      <c r="M192" s="205">
        <f t="shared" si="25"/>
        <v>0</v>
      </c>
      <c r="N192" s="207"/>
      <c r="O192" s="207"/>
      <c r="P192" s="207">
        <f t="shared" si="24"/>
        <v>0</v>
      </c>
      <c r="Q192" s="123"/>
      <c r="R192" s="265">
        <v>109.07317431192661</v>
      </c>
      <c r="S192" s="207">
        <f t="shared" si="23"/>
        <v>0</v>
      </c>
      <c r="T192" s="207"/>
      <c r="U192" s="207"/>
      <c r="V192" s="207">
        <f t="shared" si="22"/>
        <v>0</v>
      </c>
      <c r="W192" s="123"/>
      <c r="X192" s="268"/>
      <c r="Y192" s="207"/>
      <c r="Z192" s="265">
        <v>109.07317431192661</v>
      </c>
      <c r="AA192" s="207">
        <v>0</v>
      </c>
      <c r="AB192" s="207"/>
      <c r="AC192" s="207"/>
      <c r="AD192" s="207">
        <v>0</v>
      </c>
    </row>
    <row r="193" spans="1:30" s="216" customFormat="1" ht="23.1" hidden="1" customHeight="1" outlineLevel="2">
      <c r="A193" s="223"/>
      <c r="B193" s="225" t="s">
        <v>621</v>
      </c>
      <c r="C193" s="223" t="s">
        <v>622</v>
      </c>
      <c r="D193" s="261" t="s">
        <v>606</v>
      </c>
      <c r="E193" s="207">
        <v>144</v>
      </c>
      <c r="F193" s="205">
        <v>11.068556036697249</v>
      </c>
      <c r="G193" s="205">
        <v>1593.8720692844038</v>
      </c>
      <c r="H193" s="207">
        <v>144</v>
      </c>
      <c r="I193" s="207"/>
      <c r="J193" s="207">
        <v>1680.48</v>
      </c>
      <c r="K193" s="123"/>
      <c r="L193" s="265">
        <v>11.068556036697249</v>
      </c>
      <c r="M193" s="205">
        <f t="shared" si="25"/>
        <v>0</v>
      </c>
      <c r="N193" s="207"/>
      <c r="O193" s="207"/>
      <c r="P193" s="207">
        <f t="shared" si="24"/>
        <v>0</v>
      </c>
      <c r="Q193" s="123"/>
      <c r="R193" s="265">
        <v>11.068556036697249</v>
      </c>
      <c r="S193" s="207">
        <f t="shared" si="23"/>
        <v>0</v>
      </c>
      <c r="T193" s="207"/>
      <c r="U193" s="207"/>
      <c r="V193" s="207">
        <f t="shared" si="22"/>
        <v>0</v>
      </c>
      <c r="W193" s="123"/>
      <c r="X193" s="268"/>
      <c r="Y193" s="207"/>
      <c r="Z193" s="265">
        <v>11.068556036697249</v>
      </c>
      <c r="AA193" s="207">
        <v>0</v>
      </c>
      <c r="AB193" s="207"/>
      <c r="AC193" s="207"/>
      <c r="AD193" s="207">
        <v>0</v>
      </c>
    </row>
    <row r="194" spans="1:30" s="216" customFormat="1" ht="23.1" hidden="1" customHeight="1" outlineLevel="2">
      <c r="A194" s="223"/>
      <c r="B194" s="225" t="s">
        <v>623</v>
      </c>
      <c r="C194" s="223" t="s">
        <v>624</v>
      </c>
      <c r="D194" s="261" t="s">
        <v>606</v>
      </c>
      <c r="E194" s="207">
        <v>72</v>
      </c>
      <c r="F194" s="205">
        <v>19.756471486238532</v>
      </c>
      <c r="G194" s="205">
        <v>1422.4659470091742</v>
      </c>
      <c r="H194" s="207">
        <v>72</v>
      </c>
      <c r="I194" s="207"/>
      <c r="J194" s="207">
        <v>1499.7599999999998</v>
      </c>
      <c r="K194" s="123"/>
      <c r="L194" s="265">
        <v>19.756471486238532</v>
      </c>
      <c r="M194" s="205">
        <f t="shared" si="25"/>
        <v>0</v>
      </c>
      <c r="N194" s="207"/>
      <c r="O194" s="207"/>
      <c r="P194" s="207">
        <f t="shared" si="24"/>
        <v>0</v>
      </c>
      <c r="Q194" s="123"/>
      <c r="R194" s="265">
        <v>19.756471486238532</v>
      </c>
      <c r="S194" s="207">
        <f t="shared" si="23"/>
        <v>0</v>
      </c>
      <c r="T194" s="207"/>
      <c r="U194" s="207"/>
      <c r="V194" s="207">
        <f t="shared" si="22"/>
        <v>0</v>
      </c>
      <c r="W194" s="123"/>
      <c r="X194" s="268"/>
      <c r="Y194" s="207"/>
      <c r="Z194" s="265">
        <v>19.756471486238532</v>
      </c>
      <c r="AA194" s="207">
        <v>0</v>
      </c>
      <c r="AB194" s="207"/>
      <c r="AC194" s="207"/>
      <c r="AD194" s="207">
        <v>0</v>
      </c>
    </row>
    <row r="195" spans="1:30" s="216" customFormat="1" ht="23.1" hidden="1" customHeight="1" outlineLevel="2">
      <c r="A195" s="223"/>
      <c r="B195" s="225" t="s">
        <v>625</v>
      </c>
      <c r="C195" s="223" t="s">
        <v>626</v>
      </c>
      <c r="D195" s="261" t="s">
        <v>606</v>
      </c>
      <c r="E195" s="207">
        <v>2</v>
      </c>
      <c r="F195" s="205">
        <v>8.6974000733944941</v>
      </c>
      <c r="G195" s="205">
        <v>17.394800146788988</v>
      </c>
      <c r="H195" s="207">
        <v>2</v>
      </c>
      <c r="I195" s="207"/>
      <c r="J195" s="207">
        <v>18.34</v>
      </c>
      <c r="K195" s="123"/>
      <c r="L195" s="265">
        <v>8.6974000733944941</v>
      </c>
      <c r="M195" s="205">
        <f t="shared" si="25"/>
        <v>0</v>
      </c>
      <c r="N195" s="207"/>
      <c r="O195" s="207"/>
      <c r="P195" s="207">
        <f t="shared" si="24"/>
        <v>0</v>
      </c>
      <c r="Q195" s="123"/>
      <c r="R195" s="265">
        <v>8.6974000733944941</v>
      </c>
      <c r="S195" s="207">
        <f t="shared" si="23"/>
        <v>0</v>
      </c>
      <c r="T195" s="207"/>
      <c r="U195" s="207"/>
      <c r="V195" s="207">
        <f t="shared" si="22"/>
        <v>0</v>
      </c>
      <c r="W195" s="123"/>
      <c r="X195" s="268"/>
      <c r="Y195" s="207"/>
      <c r="Z195" s="265">
        <v>8.6974000733944941</v>
      </c>
      <c r="AA195" s="207">
        <v>0</v>
      </c>
      <c r="AB195" s="207"/>
      <c r="AC195" s="207"/>
      <c r="AD195" s="207">
        <v>0</v>
      </c>
    </row>
    <row r="196" spans="1:30" s="216" customFormat="1" ht="23.1" hidden="1" customHeight="1" outlineLevel="2">
      <c r="A196" s="223"/>
      <c r="B196" s="225" t="s">
        <v>627</v>
      </c>
      <c r="C196" s="223" t="s">
        <v>628</v>
      </c>
      <c r="D196" s="261" t="s">
        <v>606</v>
      </c>
      <c r="E196" s="207">
        <v>4</v>
      </c>
      <c r="F196" s="205">
        <v>7.9196609174311927</v>
      </c>
      <c r="G196" s="205">
        <v>31.678643669724771</v>
      </c>
      <c r="H196" s="207">
        <v>4</v>
      </c>
      <c r="I196" s="207"/>
      <c r="J196" s="207">
        <v>33.4</v>
      </c>
      <c r="K196" s="123"/>
      <c r="L196" s="265">
        <v>7.9196609174311927</v>
      </c>
      <c r="M196" s="205">
        <f t="shared" si="25"/>
        <v>0</v>
      </c>
      <c r="N196" s="207"/>
      <c r="O196" s="207"/>
      <c r="P196" s="207">
        <f t="shared" si="24"/>
        <v>0</v>
      </c>
      <c r="Q196" s="123"/>
      <c r="R196" s="265">
        <v>7.9196609174311927</v>
      </c>
      <c r="S196" s="207">
        <f t="shared" si="23"/>
        <v>0</v>
      </c>
      <c r="T196" s="207"/>
      <c r="U196" s="207"/>
      <c r="V196" s="207">
        <f t="shared" si="22"/>
        <v>0</v>
      </c>
      <c r="W196" s="123"/>
      <c r="X196" s="268"/>
      <c r="Y196" s="207"/>
      <c r="Z196" s="265">
        <v>7.9196609174311927</v>
      </c>
      <c r="AA196" s="207">
        <v>0</v>
      </c>
      <c r="AB196" s="207"/>
      <c r="AC196" s="207"/>
      <c r="AD196" s="207">
        <v>0</v>
      </c>
    </row>
    <row r="197" spans="1:30" s="216" customFormat="1" ht="23.1" hidden="1" customHeight="1" outlineLevel="2">
      <c r="A197" s="223"/>
      <c r="B197" s="225" t="s">
        <v>629</v>
      </c>
      <c r="C197" s="223" t="s">
        <v>630</v>
      </c>
      <c r="D197" s="261" t="s">
        <v>606</v>
      </c>
      <c r="E197" s="207">
        <v>23</v>
      </c>
      <c r="F197" s="205">
        <v>11.068556036697249</v>
      </c>
      <c r="G197" s="205">
        <v>254.57678884403671</v>
      </c>
      <c r="H197" s="207">
        <v>23</v>
      </c>
      <c r="I197" s="207"/>
      <c r="J197" s="207">
        <v>268.41000000000003</v>
      </c>
      <c r="K197" s="123"/>
      <c r="L197" s="265">
        <v>11.068556036697249</v>
      </c>
      <c r="M197" s="205">
        <f t="shared" si="25"/>
        <v>0</v>
      </c>
      <c r="N197" s="207"/>
      <c r="O197" s="207"/>
      <c r="P197" s="207">
        <f t="shared" si="24"/>
        <v>0</v>
      </c>
      <c r="Q197" s="123"/>
      <c r="R197" s="265">
        <v>11.068556036697249</v>
      </c>
      <c r="S197" s="207">
        <f t="shared" si="23"/>
        <v>0</v>
      </c>
      <c r="T197" s="207"/>
      <c r="U197" s="207"/>
      <c r="V197" s="207">
        <f t="shared" si="22"/>
        <v>0</v>
      </c>
      <c r="W197" s="123"/>
      <c r="X197" s="268"/>
      <c r="Y197" s="207"/>
      <c r="Z197" s="265">
        <v>11.068556036697249</v>
      </c>
      <c r="AA197" s="207">
        <v>0</v>
      </c>
      <c r="AB197" s="207"/>
      <c r="AC197" s="207"/>
      <c r="AD197" s="207">
        <v>0</v>
      </c>
    </row>
    <row r="198" spans="1:30" s="216" customFormat="1" ht="23.1" hidden="1" customHeight="1" outlineLevel="2">
      <c r="A198" s="223"/>
      <c r="B198" s="225" t="s">
        <v>631</v>
      </c>
      <c r="C198" s="223" t="s">
        <v>632</v>
      </c>
      <c r="D198" s="261" t="s">
        <v>606</v>
      </c>
      <c r="E198" s="207">
        <v>1</v>
      </c>
      <c r="F198" s="205">
        <v>286.86244844036696</v>
      </c>
      <c r="G198" s="205">
        <v>286.86244844036696</v>
      </c>
      <c r="H198" s="207">
        <v>1</v>
      </c>
      <c r="I198" s="207"/>
      <c r="J198" s="207">
        <v>302.45</v>
      </c>
      <c r="K198" s="123"/>
      <c r="L198" s="265">
        <v>286.86244844036696</v>
      </c>
      <c r="M198" s="205">
        <f t="shared" si="25"/>
        <v>0</v>
      </c>
      <c r="N198" s="207"/>
      <c r="O198" s="207"/>
      <c r="P198" s="207">
        <f t="shared" si="24"/>
        <v>0</v>
      </c>
      <c r="Q198" s="123"/>
      <c r="R198" s="265">
        <v>286.86244844036696</v>
      </c>
      <c r="S198" s="207">
        <f t="shared" si="23"/>
        <v>0</v>
      </c>
      <c r="T198" s="207"/>
      <c r="U198" s="207"/>
      <c r="V198" s="207">
        <f t="shared" si="22"/>
        <v>0</v>
      </c>
      <c r="W198" s="123"/>
      <c r="X198" s="268"/>
      <c r="Y198" s="207"/>
      <c r="Z198" s="265">
        <v>286.86244844036696</v>
      </c>
      <c r="AA198" s="207">
        <v>0</v>
      </c>
      <c r="AB198" s="207"/>
      <c r="AC198" s="207"/>
      <c r="AD198" s="207">
        <v>0</v>
      </c>
    </row>
    <row r="199" spans="1:30" s="216" customFormat="1" ht="23.1" hidden="1" customHeight="1" outlineLevel="2">
      <c r="A199" s="223"/>
      <c r="B199" s="225" t="s">
        <v>633</v>
      </c>
      <c r="C199" s="223" t="s">
        <v>634</v>
      </c>
      <c r="D199" s="261" t="s">
        <v>606</v>
      </c>
      <c r="E199" s="207">
        <v>4</v>
      </c>
      <c r="F199" s="205">
        <v>9.4941084770642199</v>
      </c>
      <c r="G199" s="205">
        <v>37.97643390825688</v>
      </c>
      <c r="H199" s="207">
        <v>4</v>
      </c>
      <c r="I199" s="207"/>
      <c r="J199" s="207">
        <v>40.04</v>
      </c>
      <c r="K199" s="123"/>
      <c r="L199" s="265">
        <v>9.4941084770642199</v>
      </c>
      <c r="M199" s="205">
        <f t="shared" si="25"/>
        <v>0</v>
      </c>
      <c r="N199" s="207"/>
      <c r="O199" s="207"/>
      <c r="P199" s="207">
        <f t="shared" si="24"/>
        <v>0</v>
      </c>
      <c r="Q199" s="123"/>
      <c r="R199" s="265">
        <v>9.4941084770642199</v>
      </c>
      <c r="S199" s="207">
        <f t="shared" si="23"/>
        <v>0</v>
      </c>
      <c r="T199" s="207"/>
      <c r="U199" s="207"/>
      <c r="V199" s="207">
        <f t="shared" si="22"/>
        <v>0</v>
      </c>
      <c r="W199" s="123"/>
      <c r="X199" s="268"/>
      <c r="Y199" s="207"/>
      <c r="Z199" s="265">
        <v>9.4941084770642199</v>
      </c>
      <c r="AA199" s="207">
        <v>0</v>
      </c>
      <c r="AB199" s="207"/>
      <c r="AC199" s="207"/>
      <c r="AD199" s="207">
        <v>0</v>
      </c>
    </row>
    <row r="200" spans="1:30" s="216" customFormat="1" ht="23.1" hidden="1" customHeight="1" outlineLevel="2">
      <c r="A200" s="223"/>
      <c r="B200" s="225" t="s">
        <v>635</v>
      </c>
      <c r="C200" s="223" t="s">
        <v>636</v>
      </c>
      <c r="D200" s="261" t="s">
        <v>606</v>
      </c>
      <c r="E200" s="207">
        <v>4</v>
      </c>
      <c r="F200" s="205">
        <v>20.543695266055046</v>
      </c>
      <c r="G200" s="205">
        <v>82.174781064220184</v>
      </c>
      <c r="H200" s="207">
        <v>4</v>
      </c>
      <c r="I200" s="207"/>
      <c r="J200" s="207">
        <v>86.64</v>
      </c>
      <c r="K200" s="123"/>
      <c r="L200" s="265">
        <v>20.543695266055046</v>
      </c>
      <c r="M200" s="205">
        <f t="shared" si="25"/>
        <v>0</v>
      </c>
      <c r="N200" s="207"/>
      <c r="O200" s="207"/>
      <c r="P200" s="207">
        <f t="shared" si="24"/>
        <v>0</v>
      </c>
      <c r="Q200" s="123"/>
      <c r="R200" s="265">
        <v>20.543695266055046</v>
      </c>
      <c r="S200" s="207">
        <f t="shared" si="23"/>
        <v>0</v>
      </c>
      <c r="T200" s="207"/>
      <c r="U200" s="207"/>
      <c r="V200" s="207">
        <f t="shared" si="22"/>
        <v>0</v>
      </c>
      <c r="W200" s="123"/>
      <c r="X200" s="268"/>
      <c r="Y200" s="207"/>
      <c r="Z200" s="265">
        <v>20.543695266055046</v>
      </c>
      <c r="AA200" s="207">
        <v>0</v>
      </c>
      <c r="AB200" s="207"/>
      <c r="AC200" s="207"/>
      <c r="AD200" s="207">
        <v>0</v>
      </c>
    </row>
    <row r="201" spans="1:30" s="216" customFormat="1" ht="23.1" hidden="1" customHeight="1" outlineLevel="2">
      <c r="A201" s="223"/>
      <c r="B201" s="225" t="s">
        <v>637</v>
      </c>
      <c r="C201" s="223" t="s">
        <v>638</v>
      </c>
      <c r="D201" s="261" t="s">
        <v>639</v>
      </c>
      <c r="E201" s="207">
        <v>392</v>
      </c>
      <c r="F201" s="205">
        <v>74.274089394495419</v>
      </c>
      <c r="G201" s="205">
        <v>29115.443042642204</v>
      </c>
      <c r="H201" s="207">
        <v>392</v>
      </c>
      <c r="I201" s="207"/>
      <c r="J201" s="207">
        <v>30697.52</v>
      </c>
      <c r="K201" s="123"/>
      <c r="L201" s="265">
        <v>74.274089394495419</v>
      </c>
      <c r="M201" s="205">
        <f t="shared" si="25"/>
        <v>0</v>
      </c>
      <c r="N201" s="207"/>
      <c r="O201" s="207"/>
      <c r="P201" s="207">
        <f t="shared" si="24"/>
        <v>0</v>
      </c>
      <c r="Q201" s="123"/>
      <c r="R201" s="265">
        <v>74.274089394495419</v>
      </c>
      <c r="S201" s="207">
        <f t="shared" si="23"/>
        <v>0</v>
      </c>
      <c r="T201" s="207"/>
      <c r="U201" s="207"/>
      <c r="V201" s="207">
        <f t="shared" si="22"/>
        <v>0</v>
      </c>
      <c r="W201" s="123"/>
      <c r="X201" s="268"/>
      <c r="Y201" s="207"/>
      <c r="Z201" s="265">
        <v>74.274089394495419</v>
      </c>
      <c r="AA201" s="207">
        <v>0</v>
      </c>
      <c r="AB201" s="207"/>
      <c r="AC201" s="207"/>
      <c r="AD201" s="207">
        <v>0</v>
      </c>
    </row>
    <row r="202" spans="1:30" s="216" customFormat="1" ht="23.1" hidden="1" customHeight="1" outlineLevel="2">
      <c r="A202" s="223"/>
      <c r="B202" s="225" t="s">
        <v>376</v>
      </c>
      <c r="C202" s="223"/>
      <c r="D202" s="261" t="s">
        <v>143</v>
      </c>
      <c r="E202" s="207">
        <v>1</v>
      </c>
      <c r="F202" s="205">
        <v>0</v>
      </c>
      <c r="G202" s="205">
        <v>0</v>
      </c>
      <c r="H202" s="207">
        <v>1</v>
      </c>
      <c r="I202" s="207"/>
      <c r="J202" s="207">
        <v>0</v>
      </c>
      <c r="K202" s="123"/>
      <c r="L202" s="265">
        <v>0</v>
      </c>
      <c r="M202" s="205">
        <f t="shared" si="25"/>
        <v>0</v>
      </c>
      <c r="N202" s="207"/>
      <c r="O202" s="207"/>
      <c r="P202" s="207">
        <f t="shared" si="24"/>
        <v>0</v>
      </c>
      <c r="Q202" s="123"/>
      <c r="R202" s="265">
        <v>0</v>
      </c>
      <c r="S202" s="207">
        <f t="shared" si="23"/>
        <v>0</v>
      </c>
      <c r="T202" s="207"/>
      <c r="U202" s="207"/>
      <c r="V202" s="207">
        <f t="shared" si="22"/>
        <v>0</v>
      </c>
      <c r="W202" s="123"/>
      <c r="X202" s="268"/>
      <c r="Y202" s="207"/>
      <c r="Z202" s="265">
        <v>0</v>
      </c>
      <c r="AA202" s="207">
        <v>0</v>
      </c>
      <c r="AB202" s="207"/>
      <c r="AC202" s="207"/>
      <c r="AD202" s="207">
        <v>0</v>
      </c>
    </row>
    <row r="203" spans="1:30" s="216" customFormat="1" ht="23.1" hidden="1" customHeight="1" outlineLevel="2">
      <c r="A203" s="223"/>
      <c r="B203" s="225" t="s">
        <v>377</v>
      </c>
      <c r="C203" s="223"/>
      <c r="D203" s="261" t="s">
        <v>143</v>
      </c>
      <c r="E203" s="207">
        <v>1</v>
      </c>
      <c r="F203" s="205">
        <v>-4628.7525252110099</v>
      </c>
      <c r="G203" s="205">
        <v>-4628.7525252110099</v>
      </c>
      <c r="H203" s="207">
        <v>1</v>
      </c>
      <c r="I203" s="207"/>
      <c r="J203" s="207">
        <v>0</v>
      </c>
      <c r="K203" s="123">
        <v>1</v>
      </c>
      <c r="L203" s="265">
        <v>-4628.7525252110099</v>
      </c>
      <c r="M203" s="205">
        <f t="shared" si="25"/>
        <v>-4628.7525252110099</v>
      </c>
      <c r="N203" s="207">
        <v>750</v>
      </c>
      <c r="O203" s="207"/>
      <c r="P203" s="207">
        <f t="shared" si="24"/>
        <v>0</v>
      </c>
      <c r="Q203" s="123">
        <v>1</v>
      </c>
      <c r="R203" s="265">
        <v>-4628.7525252110099</v>
      </c>
      <c r="S203" s="207">
        <f t="shared" si="23"/>
        <v>-4628.7525252110099</v>
      </c>
      <c r="T203" s="207"/>
      <c r="U203" s="207"/>
      <c r="V203" s="207">
        <f t="shared" si="22"/>
        <v>0</v>
      </c>
      <c r="W203" s="123"/>
      <c r="X203" s="268"/>
      <c r="Y203" s="207"/>
      <c r="Z203" s="265">
        <v>-4628.7525252110099</v>
      </c>
      <c r="AA203" s="207">
        <v>0</v>
      </c>
      <c r="AB203" s="207"/>
      <c r="AC203" s="207"/>
      <c r="AD203" s="207">
        <v>0</v>
      </c>
    </row>
    <row r="204" spans="1:30" s="216" customFormat="1" ht="23.1" hidden="1" customHeight="1" outlineLevel="1" collapsed="1">
      <c r="A204" s="223">
        <v>3</v>
      </c>
      <c r="B204" s="225" t="s">
        <v>640</v>
      </c>
      <c r="C204" s="223"/>
      <c r="D204" s="261"/>
      <c r="E204" s="207"/>
      <c r="F204" s="205">
        <v>0</v>
      </c>
      <c r="G204" s="205">
        <v>0</v>
      </c>
      <c r="H204" s="207"/>
      <c r="I204" s="207"/>
      <c r="J204" s="207">
        <v>0</v>
      </c>
      <c r="K204" s="123"/>
      <c r="L204" s="265">
        <v>0</v>
      </c>
      <c r="M204" s="205">
        <f t="shared" si="25"/>
        <v>0</v>
      </c>
      <c r="N204" s="207"/>
      <c r="O204" s="207"/>
      <c r="P204" s="207">
        <f t="shared" si="24"/>
        <v>0</v>
      </c>
      <c r="Q204" s="123"/>
      <c r="R204" s="265">
        <v>0</v>
      </c>
      <c r="S204" s="207">
        <f t="shared" si="23"/>
        <v>0</v>
      </c>
      <c r="T204" s="207"/>
      <c r="U204" s="207"/>
      <c r="V204" s="207">
        <f t="shared" si="22"/>
        <v>0</v>
      </c>
      <c r="W204" s="123"/>
      <c r="X204" s="268"/>
      <c r="Y204" s="207"/>
      <c r="Z204" s="265">
        <v>0</v>
      </c>
      <c r="AA204" s="207">
        <v>0</v>
      </c>
      <c r="AB204" s="207"/>
      <c r="AC204" s="207"/>
      <c r="AD204" s="207">
        <v>0</v>
      </c>
    </row>
    <row r="205" spans="1:30" s="216" customFormat="1" ht="23.1" hidden="1" customHeight="1" outlineLevel="2">
      <c r="A205" s="223"/>
      <c r="B205" s="225" t="s">
        <v>641</v>
      </c>
      <c r="C205" s="223" t="s">
        <v>642</v>
      </c>
      <c r="D205" s="261" t="s">
        <v>606</v>
      </c>
      <c r="E205" s="207">
        <v>8</v>
      </c>
      <c r="F205" s="205">
        <v>1541.0237451743119</v>
      </c>
      <c r="G205" s="205">
        <v>12328.189961394495</v>
      </c>
      <c r="H205" s="207">
        <v>8</v>
      </c>
      <c r="I205" s="207"/>
      <c r="J205" s="207">
        <v>12998.08</v>
      </c>
      <c r="K205" s="123"/>
      <c r="L205" s="265">
        <v>1541.0237451743119</v>
      </c>
      <c r="M205" s="205">
        <f t="shared" si="25"/>
        <v>0</v>
      </c>
      <c r="N205" s="207"/>
      <c r="O205" s="207"/>
      <c r="P205" s="207">
        <f t="shared" si="24"/>
        <v>0</v>
      </c>
      <c r="Q205" s="123"/>
      <c r="R205" s="265">
        <v>1541.0237451743119</v>
      </c>
      <c r="S205" s="207">
        <f t="shared" si="23"/>
        <v>0</v>
      </c>
      <c r="T205" s="207"/>
      <c r="U205" s="207"/>
      <c r="V205" s="207">
        <f t="shared" si="22"/>
        <v>0</v>
      </c>
      <c r="W205" s="123"/>
      <c r="X205" s="268"/>
      <c r="Y205" s="207"/>
      <c r="Z205" s="265">
        <v>1541.0237451743119</v>
      </c>
      <c r="AA205" s="207">
        <v>0</v>
      </c>
      <c r="AB205" s="207"/>
      <c r="AC205" s="207"/>
      <c r="AD205" s="207">
        <v>0</v>
      </c>
    </row>
    <row r="206" spans="1:30" s="216" customFormat="1" ht="23.1" hidden="1" customHeight="1" outlineLevel="2">
      <c r="A206" s="223"/>
      <c r="B206" s="225" t="s">
        <v>643</v>
      </c>
      <c r="C206" s="223" t="s">
        <v>644</v>
      </c>
      <c r="D206" s="261" t="s">
        <v>606</v>
      </c>
      <c r="E206" s="207">
        <v>6</v>
      </c>
      <c r="F206" s="205">
        <v>674.08170187155974</v>
      </c>
      <c r="G206" s="205">
        <v>4044.4902112293585</v>
      </c>
      <c r="H206" s="207">
        <v>6</v>
      </c>
      <c r="I206" s="207"/>
      <c r="J206" s="207">
        <v>4264.26</v>
      </c>
      <c r="K206" s="123"/>
      <c r="L206" s="265">
        <v>674.08170187155974</v>
      </c>
      <c r="M206" s="205">
        <f t="shared" si="25"/>
        <v>0</v>
      </c>
      <c r="N206" s="207"/>
      <c r="O206" s="207"/>
      <c r="P206" s="207">
        <f t="shared" si="24"/>
        <v>0</v>
      </c>
      <c r="Q206" s="123"/>
      <c r="R206" s="265">
        <v>674.08170187155974</v>
      </c>
      <c r="S206" s="207">
        <f t="shared" si="23"/>
        <v>0</v>
      </c>
      <c r="T206" s="207"/>
      <c r="U206" s="207"/>
      <c r="V206" s="207">
        <f t="shared" si="22"/>
        <v>0</v>
      </c>
      <c r="W206" s="123"/>
      <c r="X206" s="268"/>
      <c r="Y206" s="207"/>
      <c r="Z206" s="265">
        <v>674.08170187155974</v>
      </c>
      <c r="AA206" s="207">
        <v>0</v>
      </c>
      <c r="AB206" s="207"/>
      <c r="AC206" s="207"/>
      <c r="AD206" s="207">
        <v>0</v>
      </c>
    </row>
    <row r="207" spans="1:30" s="216" customFormat="1" ht="23.1" hidden="1" customHeight="1" outlineLevel="2">
      <c r="A207" s="223"/>
      <c r="B207" s="225" t="s">
        <v>645</v>
      </c>
      <c r="C207" s="223" t="s">
        <v>646</v>
      </c>
      <c r="D207" s="261" t="s">
        <v>606</v>
      </c>
      <c r="E207" s="207">
        <v>1</v>
      </c>
      <c r="F207" s="205">
        <v>5729.3293078899078</v>
      </c>
      <c r="G207" s="205">
        <v>5729.3293078899078</v>
      </c>
      <c r="H207" s="207">
        <v>1</v>
      </c>
      <c r="I207" s="207"/>
      <c r="J207" s="207">
        <v>6040.65</v>
      </c>
      <c r="K207" s="123"/>
      <c r="L207" s="265">
        <v>5729.3293078899078</v>
      </c>
      <c r="M207" s="205">
        <f t="shared" si="25"/>
        <v>0</v>
      </c>
      <c r="N207" s="207"/>
      <c r="O207" s="207"/>
      <c r="P207" s="207">
        <f t="shared" si="24"/>
        <v>0</v>
      </c>
      <c r="Q207" s="123"/>
      <c r="R207" s="265">
        <v>5729.3293078899078</v>
      </c>
      <c r="S207" s="207">
        <f t="shared" si="23"/>
        <v>0</v>
      </c>
      <c r="T207" s="207"/>
      <c r="U207" s="207"/>
      <c r="V207" s="207">
        <f t="shared" si="22"/>
        <v>0</v>
      </c>
      <c r="W207" s="123"/>
      <c r="X207" s="268"/>
      <c r="Y207" s="207"/>
      <c r="Z207" s="265">
        <v>5729.3293078899078</v>
      </c>
      <c r="AA207" s="207">
        <v>0</v>
      </c>
      <c r="AB207" s="207"/>
      <c r="AC207" s="207"/>
      <c r="AD207" s="207">
        <v>0</v>
      </c>
    </row>
    <row r="208" spans="1:30" s="216" customFormat="1" ht="23.1" hidden="1" customHeight="1" outlineLevel="2">
      <c r="A208" s="223"/>
      <c r="B208" s="225" t="s">
        <v>647</v>
      </c>
      <c r="C208" s="223" t="s">
        <v>648</v>
      </c>
      <c r="D208" s="261" t="s">
        <v>606</v>
      </c>
      <c r="E208" s="207">
        <v>1</v>
      </c>
      <c r="F208" s="205">
        <v>3556.1364136513762</v>
      </c>
      <c r="G208" s="205">
        <v>3556.1364136513762</v>
      </c>
      <c r="H208" s="207">
        <v>1</v>
      </c>
      <c r="I208" s="207"/>
      <c r="J208" s="207">
        <v>3749.37</v>
      </c>
      <c r="K208" s="123"/>
      <c r="L208" s="265">
        <v>3556.1364136513762</v>
      </c>
      <c r="M208" s="205">
        <f t="shared" si="25"/>
        <v>0</v>
      </c>
      <c r="N208" s="207"/>
      <c r="O208" s="207"/>
      <c r="P208" s="207">
        <f t="shared" si="24"/>
        <v>0</v>
      </c>
      <c r="Q208" s="123"/>
      <c r="R208" s="265">
        <v>3556.1364136513762</v>
      </c>
      <c r="S208" s="207">
        <f t="shared" si="23"/>
        <v>0</v>
      </c>
      <c r="T208" s="207"/>
      <c r="U208" s="207"/>
      <c r="V208" s="207">
        <f t="shared" si="22"/>
        <v>0</v>
      </c>
      <c r="W208" s="123"/>
      <c r="X208" s="268"/>
      <c r="Y208" s="207"/>
      <c r="Z208" s="265">
        <v>3556.1364136513762</v>
      </c>
      <c r="AA208" s="207">
        <v>0</v>
      </c>
      <c r="AB208" s="207"/>
      <c r="AC208" s="207"/>
      <c r="AD208" s="207">
        <v>0</v>
      </c>
    </row>
    <row r="209" spans="1:30" s="216" customFormat="1" ht="23.1" hidden="1" customHeight="1" outlineLevel="2">
      <c r="A209" s="223"/>
      <c r="B209" s="225" t="s">
        <v>649</v>
      </c>
      <c r="C209" s="223" t="s">
        <v>650</v>
      </c>
      <c r="D209" s="261" t="s">
        <v>606</v>
      </c>
      <c r="E209" s="207">
        <v>6</v>
      </c>
      <c r="F209" s="205">
        <v>1185.3693199266054</v>
      </c>
      <c r="G209" s="205">
        <v>7112.2159195596323</v>
      </c>
      <c r="H209" s="207">
        <v>6</v>
      </c>
      <c r="I209" s="207"/>
      <c r="J209" s="207">
        <v>7498.68</v>
      </c>
      <c r="K209" s="123"/>
      <c r="L209" s="265">
        <v>1185.3693199266054</v>
      </c>
      <c r="M209" s="205">
        <f t="shared" si="25"/>
        <v>0</v>
      </c>
      <c r="N209" s="207"/>
      <c r="O209" s="207"/>
      <c r="P209" s="207">
        <f t="shared" si="24"/>
        <v>0</v>
      </c>
      <c r="Q209" s="123"/>
      <c r="R209" s="265">
        <v>1185.3693199266054</v>
      </c>
      <c r="S209" s="207">
        <f t="shared" si="23"/>
        <v>0</v>
      </c>
      <c r="T209" s="207"/>
      <c r="U209" s="207"/>
      <c r="V209" s="207">
        <f t="shared" si="22"/>
        <v>0</v>
      </c>
      <c r="W209" s="123"/>
      <c r="X209" s="268"/>
      <c r="Y209" s="207"/>
      <c r="Z209" s="265">
        <v>1185.3693199266054</v>
      </c>
      <c r="AA209" s="207">
        <v>0</v>
      </c>
      <c r="AB209" s="207"/>
      <c r="AC209" s="207"/>
      <c r="AD209" s="207">
        <v>0</v>
      </c>
    </row>
    <row r="210" spans="1:30" s="216" customFormat="1" ht="23.1" hidden="1" customHeight="1" outlineLevel="2">
      <c r="A210" s="223"/>
      <c r="B210" s="225" t="s">
        <v>376</v>
      </c>
      <c r="C210" s="223"/>
      <c r="D210" s="261" t="s">
        <v>143</v>
      </c>
      <c r="E210" s="207">
        <v>1</v>
      </c>
      <c r="F210" s="205">
        <v>0</v>
      </c>
      <c r="G210" s="205">
        <v>0</v>
      </c>
      <c r="H210" s="207">
        <v>1</v>
      </c>
      <c r="I210" s="207"/>
      <c r="J210" s="207">
        <v>0</v>
      </c>
      <c r="K210" s="123"/>
      <c r="L210" s="265">
        <v>0</v>
      </c>
      <c r="M210" s="205">
        <f t="shared" si="25"/>
        <v>0</v>
      </c>
      <c r="N210" s="207"/>
      <c r="O210" s="207"/>
      <c r="P210" s="207">
        <f t="shared" si="24"/>
        <v>0</v>
      </c>
      <c r="Q210" s="123"/>
      <c r="R210" s="265">
        <v>0</v>
      </c>
      <c r="S210" s="207">
        <f t="shared" si="23"/>
        <v>0</v>
      </c>
      <c r="T210" s="207"/>
      <c r="U210" s="207"/>
      <c r="V210" s="207">
        <f t="shared" si="22"/>
        <v>0</v>
      </c>
      <c r="W210" s="123"/>
      <c r="X210" s="268"/>
      <c r="Y210" s="207"/>
      <c r="Z210" s="265">
        <v>0</v>
      </c>
      <c r="AA210" s="207">
        <v>0</v>
      </c>
      <c r="AB210" s="207"/>
      <c r="AC210" s="207"/>
      <c r="AD210" s="207">
        <v>0</v>
      </c>
    </row>
    <row r="211" spans="1:30" s="216" customFormat="1" ht="23.1" hidden="1" customHeight="1" outlineLevel="2">
      <c r="A211" s="223"/>
      <c r="B211" s="225" t="s">
        <v>377</v>
      </c>
      <c r="C211" s="223"/>
      <c r="D211" s="261" t="s">
        <v>143</v>
      </c>
      <c r="E211" s="207">
        <v>1</v>
      </c>
      <c r="F211" s="205">
        <v>-1560.4577394495411</v>
      </c>
      <c r="G211" s="205">
        <v>-1560.4577394495411</v>
      </c>
      <c r="H211" s="207">
        <v>1</v>
      </c>
      <c r="I211" s="207"/>
      <c r="J211" s="207">
        <v>0</v>
      </c>
      <c r="K211" s="123">
        <v>1</v>
      </c>
      <c r="L211" s="265">
        <v>-1560.4577394495411</v>
      </c>
      <c r="M211" s="205">
        <f t="shared" si="25"/>
        <v>-1560.4577394495411</v>
      </c>
      <c r="N211" s="207"/>
      <c r="O211" s="207"/>
      <c r="P211" s="207">
        <f t="shared" si="24"/>
        <v>0</v>
      </c>
      <c r="Q211" s="123">
        <v>1</v>
      </c>
      <c r="R211" s="265">
        <v>-1560.4577394495411</v>
      </c>
      <c r="S211" s="207">
        <f t="shared" si="23"/>
        <v>-1560.4577394495411</v>
      </c>
      <c r="T211" s="207"/>
      <c r="U211" s="207"/>
      <c r="V211" s="207">
        <f t="shared" si="22"/>
        <v>0</v>
      </c>
      <c r="W211" s="123"/>
      <c r="X211" s="268"/>
      <c r="Y211" s="207"/>
      <c r="Z211" s="265">
        <v>-1560.4577394495411</v>
      </c>
      <c r="AA211" s="207">
        <v>0</v>
      </c>
      <c r="AB211" s="207"/>
      <c r="AC211" s="207"/>
      <c r="AD211" s="207">
        <v>0</v>
      </c>
    </row>
    <row r="212" spans="1:30" s="216" customFormat="1" ht="23.1" hidden="1" customHeight="1" outlineLevel="1" collapsed="1">
      <c r="A212" s="223">
        <v>4</v>
      </c>
      <c r="B212" s="225" t="s">
        <v>651</v>
      </c>
      <c r="C212" s="223"/>
      <c r="D212" s="261"/>
      <c r="E212" s="207"/>
      <c r="F212" s="205">
        <v>0</v>
      </c>
      <c r="G212" s="205">
        <v>0</v>
      </c>
      <c r="H212" s="207"/>
      <c r="I212" s="207"/>
      <c r="J212" s="207">
        <v>0</v>
      </c>
      <c r="K212" s="123"/>
      <c r="L212" s="265">
        <v>0</v>
      </c>
      <c r="M212" s="205">
        <f t="shared" si="25"/>
        <v>0</v>
      </c>
      <c r="N212" s="207"/>
      <c r="O212" s="207"/>
      <c r="P212" s="207">
        <f t="shared" si="24"/>
        <v>0</v>
      </c>
      <c r="Q212" s="123"/>
      <c r="R212" s="265">
        <v>0</v>
      </c>
      <c r="S212" s="207">
        <f t="shared" si="23"/>
        <v>0</v>
      </c>
      <c r="T212" s="207"/>
      <c r="U212" s="207"/>
      <c r="V212" s="207">
        <f t="shared" si="22"/>
        <v>0</v>
      </c>
      <c r="W212" s="123"/>
      <c r="X212" s="268"/>
      <c r="Y212" s="207"/>
      <c r="Z212" s="265">
        <v>0</v>
      </c>
      <c r="AA212" s="207">
        <v>0</v>
      </c>
      <c r="AB212" s="207"/>
      <c r="AC212" s="207"/>
      <c r="AD212" s="207">
        <v>0</v>
      </c>
    </row>
    <row r="213" spans="1:30" s="216" customFormat="1" ht="23.1" hidden="1" customHeight="1" outlineLevel="2">
      <c r="A213" s="223"/>
      <c r="B213" s="225" t="s">
        <v>652</v>
      </c>
      <c r="C213" s="223" t="s">
        <v>653</v>
      </c>
      <c r="D213" s="261" t="s">
        <v>247</v>
      </c>
      <c r="E213" s="207">
        <v>100</v>
      </c>
      <c r="F213" s="205">
        <v>51.340268917431196</v>
      </c>
      <c r="G213" s="205">
        <v>5134.0268917431194</v>
      </c>
      <c r="H213" s="207">
        <v>100</v>
      </c>
      <c r="I213" s="207"/>
      <c r="J213" s="207">
        <v>5413</v>
      </c>
      <c r="K213" s="123"/>
      <c r="L213" s="265">
        <v>51.340268917431196</v>
      </c>
      <c r="M213" s="205">
        <f t="shared" si="25"/>
        <v>0</v>
      </c>
      <c r="N213" s="207"/>
      <c r="O213" s="207"/>
      <c r="P213" s="207">
        <f t="shared" si="24"/>
        <v>0</v>
      </c>
      <c r="Q213" s="123"/>
      <c r="R213" s="265">
        <v>51.340268917431196</v>
      </c>
      <c r="S213" s="207">
        <f t="shared" si="23"/>
        <v>0</v>
      </c>
      <c r="T213" s="207"/>
      <c r="U213" s="207"/>
      <c r="V213" s="207">
        <f t="shared" si="22"/>
        <v>0</v>
      </c>
      <c r="W213" s="123"/>
      <c r="X213" s="268"/>
      <c r="Y213" s="207"/>
      <c r="Z213" s="265">
        <v>51.340268917431196</v>
      </c>
      <c r="AA213" s="207">
        <v>0</v>
      </c>
      <c r="AB213" s="207"/>
      <c r="AC213" s="207"/>
      <c r="AD213" s="207">
        <v>0</v>
      </c>
    </row>
    <row r="214" spans="1:30" s="216" customFormat="1" ht="23.1" hidden="1" customHeight="1" outlineLevel="2">
      <c r="A214" s="223"/>
      <c r="B214" s="225" t="s">
        <v>654</v>
      </c>
      <c r="C214" s="223" t="s">
        <v>655</v>
      </c>
      <c r="D214" s="261" t="s">
        <v>247</v>
      </c>
      <c r="E214" s="207">
        <v>1344</v>
      </c>
      <c r="F214" s="205">
        <v>17.755215853211009</v>
      </c>
      <c r="G214" s="205">
        <v>23863.010106715596</v>
      </c>
      <c r="H214" s="207">
        <v>1344</v>
      </c>
      <c r="I214" s="207"/>
      <c r="J214" s="207">
        <v>25159.68</v>
      </c>
      <c r="K214" s="123"/>
      <c r="L214" s="265">
        <v>17.755215853211009</v>
      </c>
      <c r="M214" s="205">
        <f t="shared" si="25"/>
        <v>0</v>
      </c>
      <c r="N214" s="207"/>
      <c r="O214" s="207"/>
      <c r="P214" s="207">
        <f t="shared" si="24"/>
        <v>0</v>
      </c>
      <c r="Q214" s="123"/>
      <c r="R214" s="265">
        <v>17.755215853211009</v>
      </c>
      <c r="S214" s="207">
        <f t="shared" si="23"/>
        <v>0</v>
      </c>
      <c r="T214" s="207"/>
      <c r="U214" s="207"/>
      <c r="V214" s="207">
        <f t="shared" si="22"/>
        <v>0</v>
      </c>
      <c r="W214" s="123"/>
      <c r="X214" s="268"/>
      <c r="Y214" s="207"/>
      <c r="Z214" s="265">
        <v>17.755215853211009</v>
      </c>
      <c r="AA214" s="207">
        <v>0</v>
      </c>
      <c r="AB214" s="207"/>
      <c r="AC214" s="207"/>
      <c r="AD214" s="207">
        <v>0</v>
      </c>
    </row>
    <row r="215" spans="1:30" s="216" customFormat="1" ht="23.1" hidden="1" customHeight="1" outlineLevel="2">
      <c r="A215" s="223"/>
      <c r="B215" s="225" t="s">
        <v>656</v>
      </c>
      <c r="C215" s="223" t="s">
        <v>657</v>
      </c>
      <c r="D215" s="261" t="s">
        <v>247</v>
      </c>
      <c r="E215" s="207">
        <v>700.16</v>
      </c>
      <c r="F215" s="205">
        <v>17.755215853211009</v>
      </c>
      <c r="G215" s="205">
        <v>12431.49193178422</v>
      </c>
      <c r="H215" s="207">
        <v>700.16</v>
      </c>
      <c r="I215" s="207"/>
      <c r="J215" s="207">
        <v>13106.995199999999</v>
      </c>
      <c r="K215" s="123"/>
      <c r="L215" s="265">
        <v>17.755215853211009</v>
      </c>
      <c r="M215" s="205">
        <f t="shared" si="25"/>
        <v>0</v>
      </c>
      <c r="N215" s="207"/>
      <c r="O215" s="207"/>
      <c r="P215" s="207">
        <f t="shared" si="24"/>
        <v>0</v>
      </c>
      <c r="Q215" s="123"/>
      <c r="R215" s="265">
        <v>17.755215853211009</v>
      </c>
      <c r="S215" s="207">
        <f t="shared" si="23"/>
        <v>0</v>
      </c>
      <c r="T215" s="207"/>
      <c r="U215" s="207"/>
      <c r="V215" s="207">
        <f t="shared" si="22"/>
        <v>0</v>
      </c>
      <c r="W215" s="123"/>
      <c r="X215" s="268"/>
      <c r="Y215" s="207"/>
      <c r="Z215" s="265">
        <v>17.755215853211009</v>
      </c>
      <c r="AA215" s="207">
        <v>0</v>
      </c>
      <c r="AB215" s="207"/>
      <c r="AC215" s="207"/>
      <c r="AD215" s="207">
        <v>0</v>
      </c>
    </row>
    <row r="216" spans="1:30" s="216" customFormat="1" ht="23.1" hidden="1" customHeight="1" outlineLevel="2">
      <c r="A216" s="223"/>
      <c r="B216" s="225" t="s">
        <v>658</v>
      </c>
      <c r="C216" s="223" t="s">
        <v>659</v>
      </c>
      <c r="D216" s="261" t="s">
        <v>247</v>
      </c>
      <c r="E216" s="207">
        <v>201</v>
      </c>
      <c r="F216" s="205">
        <v>18.324293284403669</v>
      </c>
      <c r="G216" s="205">
        <v>3683.1829501651378</v>
      </c>
      <c r="H216" s="207">
        <v>201</v>
      </c>
      <c r="I216" s="207"/>
      <c r="J216" s="207">
        <v>3883.32</v>
      </c>
      <c r="K216" s="123"/>
      <c r="L216" s="265">
        <v>18.324293284403669</v>
      </c>
      <c r="M216" s="205">
        <f t="shared" si="25"/>
        <v>0</v>
      </c>
      <c r="N216" s="207"/>
      <c r="O216" s="207"/>
      <c r="P216" s="207">
        <f t="shared" si="24"/>
        <v>0</v>
      </c>
      <c r="Q216" s="123"/>
      <c r="R216" s="265">
        <v>18.324293284403669</v>
      </c>
      <c r="S216" s="207">
        <f t="shared" si="23"/>
        <v>0</v>
      </c>
      <c r="T216" s="207"/>
      <c r="U216" s="207"/>
      <c r="V216" s="207">
        <f t="shared" si="22"/>
        <v>0</v>
      </c>
      <c r="W216" s="123"/>
      <c r="X216" s="268"/>
      <c r="Y216" s="207"/>
      <c r="Z216" s="265">
        <v>18.324293284403669</v>
      </c>
      <c r="AA216" s="207">
        <v>0</v>
      </c>
      <c r="AB216" s="207"/>
      <c r="AC216" s="207"/>
      <c r="AD216" s="207">
        <v>0</v>
      </c>
    </row>
    <row r="217" spans="1:30" s="216" customFormat="1" ht="23.1" hidden="1" customHeight="1" outlineLevel="2">
      <c r="A217" s="223"/>
      <c r="B217" s="225" t="s">
        <v>660</v>
      </c>
      <c r="C217" s="223" t="s">
        <v>661</v>
      </c>
      <c r="D217" s="261" t="s">
        <v>247</v>
      </c>
      <c r="E217" s="207">
        <v>90</v>
      </c>
      <c r="F217" s="205">
        <v>18.324293284403669</v>
      </c>
      <c r="G217" s="205">
        <v>1649.1863955963302</v>
      </c>
      <c r="H217" s="207">
        <v>90</v>
      </c>
      <c r="I217" s="207"/>
      <c r="J217" s="207">
        <v>1738.8</v>
      </c>
      <c r="K217" s="123"/>
      <c r="L217" s="265">
        <v>18.324293284403669</v>
      </c>
      <c r="M217" s="205">
        <f t="shared" si="25"/>
        <v>0</v>
      </c>
      <c r="N217" s="207"/>
      <c r="O217" s="207"/>
      <c r="P217" s="207">
        <f t="shared" si="24"/>
        <v>0</v>
      </c>
      <c r="Q217" s="123"/>
      <c r="R217" s="265">
        <v>18.324293284403669</v>
      </c>
      <c r="S217" s="207">
        <f t="shared" si="23"/>
        <v>0</v>
      </c>
      <c r="T217" s="207"/>
      <c r="U217" s="207"/>
      <c r="V217" s="207">
        <f t="shared" si="22"/>
        <v>0</v>
      </c>
      <c r="W217" s="123"/>
      <c r="X217" s="268"/>
      <c r="Y217" s="207"/>
      <c r="Z217" s="265">
        <v>18.324293284403669</v>
      </c>
      <c r="AA217" s="207">
        <v>0</v>
      </c>
      <c r="AB217" s="207"/>
      <c r="AC217" s="207"/>
      <c r="AD217" s="207">
        <v>0</v>
      </c>
    </row>
    <row r="218" spans="1:30" s="216" customFormat="1" ht="23.1" hidden="1" customHeight="1" outlineLevel="2">
      <c r="A218" s="223"/>
      <c r="B218" s="225" t="s">
        <v>376</v>
      </c>
      <c r="C218" s="223"/>
      <c r="D218" s="261" t="s">
        <v>143</v>
      </c>
      <c r="E218" s="207">
        <v>1</v>
      </c>
      <c r="F218" s="205">
        <v>-1818.9042548256882</v>
      </c>
      <c r="G218" s="205">
        <v>-1818.9042548256882</v>
      </c>
      <c r="H218" s="207">
        <v>1</v>
      </c>
      <c r="I218" s="207"/>
      <c r="J218" s="207">
        <v>0</v>
      </c>
      <c r="K218" s="123">
        <v>1</v>
      </c>
      <c r="L218" s="265">
        <v>-1818.9042548256882</v>
      </c>
      <c r="M218" s="205">
        <f t="shared" si="25"/>
        <v>-1818.9042548256882</v>
      </c>
      <c r="N218" s="207"/>
      <c r="O218" s="207"/>
      <c r="P218" s="207">
        <f t="shared" si="24"/>
        <v>0</v>
      </c>
      <c r="Q218" s="123">
        <v>1</v>
      </c>
      <c r="R218" s="265">
        <v>-1818.9042548256882</v>
      </c>
      <c r="S218" s="207">
        <f t="shared" si="23"/>
        <v>-1818.9042548256882</v>
      </c>
      <c r="T218" s="207"/>
      <c r="U218" s="207"/>
      <c r="V218" s="207">
        <f t="shared" si="22"/>
        <v>0</v>
      </c>
      <c r="W218" s="123"/>
      <c r="X218" s="268"/>
      <c r="Y218" s="207"/>
      <c r="Z218" s="265">
        <v>-1818.9042548256882</v>
      </c>
      <c r="AA218" s="207">
        <v>0</v>
      </c>
      <c r="AB218" s="207"/>
      <c r="AC218" s="207"/>
      <c r="AD218" s="207">
        <v>0</v>
      </c>
    </row>
    <row r="219" spans="1:30" s="216" customFormat="1" ht="23.1" hidden="1" customHeight="1" outlineLevel="2">
      <c r="A219" s="223"/>
      <c r="B219" s="225" t="s">
        <v>377</v>
      </c>
      <c r="C219" s="223"/>
      <c r="D219" s="261" t="s">
        <v>143</v>
      </c>
      <c r="E219" s="207">
        <v>1</v>
      </c>
      <c r="F219" s="205">
        <v>-2224.163262825688</v>
      </c>
      <c r="G219" s="205">
        <v>-2224.163262825688</v>
      </c>
      <c r="H219" s="207">
        <v>1</v>
      </c>
      <c r="I219" s="207"/>
      <c r="J219" s="207">
        <v>0</v>
      </c>
      <c r="K219" s="123">
        <v>1</v>
      </c>
      <c r="L219" s="265">
        <v>-2224.163262825688</v>
      </c>
      <c r="M219" s="205">
        <f t="shared" si="25"/>
        <v>-2224.163262825688</v>
      </c>
      <c r="N219" s="207"/>
      <c r="O219" s="207"/>
      <c r="P219" s="207">
        <f t="shared" si="24"/>
        <v>0</v>
      </c>
      <c r="Q219" s="123">
        <v>1</v>
      </c>
      <c r="R219" s="265">
        <v>-2224.163262825688</v>
      </c>
      <c r="S219" s="207">
        <f t="shared" si="23"/>
        <v>-2224.163262825688</v>
      </c>
      <c r="T219" s="207"/>
      <c r="U219" s="207"/>
      <c r="V219" s="207">
        <f t="shared" si="22"/>
        <v>0</v>
      </c>
      <c r="W219" s="123"/>
      <c r="X219" s="268"/>
      <c r="Y219" s="207"/>
      <c r="Z219" s="265">
        <v>-2224.163262825688</v>
      </c>
      <c r="AA219" s="207">
        <v>0</v>
      </c>
      <c r="AB219" s="207"/>
      <c r="AC219" s="207"/>
      <c r="AD219" s="207">
        <v>0</v>
      </c>
    </row>
    <row r="220" spans="1:30" s="216" customFormat="1" ht="23.1" hidden="1" customHeight="1" outlineLevel="1" collapsed="1">
      <c r="A220" s="223">
        <v>5</v>
      </c>
      <c r="B220" s="225" t="s">
        <v>662</v>
      </c>
      <c r="C220" s="223"/>
      <c r="D220" s="261"/>
      <c r="E220" s="207"/>
      <c r="F220" s="205">
        <v>0</v>
      </c>
      <c r="G220" s="205">
        <v>0</v>
      </c>
      <c r="H220" s="207"/>
      <c r="I220" s="207"/>
      <c r="J220" s="207">
        <v>0</v>
      </c>
      <c r="K220" s="123"/>
      <c r="L220" s="265">
        <v>0</v>
      </c>
      <c r="M220" s="205">
        <f t="shared" si="25"/>
        <v>0</v>
      </c>
      <c r="N220" s="207"/>
      <c r="O220" s="207"/>
      <c r="P220" s="207">
        <f t="shared" si="24"/>
        <v>0</v>
      </c>
      <c r="Q220" s="123"/>
      <c r="R220" s="265">
        <v>0</v>
      </c>
      <c r="S220" s="207">
        <f t="shared" si="23"/>
        <v>0</v>
      </c>
      <c r="T220" s="207"/>
      <c r="U220" s="207"/>
      <c r="V220" s="207">
        <f t="shared" si="22"/>
        <v>0</v>
      </c>
      <c r="W220" s="123"/>
      <c r="X220" s="268"/>
      <c r="Y220" s="207"/>
      <c r="Z220" s="265">
        <v>0</v>
      </c>
      <c r="AA220" s="207">
        <v>0</v>
      </c>
      <c r="AB220" s="207"/>
      <c r="AC220" s="207"/>
      <c r="AD220" s="207">
        <v>0</v>
      </c>
    </row>
    <row r="221" spans="1:30" s="216" customFormat="1" ht="23.1" hidden="1" customHeight="1" outlineLevel="2">
      <c r="A221" s="223"/>
      <c r="B221" s="225" t="s">
        <v>663</v>
      </c>
      <c r="C221" s="223" t="s">
        <v>664</v>
      </c>
      <c r="D221" s="261" t="s">
        <v>606</v>
      </c>
      <c r="E221" s="207">
        <v>86</v>
      </c>
      <c r="F221" s="205">
        <v>106.3131487706422</v>
      </c>
      <c r="G221" s="205">
        <v>9142.9307942752293</v>
      </c>
      <c r="H221" s="207">
        <v>86</v>
      </c>
      <c r="I221" s="207"/>
      <c r="J221" s="207">
        <v>9639.74</v>
      </c>
      <c r="K221" s="123"/>
      <c r="L221" s="265">
        <v>106.3131487706422</v>
      </c>
      <c r="M221" s="205">
        <f t="shared" si="25"/>
        <v>0</v>
      </c>
      <c r="N221" s="207"/>
      <c r="O221" s="207"/>
      <c r="P221" s="207">
        <f t="shared" si="24"/>
        <v>0</v>
      </c>
      <c r="Q221" s="123"/>
      <c r="R221" s="265">
        <v>106.3131487706422</v>
      </c>
      <c r="S221" s="207">
        <f t="shared" si="23"/>
        <v>0</v>
      </c>
      <c r="T221" s="207"/>
      <c r="U221" s="207"/>
      <c r="V221" s="207">
        <f t="shared" si="22"/>
        <v>0</v>
      </c>
      <c r="W221" s="123"/>
      <c r="X221" s="268"/>
      <c r="Y221" s="207"/>
      <c r="Z221" s="265">
        <v>106.3131487706422</v>
      </c>
      <c r="AA221" s="207">
        <v>0</v>
      </c>
      <c r="AB221" s="207"/>
      <c r="AC221" s="207"/>
      <c r="AD221" s="207">
        <v>0</v>
      </c>
    </row>
    <row r="222" spans="1:30" s="216" customFormat="1" ht="23.1" hidden="1" customHeight="1" outlineLevel="2">
      <c r="A222" s="223"/>
      <c r="B222" s="225" t="s">
        <v>665</v>
      </c>
      <c r="C222" s="223" t="s">
        <v>666</v>
      </c>
      <c r="D222" s="261" t="s">
        <v>606</v>
      </c>
      <c r="E222" s="207">
        <v>15</v>
      </c>
      <c r="F222" s="205">
        <v>82.848189357798162</v>
      </c>
      <c r="G222" s="205">
        <v>1242.7228403669724</v>
      </c>
      <c r="H222" s="207">
        <v>15</v>
      </c>
      <c r="I222" s="207"/>
      <c r="J222" s="207">
        <v>1310.25</v>
      </c>
      <c r="K222" s="123"/>
      <c r="L222" s="265">
        <v>82.848189357798162</v>
      </c>
      <c r="M222" s="205">
        <f t="shared" si="25"/>
        <v>0</v>
      </c>
      <c r="N222" s="207"/>
      <c r="O222" s="207"/>
      <c r="P222" s="207">
        <f t="shared" si="24"/>
        <v>0</v>
      </c>
      <c r="Q222" s="123"/>
      <c r="R222" s="265">
        <v>82.848189357798162</v>
      </c>
      <c r="S222" s="207">
        <f t="shared" si="23"/>
        <v>0</v>
      </c>
      <c r="T222" s="207"/>
      <c r="U222" s="207"/>
      <c r="V222" s="207">
        <f t="shared" si="22"/>
        <v>0</v>
      </c>
      <c r="W222" s="123"/>
      <c r="X222" s="268"/>
      <c r="Y222" s="207"/>
      <c r="Z222" s="265">
        <v>82.848189357798162</v>
      </c>
      <c r="AA222" s="207">
        <v>0</v>
      </c>
      <c r="AB222" s="207"/>
      <c r="AC222" s="207"/>
      <c r="AD222" s="207">
        <v>0</v>
      </c>
    </row>
    <row r="223" spans="1:30" s="216" customFormat="1" ht="23.1" hidden="1" customHeight="1" outlineLevel="2">
      <c r="A223" s="223"/>
      <c r="B223" s="225" t="s">
        <v>667</v>
      </c>
      <c r="C223" s="223" t="s">
        <v>668</v>
      </c>
      <c r="D223" s="261" t="s">
        <v>606</v>
      </c>
      <c r="E223" s="207">
        <v>22</v>
      </c>
      <c r="F223" s="205">
        <v>78.655985614678897</v>
      </c>
      <c r="G223" s="205">
        <v>1730.4316835229358</v>
      </c>
      <c r="H223" s="207">
        <v>22</v>
      </c>
      <c r="I223" s="207"/>
      <c r="J223" s="207">
        <v>1824.46</v>
      </c>
      <c r="K223" s="123"/>
      <c r="L223" s="265">
        <v>78.655985614678897</v>
      </c>
      <c r="M223" s="205">
        <f t="shared" si="25"/>
        <v>0</v>
      </c>
      <c r="N223" s="207"/>
      <c r="O223" s="207"/>
      <c r="P223" s="207">
        <f t="shared" si="24"/>
        <v>0</v>
      </c>
      <c r="Q223" s="123"/>
      <c r="R223" s="265">
        <v>78.655985614678897</v>
      </c>
      <c r="S223" s="207">
        <f t="shared" si="23"/>
        <v>0</v>
      </c>
      <c r="T223" s="207"/>
      <c r="U223" s="207"/>
      <c r="V223" s="207">
        <f t="shared" si="22"/>
        <v>0</v>
      </c>
      <c r="W223" s="123"/>
      <c r="X223" s="268"/>
      <c r="Y223" s="207"/>
      <c r="Z223" s="265">
        <v>78.655985614678897</v>
      </c>
      <c r="AA223" s="207">
        <v>0</v>
      </c>
      <c r="AB223" s="207"/>
      <c r="AC223" s="207"/>
      <c r="AD223" s="207">
        <v>0</v>
      </c>
    </row>
    <row r="224" spans="1:30" s="216" customFormat="1" ht="23.1" hidden="1" customHeight="1" outlineLevel="2">
      <c r="A224" s="223"/>
      <c r="B224" s="225" t="s">
        <v>669</v>
      </c>
      <c r="C224" s="223" t="s">
        <v>670</v>
      </c>
      <c r="D224" s="261" t="s">
        <v>606</v>
      </c>
      <c r="E224" s="207">
        <v>54</v>
      </c>
      <c r="F224" s="205">
        <v>82.848189357798162</v>
      </c>
      <c r="G224" s="205">
        <v>4473.8022253211011</v>
      </c>
      <c r="H224" s="207">
        <v>54</v>
      </c>
      <c r="I224" s="207"/>
      <c r="J224" s="207">
        <v>4716.8999999999996</v>
      </c>
      <c r="K224" s="123"/>
      <c r="L224" s="265">
        <v>82.848189357798162</v>
      </c>
      <c r="M224" s="205">
        <f t="shared" si="25"/>
        <v>0</v>
      </c>
      <c r="N224" s="207"/>
      <c r="O224" s="207"/>
      <c r="P224" s="207">
        <f t="shared" si="24"/>
        <v>0</v>
      </c>
      <c r="Q224" s="123"/>
      <c r="R224" s="265">
        <v>82.848189357798162</v>
      </c>
      <c r="S224" s="207">
        <f t="shared" si="23"/>
        <v>0</v>
      </c>
      <c r="T224" s="207"/>
      <c r="U224" s="207"/>
      <c r="V224" s="207">
        <f t="shared" si="22"/>
        <v>0</v>
      </c>
      <c r="W224" s="123"/>
      <c r="X224" s="268"/>
      <c r="Y224" s="207"/>
      <c r="Z224" s="265">
        <v>82.848189357798162</v>
      </c>
      <c r="AA224" s="207">
        <v>0</v>
      </c>
      <c r="AB224" s="207"/>
      <c r="AC224" s="207"/>
      <c r="AD224" s="207">
        <v>0</v>
      </c>
    </row>
    <row r="225" spans="1:30" s="216" customFormat="1" ht="23.1" hidden="1" customHeight="1" outlineLevel="2">
      <c r="A225" s="223"/>
      <c r="B225" s="225" t="s">
        <v>376</v>
      </c>
      <c r="C225" s="223"/>
      <c r="D225" s="261" t="s">
        <v>143</v>
      </c>
      <c r="E225" s="207">
        <v>1</v>
      </c>
      <c r="F225" s="205">
        <v>-503.63352660550458</v>
      </c>
      <c r="G225" s="205">
        <v>-503.63352660550458</v>
      </c>
      <c r="H225" s="207">
        <v>1</v>
      </c>
      <c r="I225" s="207"/>
      <c r="J225" s="207">
        <v>0</v>
      </c>
      <c r="K225" s="123">
        <v>1</v>
      </c>
      <c r="L225" s="265">
        <v>-503.63352660550458</v>
      </c>
      <c r="M225" s="205">
        <f t="shared" si="25"/>
        <v>-503.63352660550458</v>
      </c>
      <c r="N225" s="207"/>
      <c r="O225" s="207"/>
      <c r="P225" s="207">
        <f t="shared" si="24"/>
        <v>0</v>
      </c>
      <c r="Q225" s="123">
        <v>1</v>
      </c>
      <c r="R225" s="265">
        <v>-503.63352660550458</v>
      </c>
      <c r="S225" s="207">
        <f t="shared" si="23"/>
        <v>-503.63352660550458</v>
      </c>
      <c r="T225" s="207"/>
      <c r="U225" s="207"/>
      <c r="V225" s="207">
        <f t="shared" si="22"/>
        <v>0</v>
      </c>
      <c r="W225" s="123"/>
      <c r="X225" s="268"/>
      <c r="Y225" s="207"/>
      <c r="Z225" s="265">
        <v>-503.63352660550458</v>
      </c>
      <c r="AA225" s="207">
        <v>0</v>
      </c>
      <c r="AB225" s="207"/>
      <c r="AC225" s="207"/>
      <c r="AD225" s="207">
        <v>0</v>
      </c>
    </row>
    <row r="226" spans="1:30" s="216" customFormat="1" ht="23.1" hidden="1" customHeight="1" outlineLevel="2">
      <c r="A226" s="223"/>
      <c r="B226" s="225" t="s">
        <v>377</v>
      </c>
      <c r="C226" s="223"/>
      <c r="D226" s="261" t="s">
        <v>143</v>
      </c>
      <c r="E226" s="207">
        <v>1</v>
      </c>
      <c r="F226" s="205">
        <v>-790.2398902018349</v>
      </c>
      <c r="G226" s="205">
        <v>-790.2398902018349</v>
      </c>
      <c r="H226" s="207">
        <v>1</v>
      </c>
      <c r="I226" s="207"/>
      <c r="J226" s="207">
        <v>0</v>
      </c>
      <c r="K226" s="123">
        <v>1</v>
      </c>
      <c r="L226" s="265">
        <v>-790.2398902018349</v>
      </c>
      <c r="M226" s="205">
        <f t="shared" si="25"/>
        <v>-790.2398902018349</v>
      </c>
      <c r="N226" s="207"/>
      <c r="O226" s="207"/>
      <c r="P226" s="207">
        <f t="shared" si="24"/>
        <v>0</v>
      </c>
      <c r="Q226" s="123">
        <v>1</v>
      </c>
      <c r="R226" s="265">
        <v>-790.2398902018349</v>
      </c>
      <c r="S226" s="207">
        <f t="shared" si="23"/>
        <v>-790.2398902018349</v>
      </c>
      <c r="T226" s="207"/>
      <c r="U226" s="207"/>
      <c r="V226" s="207">
        <f t="shared" si="22"/>
        <v>0</v>
      </c>
      <c r="W226" s="123"/>
      <c r="X226" s="268"/>
      <c r="Y226" s="207"/>
      <c r="Z226" s="265">
        <v>-790.2398902018349</v>
      </c>
      <c r="AA226" s="207">
        <v>0</v>
      </c>
      <c r="AB226" s="207"/>
      <c r="AC226" s="207"/>
      <c r="AD226" s="207">
        <v>0</v>
      </c>
    </row>
    <row r="227" spans="1:30" s="216" customFormat="1" ht="23.1" hidden="1" customHeight="1" outlineLevel="1" collapsed="1">
      <c r="A227" s="223">
        <v>6</v>
      </c>
      <c r="B227" s="225" t="s">
        <v>671</v>
      </c>
      <c r="C227" s="223"/>
      <c r="D227" s="261"/>
      <c r="E227" s="207"/>
      <c r="F227" s="205">
        <v>0</v>
      </c>
      <c r="G227" s="205"/>
      <c r="H227" s="207"/>
      <c r="I227" s="207"/>
      <c r="J227" s="207">
        <v>0</v>
      </c>
      <c r="K227" s="123"/>
      <c r="L227" s="265">
        <v>0</v>
      </c>
      <c r="M227" s="205">
        <f t="shared" si="25"/>
        <v>0</v>
      </c>
      <c r="N227" s="207"/>
      <c r="O227" s="207"/>
      <c r="P227" s="207">
        <f t="shared" si="24"/>
        <v>0</v>
      </c>
      <c r="Q227" s="123"/>
      <c r="R227" s="265">
        <v>0</v>
      </c>
      <c r="S227" s="207">
        <f t="shared" si="23"/>
        <v>0</v>
      </c>
      <c r="T227" s="207"/>
      <c r="U227" s="207"/>
      <c r="V227" s="207">
        <f t="shared" si="22"/>
        <v>0</v>
      </c>
      <c r="W227" s="123"/>
      <c r="X227" s="268"/>
      <c r="Y227" s="207"/>
      <c r="Z227" s="265">
        <v>0</v>
      </c>
      <c r="AA227" s="207">
        <v>0</v>
      </c>
      <c r="AB227" s="207"/>
      <c r="AC227" s="207"/>
      <c r="AD227" s="207">
        <v>0</v>
      </c>
    </row>
    <row r="228" spans="1:30" s="216" customFormat="1" ht="23.1" hidden="1" customHeight="1" outlineLevel="2">
      <c r="A228" s="223"/>
      <c r="B228" s="225" t="s">
        <v>672</v>
      </c>
      <c r="C228" s="223" t="s">
        <v>673</v>
      </c>
      <c r="D228" s="261" t="s">
        <v>166</v>
      </c>
      <c r="E228" s="207">
        <v>672</v>
      </c>
      <c r="F228" s="205">
        <v>39.588819963302754</v>
      </c>
      <c r="G228" s="205">
        <v>26603.687015339452</v>
      </c>
      <c r="H228" s="207">
        <v>672</v>
      </c>
      <c r="I228" s="207"/>
      <c r="J228" s="207">
        <v>28049.280000000002</v>
      </c>
      <c r="K228" s="123"/>
      <c r="L228" s="265">
        <v>39.588819963302754</v>
      </c>
      <c r="M228" s="205">
        <f t="shared" si="25"/>
        <v>0</v>
      </c>
      <c r="N228" s="207"/>
      <c r="O228" s="207"/>
      <c r="P228" s="207">
        <f t="shared" si="24"/>
        <v>0</v>
      </c>
      <c r="Q228" s="123"/>
      <c r="R228" s="265">
        <v>39.588819963302754</v>
      </c>
      <c r="S228" s="207">
        <f t="shared" si="23"/>
        <v>0</v>
      </c>
      <c r="T228" s="207"/>
      <c r="U228" s="207"/>
      <c r="V228" s="207">
        <f t="shared" si="22"/>
        <v>0</v>
      </c>
      <c r="W228" s="123"/>
      <c r="X228" s="268"/>
      <c r="Y228" s="207"/>
      <c r="Z228" s="265">
        <v>39.588819963302754</v>
      </c>
      <c r="AA228" s="207">
        <v>0</v>
      </c>
      <c r="AB228" s="207"/>
      <c r="AC228" s="207"/>
      <c r="AD228" s="207">
        <v>0</v>
      </c>
    </row>
    <row r="229" spans="1:30" s="216" customFormat="1" ht="23.1" hidden="1" customHeight="1" outlineLevel="2">
      <c r="A229" s="223"/>
      <c r="B229" s="225" t="s">
        <v>674</v>
      </c>
      <c r="C229" s="223" t="s">
        <v>675</v>
      </c>
      <c r="D229" s="261" t="s">
        <v>676</v>
      </c>
      <c r="E229" s="207">
        <v>1</v>
      </c>
      <c r="F229" s="205">
        <v>580.75300315596326</v>
      </c>
      <c r="G229" s="205">
        <v>580.75300315596326</v>
      </c>
      <c r="H229" s="207">
        <v>1</v>
      </c>
      <c r="I229" s="207"/>
      <c r="J229" s="207">
        <v>612.30999999999995</v>
      </c>
      <c r="K229" s="123"/>
      <c r="L229" s="265">
        <v>580.75300315596326</v>
      </c>
      <c r="M229" s="205">
        <f t="shared" si="25"/>
        <v>0</v>
      </c>
      <c r="N229" s="207"/>
      <c r="O229" s="207"/>
      <c r="P229" s="207">
        <f t="shared" si="24"/>
        <v>0</v>
      </c>
      <c r="Q229" s="123"/>
      <c r="R229" s="265">
        <v>580.75300315596326</v>
      </c>
      <c r="S229" s="207">
        <f t="shared" si="23"/>
        <v>0</v>
      </c>
      <c r="T229" s="207"/>
      <c r="U229" s="207"/>
      <c r="V229" s="207">
        <f t="shared" si="22"/>
        <v>0</v>
      </c>
      <c r="W229" s="123"/>
      <c r="X229" s="268"/>
      <c r="Y229" s="207"/>
      <c r="Z229" s="265">
        <v>580.75300315596326</v>
      </c>
      <c r="AA229" s="207">
        <v>0</v>
      </c>
      <c r="AB229" s="207"/>
      <c r="AC229" s="207"/>
      <c r="AD229" s="207">
        <v>0</v>
      </c>
    </row>
    <row r="230" spans="1:30" s="216" customFormat="1" ht="23.1" hidden="1" customHeight="1" outlineLevel="2">
      <c r="A230" s="223"/>
      <c r="B230" s="225" t="s">
        <v>677</v>
      </c>
      <c r="C230" s="223" t="s">
        <v>678</v>
      </c>
      <c r="D230" s="261" t="s">
        <v>679</v>
      </c>
      <c r="E230" s="207">
        <v>12</v>
      </c>
      <c r="F230" s="205">
        <v>332.6067892844037</v>
      </c>
      <c r="G230" s="205">
        <v>3991.2814714128444</v>
      </c>
      <c r="H230" s="207">
        <v>12</v>
      </c>
      <c r="I230" s="207"/>
      <c r="J230" s="207">
        <v>4208.16</v>
      </c>
      <c r="K230" s="123"/>
      <c r="L230" s="265">
        <v>332.6067892844037</v>
      </c>
      <c r="M230" s="205">
        <f t="shared" si="25"/>
        <v>0</v>
      </c>
      <c r="N230" s="207"/>
      <c r="O230" s="207"/>
      <c r="P230" s="207">
        <f t="shared" si="24"/>
        <v>0</v>
      </c>
      <c r="Q230" s="123"/>
      <c r="R230" s="265">
        <v>332.6067892844037</v>
      </c>
      <c r="S230" s="207">
        <f t="shared" si="23"/>
        <v>0</v>
      </c>
      <c r="T230" s="207"/>
      <c r="U230" s="207"/>
      <c r="V230" s="207">
        <f t="shared" si="22"/>
        <v>0</v>
      </c>
      <c r="W230" s="123"/>
      <c r="X230" s="268"/>
      <c r="Y230" s="207"/>
      <c r="Z230" s="265">
        <v>332.6067892844037</v>
      </c>
      <c r="AA230" s="207">
        <v>0</v>
      </c>
      <c r="AB230" s="207"/>
      <c r="AC230" s="207"/>
      <c r="AD230" s="207">
        <v>0</v>
      </c>
    </row>
    <row r="231" spans="1:30" s="216" customFormat="1" ht="23.1" hidden="1" customHeight="1" outlineLevel="2">
      <c r="A231" s="223"/>
      <c r="B231" s="225" t="s">
        <v>680</v>
      </c>
      <c r="C231" s="223" t="s">
        <v>681</v>
      </c>
      <c r="D231" s="261" t="s">
        <v>397</v>
      </c>
      <c r="E231" s="207">
        <v>61</v>
      </c>
      <c r="F231" s="205">
        <v>120.91946950458716</v>
      </c>
      <c r="G231" s="205">
        <v>7376.0876397798165</v>
      </c>
      <c r="H231" s="207">
        <v>61</v>
      </c>
      <c r="I231" s="207"/>
      <c r="J231" s="207">
        <v>7776.89</v>
      </c>
      <c r="K231" s="123"/>
      <c r="L231" s="265">
        <v>120.91946950458716</v>
      </c>
      <c r="M231" s="205">
        <f t="shared" si="25"/>
        <v>0</v>
      </c>
      <c r="N231" s="207"/>
      <c r="O231" s="207"/>
      <c r="P231" s="207">
        <f t="shared" si="24"/>
        <v>0</v>
      </c>
      <c r="Q231" s="123"/>
      <c r="R231" s="265">
        <v>120.91946950458716</v>
      </c>
      <c r="S231" s="207">
        <f t="shared" si="23"/>
        <v>0</v>
      </c>
      <c r="T231" s="207"/>
      <c r="U231" s="207"/>
      <c r="V231" s="207">
        <f t="shared" si="22"/>
        <v>0</v>
      </c>
      <c r="W231" s="123"/>
      <c r="X231" s="268"/>
      <c r="Y231" s="207"/>
      <c r="Z231" s="265">
        <v>120.91946950458716</v>
      </c>
      <c r="AA231" s="207">
        <v>0</v>
      </c>
      <c r="AB231" s="207"/>
      <c r="AC231" s="207"/>
      <c r="AD231" s="207">
        <v>0</v>
      </c>
    </row>
    <row r="232" spans="1:30" s="216" customFormat="1" ht="23.1" hidden="1" customHeight="1" outlineLevel="2">
      <c r="A232" s="223"/>
      <c r="B232" s="225" t="s">
        <v>682</v>
      </c>
      <c r="C232" s="223" t="s">
        <v>683</v>
      </c>
      <c r="D232" s="261" t="s">
        <v>166</v>
      </c>
      <c r="E232" s="207">
        <v>371</v>
      </c>
      <c r="F232" s="205">
        <v>59.506530055045872</v>
      </c>
      <c r="G232" s="205">
        <v>22076.922650422017</v>
      </c>
      <c r="H232" s="207">
        <v>371</v>
      </c>
      <c r="I232" s="207"/>
      <c r="J232" s="207">
        <v>23276.54</v>
      </c>
      <c r="K232" s="123"/>
      <c r="L232" s="265">
        <v>59.506530055045872</v>
      </c>
      <c r="M232" s="205">
        <f t="shared" si="25"/>
        <v>0</v>
      </c>
      <c r="N232" s="207"/>
      <c r="O232" s="207"/>
      <c r="P232" s="207">
        <f t="shared" si="24"/>
        <v>0</v>
      </c>
      <c r="Q232" s="123"/>
      <c r="R232" s="265">
        <v>59.506530055045872</v>
      </c>
      <c r="S232" s="207">
        <f t="shared" si="23"/>
        <v>0</v>
      </c>
      <c r="T232" s="207"/>
      <c r="U232" s="207"/>
      <c r="V232" s="207">
        <f t="shared" ref="V232:V296" si="26">+U232*T232</f>
        <v>0</v>
      </c>
      <c r="W232" s="123"/>
      <c r="X232" s="268"/>
      <c r="Y232" s="207"/>
      <c r="Z232" s="265">
        <v>59.506530055045872</v>
      </c>
      <c r="AA232" s="207">
        <v>0</v>
      </c>
      <c r="AB232" s="207"/>
      <c r="AC232" s="207"/>
      <c r="AD232" s="207">
        <v>0</v>
      </c>
    </row>
    <row r="233" spans="1:30" s="216" customFormat="1" ht="23.1" hidden="1" customHeight="1" outlineLevel="2">
      <c r="A233" s="223"/>
      <c r="B233" s="225" t="s">
        <v>684</v>
      </c>
      <c r="C233" s="223" t="s">
        <v>685</v>
      </c>
      <c r="D233" s="261" t="s">
        <v>166</v>
      </c>
      <c r="E233" s="207">
        <v>40</v>
      </c>
      <c r="F233" s="205">
        <v>116.42375779816514</v>
      </c>
      <c r="G233" s="205">
        <v>4656.9503119266055</v>
      </c>
      <c r="H233" s="207">
        <v>40</v>
      </c>
      <c r="I233" s="207"/>
      <c r="J233" s="207">
        <v>4910</v>
      </c>
      <c r="K233" s="123"/>
      <c r="L233" s="265">
        <v>116.42375779816514</v>
      </c>
      <c r="M233" s="205">
        <f t="shared" si="25"/>
        <v>0</v>
      </c>
      <c r="N233" s="207"/>
      <c r="O233" s="207"/>
      <c r="P233" s="207">
        <f t="shared" si="24"/>
        <v>0</v>
      </c>
      <c r="Q233" s="123"/>
      <c r="R233" s="265">
        <v>116.42375779816514</v>
      </c>
      <c r="S233" s="207">
        <f t="shared" si="23"/>
        <v>0</v>
      </c>
      <c r="T233" s="207"/>
      <c r="U233" s="207"/>
      <c r="V233" s="207">
        <f t="shared" si="26"/>
        <v>0</v>
      </c>
      <c r="W233" s="123"/>
      <c r="X233" s="268"/>
      <c r="Y233" s="207"/>
      <c r="Z233" s="265">
        <v>116.42375779816514</v>
      </c>
      <c r="AA233" s="207">
        <v>0</v>
      </c>
      <c r="AB233" s="207"/>
      <c r="AC233" s="207"/>
      <c r="AD233" s="207">
        <v>0</v>
      </c>
    </row>
    <row r="234" spans="1:30" s="216" customFormat="1" ht="23.1" hidden="1" customHeight="1" outlineLevel="2">
      <c r="A234" s="223"/>
      <c r="B234" s="225" t="s">
        <v>686</v>
      </c>
      <c r="C234" s="223" t="s">
        <v>687</v>
      </c>
      <c r="D234" s="261" t="s">
        <v>166</v>
      </c>
      <c r="E234" s="207">
        <v>86</v>
      </c>
      <c r="F234" s="205">
        <v>11.722995082568806</v>
      </c>
      <c r="G234" s="205">
        <v>1008.1775771009173</v>
      </c>
      <c r="H234" s="207">
        <v>86</v>
      </c>
      <c r="I234" s="207"/>
      <c r="J234" s="207">
        <v>1062.96</v>
      </c>
      <c r="K234" s="123"/>
      <c r="L234" s="265">
        <v>11.722995082568806</v>
      </c>
      <c r="M234" s="205">
        <f t="shared" si="25"/>
        <v>0</v>
      </c>
      <c r="N234" s="207"/>
      <c r="O234" s="207"/>
      <c r="P234" s="207">
        <f t="shared" si="24"/>
        <v>0</v>
      </c>
      <c r="Q234" s="123"/>
      <c r="R234" s="265">
        <v>11.722995082568806</v>
      </c>
      <c r="S234" s="207">
        <f t="shared" si="23"/>
        <v>0</v>
      </c>
      <c r="T234" s="207"/>
      <c r="U234" s="207"/>
      <c r="V234" s="207">
        <f t="shared" si="26"/>
        <v>0</v>
      </c>
      <c r="W234" s="123"/>
      <c r="X234" s="268"/>
      <c r="Y234" s="207"/>
      <c r="Z234" s="265">
        <v>11.722995082568806</v>
      </c>
      <c r="AA234" s="207">
        <v>0</v>
      </c>
      <c r="AB234" s="207"/>
      <c r="AC234" s="207"/>
      <c r="AD234" s="207">
        <v>0</v>
      </c>
    </row>
    <row r="235" spans="1:30" s="216" customFormat="1" ht="23.1" hidden="1" customHeight="1" outlineLevel="1">
      <c r="A235" s="223"/>
      <c r="B235" s="225" t="s">
        <v>376</v>
      </c>
      <c r="C235" s="223"/>
      <c r="D235" s="261" t="s">
        <v>143</v>
      </c>
      <c r="E235" s="207">
        <v>1</v>
      </c>
      <c r="F235" s="205">
        <v>-1954.2972603302749</v>
      </c>
      <c r="G235" s="205">
        <v>-1954.2972603302749</v>
      </c>
      <c r="H235" s="207">
        <v>1</v>
      </c>
      <c r="I235" s="207"/>
      <c r="J235" s="207">
        <v>0</v>
      </c>
      <c r="K235" s="123">
        <v>1</v>
      </c>
      <c r="L235" s="265">
        <v>-1954.2972603302749</v>
      </c>
      <c r="M235" s="205">
        <f t="shared" si="25"/>
        <v>-1954.2972603302749</v>
      </c>
      <c r="N235" s="207"/>
      <c r="O235" s="207"/>
      <c r="P235" s="207">
        <f t="shared" si="24"/>
        <v>0</v>
      </c>
      <c r="Q235" s="123">
        <v>1</v>
      </c>
      <c r="R235" s="265">
        <v>-1954.2972603302749</v>
      </c>
      <c r="S235" s="207">
        <f t="shared" si="23"/>
        <v>-1954.2972603302749</v>
      </c>
      <c r="T235" s="207"/>
      <c r="U235" s="207"/>
      <c r="V235" s="207">
        <f t="shared" si="26"/>
        <v>0</v>
      </c>
      <c r="W235" s="123"/>
      <c r="X235" s="268"/>
      <c r="Y235" s="207"/>
      <c r="Z235" s="265">
        <v>-1954.2972603302749</v>
      </c>
      <c r="AA235" s="207">
        <v>0</v>
      </c>
      <c r="AB235" s="207"/>
      <c r="AC235" s="207"/>
      <c r="AD235" s="207">
        <v>0</v>
      </c>
    </row>
    <row r="236" spans="1:30" s="216" customFormat="1" ht="23.1" hidden="1" customHeight="1" outlineLevel="1">
      <c r="A236" s="223"/>
      <c r="B236" s="225" t="s">
        <v>377</v>
      </c>
      <c r="C236" s="223"/>
      <c r="D236" s="261" t="s">
        <v>143</v>
      </c>
      <c r="E236" s="207">
        <v>1</v>
      </c>
      <c r="F236" s="205">
        <v>-3159.4609902385318</v>
      </c>
      <c r="G236" s="205">
        <v>-3159.4609902385318</v>
      </c>
      <c r="H236" s="207">
        <v>1</v>
      </c>
      <c r="I236" s="207"/>
      <c r="J236" s="207">
        <v>0</v>
      </c>
      <c r="K236" s="123">
        <v>1</v>
      </c>
      <c r="L236" s="265">
        <v>-3159.4609902385318</v>
      </c>
      <c r="M236" s="205">
        <f t="shared" si="25"/>
        <v>-3159.4609902385318</v>
      </c>
      <c r="N236" s="207"/>
      <c r="O236" s="207"/>
      <c r="P236" s="207">
        <f t="shared" si="24"/>
        <v>0</v>
      </c>
      <c r="Q236" s="123">
        <v>1</v>
      </c>
      <c r="R236" s="265">
        <v>-3159.4609902385318</v>
      </c>
      <c r="S236" s="207">
        <f t="shared" si="23"/>
        <v>-3159.4609902385318</v>
      </c>
      <c r="T236" s="207"/>
      <c r="U236" s="207"/>
      <c r="V236" s="207">
        <f t="shared" si="26"/>
        <v>0</v>
      </c>
      <c r="W236" s="123"/>
      <c r="X236" s="268"/>
      <c r="Y236" s="207"/>
      <c r="Z236" s="265">
        <v>-3159.4609902385318</v>
      </c>
      <c r="AA236" s="207">
        <v>0</v>
      </c>
      <c r="AB236" s="207"/>
      <c r="AC236" s="207"/>
      <c r="AD236" s="207">
        <v>0</v>
      </c>
    </row>
    <row r="237" spans="1:30" s="215" customFormat="1" ht="23.1" customHeight="1" collapsed="1">
      <c r="A237" s="220" t="s">
        <v>237</v>
      </c>
      <c r="B237" s="224" t="s">
        <v>688</v>
      </c>
      <c r="C237" s="224"/>
      <c r="D237" s="259"/>
      <c r="E237" s="229"/>
      <c r="F237" s="222"/>
      <c r="G237" s="222">
        <v>557927.36429856881</v>
      </c>
      <c r="H237" s="229"/>
      <c r="I237" s="229"/>
      <c r="J237" s="229">
        <v>302620</v>
      </c>
      <c r="K237" s="137"/>
      <c r="L237" s="264"/>
      <c r="M237" s="222">
        <f t="shared" si="25"/>
        <v>0</v>
      </c>
      <c r="N237" s="229"/>
      <c r="O237" s="229"/>
      <c r="P237" s="229">
        <f t="shared" si="24"/>
        <v>0</v>
      </c>
      <c r="Q237" s="137"/>
      <c r="R237" s="264"/>
      <c r="S237" s="229">
        <f t="shared" ref="S237:S301" si="27">+R237*Q237</f>
        <v>0</v>
      </c>
      <c r="T237" s="229"/>
      <c r="U237" s="229"/>
      <c r="V237" s="229">
        <f t="shared" si="26"/>
        <v>0</v>
      </c>
      <c r="W237" s="137"/>
      <c r="X237" s="271"/>
      <c r="Y237" s="229"/>
      <c r="Z237" s="264"/>
      <c r="AA237" s="229">
        <v>0</v>
      </c>
      <c r="AB237" s="229"/>
      <c r="AC237" s="229"/>
      <c r="AD237" s="229">
        <v>0</v>
      </c>
    </row>
    <row r="238" spans="1:30" s="216" customFormat="1" ht="23.1" hidden="1" customHeight="1" outlineLevel="1">
      <c r="A238" s="223"/>
      <c r="B238" s="225" t="s">
        <v>689</v>
      </c>
      <c r="C238" s="223" t="s">
        <v>690</v>
      </c>
      <c r="D238" s="225" t="s">
        <v>413</v>
      </c>
      <c r="E238" s="207">
        <v>1</v>
      </c>
      <c r="F238" s="205">
        <v>133765.28281277063</v>
      </c>
      <c r="G238" s="205">
        <v>133765.28281277063</v>
      </c>
      <c r="H238" s="207">
        <v>1</v>
      </c>
      <c r="I238" s="207"/>
      <c r="J238" s="207">
        <v>98750</v>
      </c>
      <c r="K238" s="123"/>
      <c r="L238" s="265">
        <v>133765.28281277063</v>
      </c>
      <c r="M238" s="205">
        <f t="shared" si="25"/>
        <v>0</v>
      </c>
      <c r="N238" s="207"/>
      <c r="O238" s="207"/>
      <c r="P238" s="207">
        <f t="shared" si="24"/>
        <v>0</v>
      </c>
      <c r="Q238" s="123"/>
      <c r="R238" s="265">
        <v>133765.28281277063</v>
      </c>
      <c r="S238" s="207">
        <f t="shared" si="27"/>
        <v>0</v>
      </c>
      <c r="T238" s="207"/>
      <c r="U238" s="207"/>
      <c r="V238" s="207">
        <f t="shared" si="26"/>
        <v>0</v>
      </c>
      <c r="W238" s="123"/>
      <c r="X238" s="268"/>
      <c r="Y238" s="207"/>
      <c r="Z238" s="265">
        <v>133765.28281277063</v>
      </c>
      <c r="AA238" s="207">
        <v>0</v>
      </c>
      <c r="AB238" s="207"/>
      <c r="AC238" s="207"/>
      <c r="AD238" s="207">
        <v>0</v>
      </c>
    </row>
    <row r="239" spans="1:30" s="216" customFormat="1" ht="23.1" hidden="1" customHeight="1" outlineLevel="1">
      <c r="A239" s="223"/>
      <c r="B239" s="225" t="s">
        <v>689</v>
      </c>
      <c r="C239" s="223" t="s">
        <v>691</v>
      </c>
      <c r="D239" s="225" t="s">
        <v>413</v>
      </c>
      <c r="E239" s="207">
        <v>1</v>
      </c>
      <c r="F239" s="205">
        <v>215948.96045416512</v>
      </c>
      <c r="G239" s="205">
        <v>215948.96045416512</v>
      </c>
      <c r="H239" s="207">
        <v>1</v>
      </c>
      <c r="I239" s="207"/>
      <c r="J239" s="207">
        <v>98750</v>
      </c>
      <c r="K239" s="123"/>
      <c r="L239" s="265">
        <v>215948.96045416512</v>
      </c>
      <c r="M239" s="205">
        <f t="shared" si="25"/>
        <v>0</v>
      </c>
      <c r="N239" s="207"/>
      <c r="O239" s="207"/>
      <c r="P239" s="207">
        <f t="shared" si="24"/>
        <v>0</v>
      </c>
      <c r="Q239" s="123"/>
      <c r="R239" s="265">
        <v>215948.96045416512</v>
      </c>
      <c r="S239" s="207">
        <f t="shared" si="27"/>
        <v>0</v>
      </c>
      <c r="T239" s="207"/>
      <c r="U239" s="207"/>
      <c r="V239" s="207">
        <f t="shared" si="26"/>
        <v>0</v>
      </c>
      <c r="W239" s="123"/>
      <c r="X239" s="268"/>
      <c r="Y239" s="207"/>
      <c r="Z239" s="265">
        <v>215948.96045416512</v>
      </c>
      <c r="AA239" s="207">
        <v>0</v>
      </c>
      <c r="AB239" s="207"/>
      <c r="AC239" s="207"/>
      <c r="AD239" s="207">
        <v>0</v>
      </c>
    </row>
    <row r="240" spans="1:30" s="216" customFormat="1" ht="23.1" hidden="1" customHeight="1" outlineLevel="1">
      <c r="A240" s="223"/>
      <c r="B240" s="225" t="s">
        <v>689</v>
      </c>
      <c r="C240" s="223" t="s">
        <v>692</v>
      </c>
      <c r="D240" s="225" t="s">
        <v>413</v>
      </c>
      <c r="E240" s="207">
        <v>1</v>
      </c>
      <c r="F240" s="205">
        <v>12294.377277357798</v>
      </c>
      <c r="G240" s="205">
        <v>12294.377277357798</v>
      </c>
      <c r="H240" s="207">
        <v>1</v>
      </c>
      <c r="I240" s="207"/>
      <c r="J240" s="207">
        <v>7200</v>
      </c>
      <c r="K240" s="123"/>
      <c r="L240" s="265">
        <v>12294.377277357798</v>
      </c>
      <c r="M240" s="205">
        <f t="shared" si="25"/>
        <v>0</v>
      </c>
      <c r="N240" s="207"/>
      <c r="O240" s="207"/>
      <c r="P240" s="207">
        <f t="shared" si="24"/>
        <v>0</v>
      </c>
      <c r="Q240" s="123"/>
      <c r="R240" s="265">
        <v>12294.377277357798</v>
      </c>
      <c r="S240" s="207">
        <f t="shared" si="27"/>
        <v>0</v>
      </c>
      <c r="T240" s="207"/>
      <c r="U240" s="207"/>
      <c r="V240" s="207">
        <f t="shared" si="26"/>
        <v>0</v>
      </c>
      <c r="W240" s="123"/>
      <c r="X240" s="268"/>
      <c r="Y240" s="207"/>
      <c r="Z240" s="265">
        <v>12294.377277357798</v>
      </c>
      <c r="AA240" s="207">
        <v>0</v>
      </c>
      <c r="AB240" s="207"/>
      <c r="AC240" s="207"/>
      <c r="AD240" s="207">
        <v>0</v>
      </c>
    </row>
    <row r="241" spans="1:30" s="216" customFormat="1" ht="23.1" hidden="1" customHeight="1" outlineLevel="1">
      <c r="A241" s="223"/>
      <c r="B241" s="225" t="s">
        <v>689</v>
      </c>
      <c r="C241" s="223" t="s">
        <v>693</v>
      </c>
      <c r="D241" s="225" t="s">
        <v>413</v>
      </c>
      <c r="E241" s="207">
        <v>1</v>
      </c>
      <c r="F241" s="205">
        <v>8516.831804477064</v>
      </c>
      <c r="G241" s="205">
        <v>8516.831804477064</v>
      </c>
      <c r="H241" s="207">
        <v>1</v>
      </c>
      <c r="I241" s="207"/>
      <c r="J241" s="207">
        <v>5120</v>
      </c>
      <c r="K241" s="123"/>
      <c r="L241" s="265">
        <v>8516.831804477064</v>
      </c>
      <c r="M241" s="205">
        <f t="shared" si="25"/>
        <v>0</v>
      </c>
      <c r="N241" s="207"/>
      <c r="O241" s="207"/>
      <c r="P241" s="207">
        <f t="shared" si="24"/>
        <v>0</v>
      </c>
      <c r="Q241" s="123"/>
      <c r="R241" s="265">
        <v>8516.831804477064</v>
      </c>
      <c r="S241" s="207">
        <f t="shared" si="27"/>
        <v>0</v>
      </c>
      <c r="T241" s="207"/>
      <c r="U241" s="207"/>
      <c r="V241" s="207">
        <f t="shared" si="26"/>
        <v>0</v>
      </c>
      <c r="W241" s="123"/>
      <c r="X241" s="268"/>
      <c r="Y241" s="207"/>
      <c r="Z241" s="265">
        <v>8516.831804477064</v>
      </c>
      <c r="AA241" s="207">
        <v>0</v>
      </c>
      <c r="AB241" s="207"/>
      <c r="AC241" s="207"/>
      <c r="AD241" s="207">
        <v>0</v>
      </c>
    </row>
    <row r="242" spans="1:30" s="216" customFormat="1" ht="23.1" hidden="1" customHeight="1" outlineLevel="1">
      <c r="A242" s="223"/>
      <c r="B242" s="225" t="s">
        <v>689</v>
      </c>
      <c r="C242" s="223" t="s">
        <v>694</v>
      </c>
      <c r="D242" s="225" t="s">
        <v>413</v>
      </c>
      <c r="E242" s="207">
        <v>1</v>
      </c>
      <c r="F242" s="205">
        <v>14498.015814165137</v>
      </c>
      <c r="G242" s="205">
        <v>14498.015814165137</v>
      </c>
      <c r="H242" s="207">
        <v>1</v>
      </c>
      <c r="I242" s="207"/>
      <c r="J242" s="207">
        <v>6240</v>
      </c>
      <c r="K242" s="123"/>
      <c r="L242" s="265">
        <v>14498.015814165137</v>
      </c>
      <c r="M242" s="205">
        <f t="shared" si="25"/>
        <v>0</v>
      </c>
      <c r="N242" s="207"/>
      <c r="O242" s="207"/>
      <c r="P242" s="207">
        <f t="shared" ref="P242:P306" si="28">+O242*N242</f>
        <v>0</v>
      </c>
      <c r="Q242" s="123"/>
      <c r="R242" s="265">
        <v>14498.015814165137</v>
      </c>
      <c r="S242" s="207">
        <f t="shared" si="27"/>
        <v>0</v>
      </c>
      <c r="T242" s="207"/>
      <c r="U242" s="207"/>
      <c r="V242" s="207">
        <f t="shared" si="26"/>
        <v>0</v>
      </c>
      <c r="W242" s="123"/>
      <c r="X242" s="268"/>
      <c r="Y242" s="207"/>
      <c r="Z242" s="265">
        <v>14498.015814165137</v>
      </c>
      <c r="AA242" s="207">
        <v>0</v>
      </c>
      <c r="AB242" s="207"/>
      <c r="AC242" s="207"/>
      <c r="AD242" s="207">
        <v>0</v>
      </c>
    </row>
    <row r="243" spans="1:30" s="216" customFormat="1" ht="23.1" hidden="1" customHeight="1" outlineLevel="1">
      <c r="A243" s="223"/>
      <c r="B243" s="225" t="s">
        <v>689</v>
      </c>
      <c r="C243" s="223" t="s">
        <v>695</v>
      </c>
      <c r="D243" s="225" t="s">
        <v>413</v>
      </c>
      <c r="E243" s="207">
        <v>1</v>
      </c>
      <c r="F243" s="205">
        <v>14498.015814165137</v>
      </c>
      <c r="G243" s="205">
        <v>14498.015814165137</v>
      </c>
      <c r="H243" s="207">
        <v>1</v>
      </c>
      <c r="I243" s="207"/>
      <c r="J243" s="207">
        <v>6240</v>
      </c>
      <c r="K243" s="123"/>
      <c r="L243" s="265">
        <v>14498.015814165137</v>
      </c>
      <c r="M243" s="205">
        <f t="shared" si="25"/>
        <v>0</v>
      </c>
      <c r="N243" s="207"/>
      <c r="O243" s="207"/>
      <c r="P243" s="207">
        <f t="shared" si="28"/>
        <v>0</v>
      </c>
      <c r="Q243" s="123"/>
      <c r="R243" s="265">
        <v>14498.015814165137</v>
      </c>
      <c r="S243" s="207">
        <f t="shared" si="27"/>
        <v>0</v>
      </c>
      <c r="T243" s="207"/>
      <c r="U243" s="207"/>
      <c r="V243" s="207">
        <f t="shared" si="26"/>
        <v>0</v>
      </c>
      <c r="W243" s="123"/>
      <c r="X243" s="268"/>
      <c r="Y243" s="207"/>
      <c r="Z243" s="265">
        <v>14498.015814165137</v>
      </c>
      <c r="AA243" s="207">
        <v>0</v>
      </c>
      <c r="AB243" s="207"/>
      <c r="AC243" s="207"/>
      <c r="AD243" s="207">
        <v>0</v>
      </c>
    </row>
    <row r="244" spans="1:30" s="216" customFormat="1" ht="23.1" hidden="1" customHeight="1" outlineLevel="1">
      <c r="A244" s="223"/>
      <c r="B244" s="225" t="s">
        <v>689</v>
      </c>
      <c r="C244" s="223" t="s">
        <v>696</v>
      </c>
      <c r="D244" s="225" t="s">
        <v>413</v>
      </c>
      <c r="E244" s="207">
        <v>1</v>
      </c>
      <c r="F244" s="205">
        <v>60069.395057614674</v>
      </c>
      <c r="G244" s="205">
        <v>60069.395057614674</v>
      </c>
      <c r="H244" s="207">
        <v>1</v>
      </c>
      <c r="I244" s="207"/>
      <c r="J244" s="207">
        <v>17600</v>
      </c>
      <c r="K244" s="123"/>
      <c r="L244" s="265">
        <v>60069.395057614674</v>
      </c>
      <c r="M244" s="205">
        <f t="shared" si="25"/>
        <v>0</v>
      </c>
      <c r="N244" s="207"/>
      <c r="O244" s="207"/>
      <c r="P244" s="207">
        <f t="shared" si="28"/>
        <v>0</v>
      </c>
      <c r="Q244" s="123"/>
      <c r="R244" s="265">
        <v>60069.395057614674</v>
      </c>
      <c r="S244" s="207">
        <f t="shared" si="27"/>
        <v>0</v>
      </c>
      <c r="T244" s="207"/>
      <c r="U244" s="207"/>
      <c r="V244" s="207">
        <f t="shared" si="26"/>
        <v>0</v>
      </c>
      <c r="W244" s="123"/>
      <c r="X244" s="268"/>
      <c r="Y244" s="207"/>
      <c r="Z244" s="265">
        <v>60069.395057614674</v>
      </c>
      <c r="AA244" s="207">
        <v>0</v>
      </c>
      <c r="AB244" s="207"/>
      <c r="AC244" s="207"/>
      <c r="AD244" s="207">
        <v>0</v>
      </c>
    </row>
    <row r="245" spans="1:30" s="216" customFormat="1" ht="23.1" hidden="1" customHeight="1" outlineLevel="1">
      <c r="A245" s="223"/>
      <c r="B245" s="225" t="s">
        <v>689</v>
      </c>
      <c r="C245" s="223" t="s">
        <v>697</v>
      </c>
      <c r="D245" s="225" t="s">
        <v>413</v>
      </c>
      <c r="E245" s="207">
        <v>2</v>
      </c>
      <c r="F245" s="205">
        <v>7861.6529579449543</v>
      </c>
      <c r="G245" s="205">
        <v>15723.305915889909</v>
      </c>
      <c r="H245" s="207">
        <v>2</v>
      </c>
      <c r="I245" s="207"/>
      <c r="J245" s="207">
        <v>10240</v>
      </c>
      <c r="K245" s="123"/>
      <c r="L245" s="265">
        <v>7861.6529579449543</v>
      </c>
      <c r="M245" s="205">
        <f t="shared" si="25"/>
        <v>0</v>
      </c>
      <c r="N245" s="207"/>
      <c r="O245" s="207"/>
      <c r="P245" s="207">
        <f t="shared" si="28"/>
        <v>0</v>
      </c>
      <c r="Q245" s="123"/>
      <c r="R245" s="265">
        <v>7861.6529579449543</v>
      </c>
      <c r="S245" s="207">
        <f t="shared" si="27"/>
        <v>0</v>
      </c>
      <c r="T245" s="207"/>
      <c r="U245" s="207"/>
      <c r="V245" s="207">
        <f t="shared" si="26"/>
        <v>0</v>
      </c>
      <c r="W245" s="123"/>
      <c r="X245" s="268"/>
      <c r="Y245" s="207"/>
      <c r="Z245" s="265">
        <v>7861.6529579449543</v>
      </c>
      <c r="AA245" s="207">
        <v>0</v>
      </c>
      <c r="AB245" s="207"/>
      <c r="AC245" s="207"/>
      <c r="AD245" s="207">
        <v>0</v>
      </c>
    </row>
    <row r="246" spans="1:30" s="216" customFormat="1" ht="23.1" hidden="1" customHeight="1" outlineLevel="1">
      <c r="A246" s="223"/>
      <c r="B246" s="225" t="s">
        <v>689</v>
      </c>
      <c r="C246" s="223" t="s">
        <v>698</v>
      </c>
      <c r="D246" s="225" t="s">
        <v>413</v>
      </c>
      <c r="E246" s="207">
        <v>1</v>
      </c>
      <c r="F246" s="205">
        <v>12630.569254458715</v>
      </c>
      <c r="G246" s="205">
        <v>12630.569254458715</v>
      </c>
      <c r="H246" s="207">
        <v>1</v>
      </c>
      <c r="I246" s="207"/>
      <c r="J246" s="207">
        <v>5800</v>
      </c>
      <c r="K246" s="123"/>
      <c r="L246" s="265">
        <v>12630.569254458715</v>
      </c>
      <c r="M246" s="205">
        <f t="shared" si="25"/>
        <v>0</v>
      </c>
      <c r="N246" s="207"/>
      <c r="O246" s="207"/>
      <c r="P246" s="207">
        <f t="shared" si="28"/>
        <v>0</v>
      </c>
      <c r="Q246" s="123"/>
      <c r="R246" s="265">
        <v>12630.569254458715</v>
      </c>
      <c r="S246" s="207">
        <f t="shared" si="27"/>
        <v>0</v>
      </c>
      <c r="T246" s="207"/>
      <c r="U246" s="207"/>
      <c r="V246" s="207">
        <f t="shared" si="26"/>
        <v>0</v>
      </c>
      <c r="W246" s="123"/>
      <c r="X246" s="268"/>
      <c r="Y246" s="207"/>
      <c r="Z246" s="265">
        <v>12630.569254458715</v>
      </c>
      <c r="AA246" s="207">
        <v>0</v>
      </c>
      <c r="AB246" s="207"/>
      <c r="AC246" s="207"/>
      <c r="AD246" s="207">
        <v>0</v>
      </c>
    </row>
    <row r="247" spans="1:30" s="216" customFormat="1" ht="23.1" hidden="1" customHeight="1" outlineLevel="1">
      <c r="A247" s="223"/>
      <c r="B247" s="225" t="s">
        <v>689</v>
      </c>
      <c r="C247" s="223" t="s">
        <v>699</v>
      </c>
      <c r="D247" s="225" t="s">
        <v>413</v>
      </c>
      <c r="E247" s="207">
        <v>2</v>
      </c>
      <c r="F247" s="205">
        <v>13016.223544954129</v>
      </c>
      <c r="G247" s="205">
        <v>26032.447089908259</v>
      </c>
      <c r="H247" s="207">
        <v>2</v>
      </c>
      <c r="I247" s="207"/>
      <c r="J247" s="207">
        <v>12480</v>
      </c>
      <c r="K247" s="123"/>
      <c r="L247" s="265">
        <v>13016.223544954129</v>
      </c>
      <c r="M247" s="205">
        <f t="shared" si="25"/>
        <v>0</v>
      </c>
      <c r="N247" s="207"/>
      <c r="O247" s="207"/>
      <c r="P247" s="207">
        <f t="shared" si="28"/>
        <v>0</v>
      </c>
      <c r="Q247" s="123"/>
      <c r="R247" s="265">
        <v>13016.223544954129</v>
      </c>
      <c r="S247" s="207">
        <f t="shared" si="27"/>
        <v>0</v>
      </c>
      <c r="T247" s="207"/>
      <c r="U247" s="207"/>
      <c r="V247" s="207">
        <f t="shared" si="26"/>
        <v>0</v>
      </c>
      <c r="W247" s="123"/>
      <c r="X247" s="268"/>
      <c r="Y247" s="207"/>
      <c r="Z247" s="265">
        <v>13016.223544954129</v>
      </c>
      <c r="AA247" s="207">
        <v>0</v>
      </c>
      <c r="AB247" s="207"/>
      <c r="AC247" s="207"/>
      <c r="AD247" s="207">
        <v>0</v>
      </c>
    </row>
    <row r="248" spans="1:30" s="216" customFormat="1" ht="23.1" hidden="1" customHeight="1" outlineLevel="1">
      <c r="A248" s="223"/>
      <c r="B248" s="225" t="s">
        <v>689</v>
      </c>
      <c r="C248" s="223" t="s">
        <v>700</v>
      </c>
      <c r="D248" s="225" t="s">
        <v>413</v>
      </c>
      <c r="E248" s="207">
        <v>1</v>
      </c>
      <c r="F248" s="205">
        <v>46165.059788917439</v>
      </c>
      <c r="G248" s="205">
        <v>46165.059788917439</v>
      </c>
      <c r="H248" s="207">
        <v>1</v>
      </c>
      <c r="I248" s="207"/>
      <c r="J248" s="207">
        <v>17600</v>
      </c>
      <c r="K248" s="123"/>
      <c r="L248" s="265">
        <v>46165.059788917439</v>
      </c>
      <c r="M248" s="205">
        <f t="shared" si="25"/>
        <v>0</v>
      </c>
      <c r="N248" s="207"/>
      <c r="O248" s="207"/>
      <c r="P248" s="207">
        <f t="shared" si="28"/>
        <v>0</v>
      </c>
      <c r="Q248" s="123"/>
      <c r="R248" s="265">
        <v>46165.059788917439</v>
      </c>
      <c r="S248" s="207">
        <f t="shared" si="27"/>
        <v>0</v>
      </c>
      <c r="T248" s="207"/>
      <c r="U248" s="207"/>
      <c r="V248" s="207">
        <f t="shared" si="26"/>
        <v>0</v>
      </c>
      <c r="W248" s="123"/>
      <c r="X248" s="268"/>
      <c r="Y248" s="207"/>
      <c r="Z248" s="265">
        <v>46165.059788917439</v>
      </c>
      <c r="AA248" s="207">
        <v>0</v>
      </c>
      <c r="AB248" s="207"/>
      <c r="AC248" s="207"/>
      <c r="AD248" s="207">
        <v>0</v>
      </c>
    </row>
    <row r="249" spans="1:30" s="216" customFormat="1" ht="23.1" hidden="1" customHeight="1" outlineLevel="1">
      <c r="A249" s="223"/>
      <c r="B249" s="225" t="s">
        <v>689</v>
      </c>
      <c r="C249" s="223" t="s">
        <v>701</v>
      </c>
      <c r="D249" s="225" t="s">
        <v>413</v>
      </c>
      <c r="E249" s="207">
        <v>2</v>
      </c>
      <c r="F249" s="205">
        <v>12840.748519045872</v>
      </c>
      <c r="G249" s="205">
        <v>25681.497038091744</v>
      </c>
      <c r="H249" s="207">
        <v>2</v>
      </c>
      <c r="I249" s="207"/>
      <c r="J249" s="207">
        <v>16600</v>
      </c>
      <c r="K249" s="123"/>
      <c r="L249" s="265">
        <v>12840.748519045872</v>
      </c>
      <c r="M249" s="205">
        <f t="shared" si="25"/>
        <v>0</v>
      </c>
      <c r="N249" s="207"/>
      <c r="O249" s="207"/>
      <c r="P249" s="207">
        <f t="shared" si="28"/>
        <v>0</v>
      </c>
      <c r="Q249" s="123"/>
      <c r="R249" s="265">
        <v>12840.748519045872</v>
      </c>
      <c r="S249" s="207">
        <f t="shared" si="27"/>
        <v>0</v>
      </c>
      <c r="T249" s="207"/>
      <c r="U249" s="207"/>
      <c r="V249" s="207">
        <f t="shared" si="26"/>
        <v>0</v>
      </c>
      <c r="W249" s="123"/>
      <c r="X249" s="268"/>
      <c r="Y249" s="207"/>
      <c r="Z249" s="265">
        <v>12840.748519045872</v>
      </c>
      <c r="AA249" s="207">
        <v>0</v>
      </c>
      <c r="AB249" s="207"/>
      <c r="AC249" s="207"/>
      <c r="AD249" s="207">
        <v>0</v>
      </c>
    </row>
    <row r="250" spans="1:30" s="216" customFormat="1" ht="23.1" hidden="1" customHeight="1" outlineLevel="1">
      <c r="A250" s="223"/>
      <c r="B250" s="225" t="s">
        <v>376</v>
      </c>
      <c r="C250" s="223"/>
      <c r="D250" s="225" t="s">
        <v>143</v>
      </c>
      <c r="E250" s="207">
        <v>1</v>
      </c>
      <c r="F250" s="205">
        <v>0</v>
      </c>
      <c r="G250" s="205">
        <v>0</v>
      </c>
      <c r="H250" s="207">
        <v>1</v>
      </c>
      <c r="I250" s="207"/>
      <c r="J250" s="207">
        <v>0</v>
      </c>
      <c r="K250" s="123"/>
      <c r="L250" s="265">
        <v>0</v>
      </c>
      <c r="M250" s="205">
        <f t="shared" si="25"/>
        <v>0</v>
      </c>
      <c r="N250" s="207"/>
      <c r="O250" s="207"/>
      <c r="P250" s="207">
        <f t="shared" si="28"/>
        <v>0</v>
      </c>
      <c r="Q250" s="123"/>
      <c r="R250" s="265">
        <v>0</v>
      </c>
      <c r="S250" s="207">
        <f t="shared" si="27"/>
        <v>0</v>
      </c>
      <c r="T250" s="207"/>
      <c r="U250" s="207"/>
      <c r="V250" s="207">
        <f t="shared" si="26"/>
        <v>0</v>
      </c>
      <c r="W250" s="123"/>
      <c r="X250" s="268"/>
      <c r="Y250" s="207"/>
      <c r="Z250" s="265">
        <v>0</v>
      </c>
      <c r="AA250" s="207">
        <v>0</v>
      </c>
      <c r="AB250" s="207"/>
      <c r="AC250" s="207"/>
      <c r="AD250" s="207">
        <v>0</v>
      </c>
    </row>
    <row r="251" spans="1:30" s="216" customFormat="1" ht="23.1" hidden="1" customHeight="1" outlineLevel="1">
      <c r="A251" s="223"/>
      <c r="B251" s="225" t="s">
        <v>377</v>
      </c>
      <c r="C251" s="223"/>
      <c r="D251" s="225" t="s">
        <v>143</v>
      </c>
      <c r="E251" s="207">
        <v>1</v>
      </c>
      <c r="F251" s="205">
        <v>-27896.393823412844</v>
      </c>
      <c r="G251" s="205">
        <v>-27896.393823412844</v>
      </c>
      <c r="H251" s="207">
        <v>1</v>
      </c>
      <c r="I251" s="207"/>
      <c r="J251" s="207">
        <v>0</v>
      </c>
      <c r="K251" s="123">
        <v>1</v>
      </c>
      <c r="L251" s="265">
        <v>-27896.393823412844</v>
      </c>
      <c r="M251" s="205">
        <f t="shared" ref="M251:M315" si="29">+L251*K251</f>
        <v>-27896.393823412844</v>
      </c>
      <c r="N251" s="207"/>
      <c r="O251" s="207"/>
      <c r="P251" s="207">
        <f t="shared" si="28"/>
        <v>0</v>
      </c>
      <c r="Q251" s="123">
        <v>1</v>
      </c>
      <c r="R251" s="265">
        <v>-27896.393823412844</v>
      </c>
      <c r="S251" s="207">
        <f t="shared" si="27"/>
        <v>-27896.393823412844</v>
      </c>
      <c r="T251" s="207"/>
      <c r="U251" s="207"/>
      <c r="V251" s="207">
        <f t="shared" si="26"/>
        <v>0</v>
      </c>
      <c r="W251" s="123"/>
      <c r="X251" s="268"/>
      <c r="Y251" s="207"/>
      <c r="Z251" s="265">
        <v>-27896.393823412844</v>
      </c>
      <c r="AA251" s="207">
        <v>0</v>
      </c>
      <c r="AB251" s="207"/>
      <c r="AC251" s="207"/>
      <c r="AD251" s="207">
        <v>0</v>
      </c>
    </row>
    <row r="252" spans="1:30" s="215" customFormat="1" ht="23.1" customHeight="1" collapsed="1">
      <c r="A252" s="220" t="s">
        <v>270</v>
      </c>
      <c r="B252" s="220" t="s">
        <v>702</v>
      </c>
      <c r="C252" s="220"/>
      <c r="D252" s="220"/>
      <c r="E252" s="229"/>
      <c r="F252" s="222"/>
      <c r="G252" s="222">
        <v>4003388.1381201381</v>
      </c>
      <c r="H252" s="229"/>
      <c r="I252" s="229"/>
      <c r="J252" s="229">
        <v>4566955.4819999998</v>
      </c>
      <c r="K252" s="207"/>
      <c r="L252" s="266"/>
      <c r="M252" s="229">
        <f>SUM(M253:M264)</f>
        <v>215.56117356038885</v>
      </c>
      <c r="N252" s="229"/>
      <c r="O252" s="229"/>
      <c r="P252" s="229">
        <f>SUM(P253:P264)</f>
        <v>25273.869090909087</v>
      </c>
      <c r="Q252" s="137"/>
      <c r="R252" s="266"/>
      <c r="S252" s="229">
        <f>SUM(S253:S264)</f>
        <v>696574.84282315162</v>
      </c>
      <c r="T252" s="229"/>
      <c r="U252" s="229"/>
      <c r="V252" s="229">
        <f>SUM(V253:V264)</f>
        <v>136540.07999999999</v>
      </c>
      <c r="W252" s="137"/>
      <c r="X252" s="271"/>
      <c r="Y252" s="229"/>
      <c r="Z252" s="266"/>
      <c r="AA252" s="229">
        <v>696359.28164959128</v>
      </c>
      <c r="AB252" s="229"/>
      <c r="AC252" s="229"/>
      <c r="AD252" s="229">
        <v>93874.370909090911</v>
      </c>
    </row>
    <row r="253" spans="1:30" s="216" customFormat="1" ht="23.1" hidden="1" customHeight="1" outlineLevel="1">
      <c r="A253" s="220"/>
      <c r="B253" s="223" t="s">
        <v>703</v>
      </c>
      <c r="C253" s="223" t="s">
        <v>704</v>
      </c>
      <c r="D253" s="223" t="s">
        <v>103</v>
      </c>
      <c r="E253" s="207">
        <v>264.26</v>
      </c>
      <c r="F253" s="205">
        <v>3553.2246341284408</v>
      </c>
      <c r="G253" s="205">
        <v>938975.1418147817</v>
      </c>
      <c r="H253" s="207">
        <v>264.26</v>
      </c>
      <c r="I253" s="207"/>
      <c r="J253" s="207">
        <v>921038.5909999999</v>
      </c>
      <c r="K253" s="207">
        <f>+Q253-Y253</f>
        <v>28.027575757575761</v>
      </c>
      <c r="L253" s="267">
        <v>3553.2246341284408</v>
      </c>
      <c r="M253" s="205">
        <f t="shared" si="29"/>
        <v>99588.272616719289</v>
      </c>
      <c r="N253" s="207">
        <f>+T253-AB253</f>
        <v>28.027575757575761</v>
      </c>
      <c r="O253" s="207">
        <v>456</v>
      </c>
      <c r="P253" s="207">
        <f t="shared" si="28"/>
        <v>12780.574545454547</v>
      </c>
      <c r="Q253" s="206">
        <f>+E253/34*17</f>
        <v>132.13</v>
      </c>
      <c r="R253" s="267">
        <v>3553.2246341284408</v>
      </c>
      <c r="S253" s="207">
        <f t="shared" si="27"/>
        <v>469487.57090739085</v>
      </c>
      <c r="T253" s="207">
        <f>+Q253</f>
        <v>132.13</v>
      </c>
      <c r="U253" s="207">
        <v>456</v>
      </c>
      <c r="V253" s="207">
        <f>+U253*T253</f>
        <v>60251.28</v>
      </c>
      <c r="W253" s="123"/>
      <c r="X253" s="268"/>
      <c r="Y253" s="207">
        <v>104.10242424242423</v>
      </c>
      <c r="Z253" s="267">
        <v>3553.2246341284408</v>
      </c>
      <c r="AA253" s="207">
        <v>369899.29829067161</v>
      </c>
      <c r="AB253" s="207">
        <v>104.10242424242423</v>
      </c>
      <c r="AC253" s="207">
        <v>456</v>
      </c>
      <c r="AD253" s="207">
        <v>47470.705454545452</v>
      </c>
    </row>
    <row r="254" spans="1:30" s="216" customFormat="1" ht="23.1" hidden="1" customHeight="1" outlineLevel="1">
      <c r="A254" s="220"/>
      <c r="B254" s="223" t="s">
        <v>705</v>
      </c>
      <c r="C254" s="223" t="s">
        <v>706</v>
      </c>
      <c r="D254" s="223" t="s">
        <v>103</v>
      </c>
      <c r="E254" s="207">
        <v>258.32</v>
      </c>
      <c r="F254" s="205">
        <v>3208.0602028623857</v>
      </c>
      <c r="G254" s="205">
        <v>828706.1116034115</v>
      </c>
      <c r="H254" s="207">
        <v>258.32</v>
      </c>
      <c r="I254" s="207"/>
      <c r="J254" s="207">
        <v>792104.69839999999</v>
      </c>
      <c r="K254" s="207">
        <f t="shared" ref="K254:K262" si="30">+Q254-Y254</f>
        <v>27.397575757575751</v>
      </c>
      <c r="L254" s="267">
        <v>3208.0602028623857</v>
      </c>
      <c r="M254" s="205">
        <f t="shared" si="29"/>
        <v>87893.07244278604</v>
      </c>
      <c r="N254" s="207">
        <f t="shared" ref="N254:N262" si="31">+T254-AB254</f>
        <v>27.397575757575751</v>
      </c>
      <c r="O254" s="207">
        <v>456</v>
      </c>
      <c r="P254" s="207">
        <f t="shared" si="28"/>
        <v>12493.294545454542</v>
      </c>
      <c r="Q254" s="206">
        <f>+E254/34*17</f>
        <v>129.16</v>
      </c>
      <c r="R254" s="267">
        <v>3208.0602028623857</v>
      </c>
      <c r="S254" s="207">
        <f t="shared" si="27"/>
        <v>414353.05580170575</v>
      </c>
      <c r="T254" s="207">
        <f>+Q254</f>
        <v>129.16</v>
      </c>
      <c r="U254" s="207">
        <v>456</v>
      </c>
      <c r="V254" s="207">
        <f t="shared" si="26"/>
        <v>58896.959999999999</v>
      </c>
      <c r="W254" s="123"/>
      <c r="X254" s="268"/>
      <c r="Y254" s="207">
        <v>101.76242424242425</v>
      </c>
      <c r="Z254" s="267">
        <v>3208.0602028623857</v>
      </c>
      <c r="AA254" s="207">
        <v>326459.98335891968</v>
      </c>
      <c r="AB254" s="207">
        <v>101.76242424242425</v>
      </c>
      <c r="AC254" s="207">
        <v>456</v>
      </c>
      <c r="AD254" s="207">
        <v>46403.665454545458</v>
      </c>
    </row>
    <row r="255" spans="1:30" s="216" customFormat="1" ht="23.1" hidden="1" customHeight="1" outlineLevel="1">
      <c r="A255" s="220"/>
      <c r="B255" s="223" t="s">
        <v>707</v>
      </c>
      <c r="C255" s="223" t="s">
        <v>708</v>
      </c>
      <c r="D255" s="223" t="s">
        <v>247</v>
      </c>
      <c r="E255" s="207">
        <v>8296.0400000000009</v>
      </c>
      <c r="F255" s="205">
        <v>109.53792088073394</v>
      </c>
      <c r="G255" s="205">
        <v>908730.973143404</v>
      </c>
      <c r="H255" s="207">
        <v>8296.0400000000009</v>
      </c>
      <c r="I255" s="207"/>
      <c r="J255" s="207">
        <v>999672.82</v>
      </c>
      <c r="K255" s="207">
        <f t="shared" si="30"/>
        <v>0</v>
      </c>
      <c r="L255" s="267">
        <v>109.53792088073394</v>
      </c>
      <c r="M255" s="205">
        <f t="shared" si="29"/>
        <v>0</v>
      </c>
      <c r="N255" s="207">
        <f t="shared" si="31"/>
        <v>0</v>
      </c>
      <c r="O255" s="207"/>
      <c r="P255" s="207">
        <f t="shared" si="28"/>
        <v>0</v>
      </c>
      <c r="Q255" s="123"/>
      <c r="R255" s="267">
        <v>109.53792088073394</v>
      </c>
      <c r="S255" s="207">
        <f t="shared" si="27"/>
        <v>0</v>
      </c>
      <c r="T255" s="207">
        <f>+Q255</f>
        <v>0</v>
      </c>
      <c r="U255" s="207"/>
      <c r="V255" s="207">
        <f t="shared" si="26"/>
        <v>0</v>
      </c>
      <c r="W255" s="123"/>
      <c r="X255" s="268"/>
      <c r="Y255" s="207"/>
      <c r="Z255" s="267">
        <v>109.53792088073394</v>
      </c>
      <c r="AA255" s="207">
        <v>0</v>
      </c>
      <c r="AB255" s="207">
        <v>0</v>
      </c>
      <c r="AC255" s="207"/>
      <c r="AD255" s="207">
        <v>0</v>
      </c>
    </row>
    <row r="256" spans="1:30" s="216" customFormat="1" ht="23.1" hidden="1" customHeight="1" outlineLevel="1">
      <c r="A256" s="220"/>
      <c r="B256" s="223" t="s">
        <v>707</v>
      </c>
      <c r="C256" s="223" t="s">
        <v>709</v>
      </c>
      <c r="D256" s="223" t="s">
        <v>247</v>
      </c>
      <c r="E256" s="207">
        <v>7023.83</v>
      </c>
      <c r="F256" s="205">
        <v>186.1641969908257</v>
      </c>
      <c r="G256" s="205">
        <v>1307585.6717500712</v>
      </c>
      <c r="H256" s="207">
        <v>7023.83</v>
      </c>
      <c r="I256" s="207"/>
      <c r="J256" s="207">
        <v>1450420.895</v>
      </c>
      <c r="K256" s="207">
        <f t="shared" si="30"/>
        <v>0</v>
      </c>
      <c r="L256" s="267">
        <v>186.1641969908257</v>
      </c>
      <c r="M256" s="205">
        <f t="shared" si="29"/>
        <v>0</v>
      </c>
      <c r="N256" s="207">
        <f t="shared" si="31"/>
        <v>0</v>
      </c>
      <c r="O256" s="207"/>
      <c r="P256" s="207">
        <f t="shared" si="28"/>
        <v>0</v>
      </c>
      <c r="Q256" s="123"/>
      <c r="R256" s="267">
        <v>186.1641969908257</v>
      </c>
      <c r="S256" s="207">
        <f t="shared" si="27"/>
        <v>0</v>
      </c>
      <c r="T256" s="207">
        <f t="shared" ref="T256:T262" si="32">+Q256</f>
        <v>0</v>
      </c>
      <c r="U256" s="207"/>
      <c r="V256" s="207">
        <f t="shared" si="26"/>
        <v>0</v>
      </c>
      <c r="W256" s="123"/>
      <c r="X256" s="268"/>
      <c r="Y256" s="207"/>
      <c r="Z256" s="267">
        <v>186.1641969908257</v>
      </c>
      <c r="AA256" s="207">
        <v>0</v>
      </c>
      <c r="AB256" s="207">
        <v>0</v>
      </c>
      <c r="AC256" s="207"/>
      <c r="AD256" s="207">
        <v>0</v>
      </c>
    </row>
    <row r="257" spans="1:30" s="216" customFormat="1" ht="23.1" hidden="1" customHeight="1" outlineLevel="1">
      <c r="A257" s="220"/>
      <c r="B257" s="223" t="s">
        <v>710</v>
      </c>
      <c r="C257" s="223" t="s">
        <v>711</v>
      </c>
      <c r="D257" s="223" t="s">
        <v>103</v>
      </c>
      <c r="E257" s="207">
        <v>76.28</v>
      </c>
      <c r="F257" s="205">
        <v>3289.0304366972478</v>
      </c>
      <c r="G257" s="205">
        <v>250887.24171126605</v>
      </c>
      <c r="H257" s="207">
        <v>76.28</v>
      </c>
      <c r="I257" s="207"/>
      <c r="J257" s="207">
        <v>318073.86959999998</v>
      </c>
      <c r="K257" s="207">
        <f t="shared" si="30"/>
        <v>38.14</v>
      </c>
      <c r="L257" s="267">
        <v>3289.0304366972478</v>
      </c>
      <c r="M257" s="205">
        <f t="shared" si="29"/>
        <v>125443.62085563302</v>
      </c>
      <c r="N257" s="207">
        <f t="shared" si="31"/>
        <v>38.14</v>
      </c>
      <c r="O257" s="207"/>
      <c r="P257" s="207">
        <f t="shared" si="28"/>
        <v>0</v>
      </c>
      <c r="Q257" s="206">
        <f>+E257/34*17</f>
        <v>38.14</v>
      </c>
      <c r="R257" s="267">
        <v>3289.0304366972478</v>
      </c>
      <c r="S257" s="207">
        <f t="shared" si="27"/>
        <v>125443.62085563302</v>
      </c>
      <c r="T257" s="207">
        <f t="shared" si="32"/>
        <v>38.14</v>
      </c>
      <c r="U257" s="207">
        <v>456</v>
      </c>
      <c r="V257" s="207">
        <f t="shared" si="26"/>
        <v>17391.84</v>
      </c>
      <c r="W257" s="123"/>
      <c r="X257" s="268"/>
      <c r="Y257" s="207"/>
      <c r="Z257" s="267">
        <v>3289.0304366972478</v>
      </c>
      <c r="AA257" s="207">
        <v>0</v>
      </c>
      <c r="AB257" s="207">
        <v>0</v>
      </c>
      <c r="AC257" s="207"/>
      <c r="AD257" s="207">
        <v>0</v>
      </c>
    </row>
    <row r="258" spans="1:30" s="216" customFormat="1" ht="23.1" hidden="1" customHeight="1" outlineLevel="1">
      <c r="A258" s="220"/>
      <c r="B258" s="223" t="s">
        <v>712</v>
      </c>
      <c r="C258" s="223" t="s">
        <v>713</v>
      </c>
      <c r="D258" s="223" t="s">
        <v>397</v>
      </c>
      <c r="E258" s="207">
        <v>81.2</v>
      </c>
      <c r="F258" s="205">
        <v>154.27689159633027</v>
      </c>
      <c r="G258" s="205">
        <v>12527.283597622019</v>
      </c>
      <c r="H258" s="207">
        <v>81.2</v>
      </c>
      <c r="I258" s="207"/>
      <c r="J258" s="207">
        <v>13211.24</v>
      </c>
      <c r="K258" s="207">
        <f t="shared" si="30"/>
        <v>0</v>
      </c>
      <c r="L258" s="267">
        <v>154.27689159633027</v>
      </c>
      <c r="M258" s="205">
        <f t="shared" si="29"/>
        <v>0</v>
      </c>
      <c r="N258" s="207">
        <f t="shared" si="31"/>
        <v>0</v>
      </c>
      <c r="O258" s="207"/>
      <c r="P258" s="207">
        <f t="shared" si="28"/>
        <v>0</v>
      </c>
      <c r="Q258" s="123"/>
      <c r="R258" s="267">
        <v>154.27689159633027</v>
      </c>
      <c r="S258" s="207">
        <f t="shared" si="27"/>
        <v>0</v>
      </c>
      <c r="T258" s="207">
        <f t="shared" si="32"/>
        <v>0</v>
      </c>
      <c r="U258" s="207"/>
      <c r="V258" s="207">
        <f t="shared" si="26"/>
        <v>0</v>
      </c>
      <c r="W258" s="123"/>
      <c r="X258" s="268"/>
      <c r="Y258" s="207"/>
      <c r="Z258" s="267">
        <v>154.27689159633027</v>
      </c>
      <c r="AA258" s="207">
        <v>0</v>
      </c>
      <c r="AB258" s="207">
        <v>0</v>
      </c>
      <c r="AC258" s="207"/>
      <c r="AD258" s="207">
        <v>0</v>
      </c>
    </row>
    <row r="259" spans="1:30" s="216" customFormat="1" ht="23.1" hidden="1" customHeight="1" outlineLevel="1">
      <c r="A259" s="220"/>
      <c r="B259" s="223" t="s">
        <v>712</v>
      </c>
      <c r="C259" s="223" t="s">
        <v>714</v>
      </c>
      <c r="D259" s="223" t="s">
        <v>397</v>
      </c>
      <c r="E259" s="207">
        <v>92.8</v>
      </c>
      <c r="F259" s="205">
        <v>165.91452506422021</v>
      </c>
      <c r="G259" s="205">
        <v>15396.867925959636</v>
      </c>
      <c r="H259" s="207">
        <v>92.8</v>
      </c>
      <c r="I259" s="207"/>
      <c r="J259" s="207">
        <v>16237.215999999999</v>
      </c>
      <c r="K259" s="207">
        <f t="shared" si="30"/>
        <v>0</v>
      </c>
      <c r="L259" s="267">
        <v>165.91452506422021</v>
      </c>
      <c r="M259" s="205">
        <f t="shared" si="29"/>
        <v>0</v>
      </c>
      <c r="N259" s="207">
        <f t="shared" si="31"/>
        <v>0</v>
      </c>
      <c r="O259" s="207"/>
      <c r="P259" s="207">
        <f t="shared" si="28"/>
        <v>0</v>
      </c>
      <c r="Q259" s="123"/>
      <c r="R259" s="267">
        <v>165.91452506422021</v>
      </c>
      <c r="S259" s="207">
        <f t="shared" si="27"/>
        <v>0</v>
      </c>
      <c r="T259" s="207">
        <f t="shared" si="32"/>
        <v>0</v>
      </c>
      <c r="U259" s="207"/>
      <c r="V259" s="207">
        <f t="shared" si="26"/>
        <v>0</v>
      </c>
      <c r="W259" s="123"/>
      <c r="X259" s="268"/>
      <c r="Y259" s="207"/>
      <c r="Z259" s="267">
        <v>165.91452506422021</v>
      </c>
      <c r="AA259" s="207">
        <v>0</v>
      </c>
      <c r="AB259" s="207">
        <v>0</v>
      </c>
      <c r="AC259" s="207"/>
      <c r="AD259" s="207">
        <v>0</v>
      </c>
    </row>
    <row r="260" spans="1:30" s="216" customFormat="1" ht="23.1" hidden="1" customHeight="1" outlineLevel="1">
      <c r="A260" s="220"/>
      <c r="B260" s="223" t="s">
        <v>712</v>
      </c>
      <c r="C260" s="223" t="s">
        <v>715</v>
      </c>
      <c r="D260" s="223" t="s">
        <v>397</v>
      </c>
      <c r="E260" s="207">
        <v>104.4</v>
      </c>
      <c r="F260" s="205">
        <v>178.36783618348622</v>
      </c>
      <c r="G260" s="205">
        <v>18621.602097555962</v>
      </c>
      <c r="H260" s="207">
        <v>104.4</v>
      </c>
      <c r="I260" s="207"/>
      <c r="J260" s="207">
        <v>19637.64</v>
      </c>
      <c r="K260" s="207">
        <f t="shared" si="30"/>
        <v>0</v>
      </c>
      <c r="L260" s="267">
        <v>178.36783618348622</v>
      </c>
      <c r="M260" s="205">
        <f t="shared" si="29"/>
        <v>0</v>
      </c>
      <c r="N260" s="207">
        <f t="shared" si="31"/>
        <v>0</v>
      </c>
      <c r="O260" s="207"/>
      <c r="P260" s="207">
        <f t="shared" si="28"/>
        <v>0</v>
      </c>
      <c r="Q260" s="123"/>
      <c r="R260" s="267">
        <v>178.36783618348622</v>
      </c>
      <c r="S260" s="207">
        <f t="shared" si="27"/>
        <v>0</v>
      </c>
      <c r="T260" s="207">
        <f t="shared" si="32"/>
        <v>0</v>
      </c>
      <c r="U260" s="207"/>
      <c r="V260" s="207">
        <f t="shared" si="26"/>
        <v>0</v>
      </c>
      <c r="W260" s="123"/>
      <c r="X260" s="268"/>
      <c r="Y260" s="207"/>
      <c r="Z260" s="267">
        <v>178.36783618348622</v>
      </c>
      <c r="AA260" s="207">
        <v>0</v>
      </c>
      <c r="AB260" s="207">
        <v>0</v>
      </c>
      <c r="AC260" s="207"/>
      <c r="AD260" s="207">
        <v>0</v>
      </c>
    </row>
    <row r="261" spans="1:30" s="216" customFormat="1" ht="23.1" hidden="1" customHeight="1" outlineLevel="1">
      <c r="A261" s="220"/>
      <c r="B261" s="223" t="s">
        <v>712</v>
      </c>
      <c r="C261" s="223" t="s">
        <v>716</v>
      </c>
      <c r="D261" s="223" t="s">
        <v>397</v>
      </c>
      <c r="E261" s="207">
        <v>81.2</v>
      </c>
      <c r="F261" s="205">
        <v>193.27766488073397</v>
      </c>
      <c r="G261" s="205">
        <v>15694.146388315599</v>
      </c>
      <c r="H261" s="207">
        <v>81.2</v>
      </c>
      <c r="I261" s="207"/>
      <c r="J261" s="207">
        <v>16550.996000000003</v>
      </c>
      <c r="K261" s="207">
        <f t="shared" si="30"/>
        <v>0</v>
      </c>
      <c r="L261" s="267">
        <v>193.27766488073397</v>
      </c>
      <c r="M261" s="205">
        <f t="shared" si="29"/>
        <v>0</v>
      </c>
      <c r="N261" s="207">
        <f t="shared" si="31"/>
        <v>0</v>
      </c>
      <c r="O261" s="207"/>
      <c r="P261" s="207">
        <f t="shared" si="28"/>
        <v>0</v>
      </c>
      <c r="Q261" s="123"/>
      <c r="R261" s="267">
        <v>193.27766488073397</v>
      </c>
      <c r="S261" s="207">
        <f t="shared" si="27"/>
        <v>0</v>
      </c>
      <c r="T261" s="207">
        <f t="shared" si="32"/>
        <v>0</v>
      </c>
      <c r="U261" s="207"/>
      <c r="V261" s="207">
        <f t="shared" si="26"/>
        <v>0</v>
      </c>
      <c r="W261" s="123"/>
      <c r="X261" s="268"/>
      <c r="Y261" s="207"/>
      <c r="Z261" s="267">
        <v>193.27766488073397</v>
      </c>
      <c r="AA261" s="207">
        <v>0</v>
      </c>
      <c r="AB261" s="207">
        <v>0</v>
      </c>
      <c r="AC261" s="207"/>
      <c r="AD261" s="207">
        <v>0</v>
      </c>
    </row>
    <row r="262" spans="1:30" s="216" customFormat="1" ht="23.1" hidden="1" customHeight="1" outlineLevel="1">
      <c r="A262" s="220"/>
      <c r="B262" s="223" t="s">
        <v>712</v>
      </c>
      <c r="C262" s="223" t="s">
        <v>717</v>
      </c>
      <c r="D262" s="223" t="s">
        <v>397</v>
      </c>
      <c r="E262" s="207">
        <v>102.1</v>
      </c>
      <c r="F262" s="205">
        <v>185.82275053211009</v>
      </c>
      <c r="G262" s="205">
        <v>18972.502829328438</v>
      </c>
      <c r="H262" s="207">
        <v>102.1</v>
      </c>
      <c r="I262" s="207"/>
      <c r="J262" s="207">
        <v>20007.516</v>
      </c>
      <c r="K262" s="207">
        <f t="shared" si="30"/>
        <v>0</v>
      </c>
      <c r="L262" s="267">
        <v>185.82275053211009</v>
      </c>
      <c r="M262" s="205">
        <f t="shared" si="29"/>
        <v>0</v>
      </c>
      <c r="N262" s="207">
        <f t="shared" si="31"/>
        <v>0</v>
      </c>
      <c r="O262" s="207"/>
      <c r="P262" s="207">
        <f t="shared" si="28"/>
        <v>0</v>
      </c>
      <c r="Q262" s="123"/>
      <c r="R262" s="267">
        <v>185.82275053211009</v>
      </c>
      <c r="S262" s="207">
        <f t="shared" si="27"/>
        <v>0</v>
      </c>
      <c r="T262" s="207">
        <f t="shared" si="32"/>
        <v>0</v>
      </c>
      <c r="U262" s="207"/>
      <c r="V262" s="207">
        <f t="shared" si="26"/>
        <v>0</v>
      </c>
      <c r="W262" s="123"/>
      <c r="X262" s="268"/>
      <c r="Y262" s="207"/>
      <c r="Z262" s="267">
        <v>185.82275053211009</v>
      </c>
      <c r="AA262" s="207">
        <v>0</v>
      </c>
      <c r="AB262" s="207">
        <v>0</v>
      </c>
      <c r="AC262" s="207"/>
      <c r="AD262" s="207">
        <v>0</v>
      </c>
    </row>
    <row r="263" spans="1:30" s="216" customFormat="1" ht="23.1" hidden="1" customHeight="1" outlineLevel="1">
      <c r="A263" s="220"/>
      <c r="B263" s="223" t="s">
        <v>376</v>
      </c>
      <c r="C263" s="220"/>
      <c r="D263" s="223" t="s">
        <v>143</v>
      </c>
      <c r="E263" s="207">
        <v>1</v>
      </c>
      <c r="F263" s="205">
        <v>-107152.28189680734</v>
      </c>
      <c r="G263" s="205">
        <v>-107152.28189680734</v>
      </c>
      <c r="H263" s="207">
        <v>1</v>
      </c>
      <c r="I263" s="207"/>
      <c r="J263" s="207">
        <v>0</v>
      </c>
      <c r="K263" s="207">
        <v>1</v>
      </c>
      <c r="L263" s="267">
        <v>-107152.28189680734</v>
      </c>
      <c r="M263" s="205">
        <f t="shared" si="29"/>
        <v>-107152.28189680734</v>
      </c>
      <c r="N263" s="207"/>
      <c r="O263" s="207"/>
      <c r="P263" s="207">
        <f t="shared" si="28"/>
        <v>0</v>
      </c>
      <c r="Q263" s="123">
        <v>1</v>
      </c>
      <c r="R263" s="267">
        <v>-107152.28189680734</v>
      </c>
      <c r="S263" s="207">
        <f t="shared" si="27"/>
        <v>-107152.28189680734</v>
      </c>
      <c r="T263" s="207"/>
      <c r="U263" s="207"/>
      <c r="V263" s="207">
        <f t="shared" si="26"/>
        <v>0</v>
      </c>
      <c r="W263" s="123"/>
      <c r="X263" s="268"/>
      <c r="Y263" s="207"/>
      <c r="Z263" s="267"/>
      <c r="AA263" s="207">
        <v>0</v>
      </c>
      <c r="AB263" s="207"/>
      <c r="AC263" s="207"/>
      <c r="AD263" s="207">
        <v>0</v>
      </c>
    </row>
    <row r="264" spans="1:30" s="216" customFormat="1" ht="23.1" hidden="1" customHeight="1" outlineLevel="1">
      <c r="A264" s="220"/>
      <c r="B264" s="223" t="s">
        <v>377</v>
      </c>
      <c r="C264" s="220"/>
      <c r="D264" s="223" t="s">
        <v>143</v>
      </c>
      <c r="E264" s="207">
        <v>1</v>
      </c>
      <c r="F264" s="205">
        <v>-205557.12284477064</v>
      </c>
      <c r="G264" s="205">
        <v>-205557.12284477064</v>
      </c>
      <c r="H264" s="207">
        <v>1</v>
      </c>
      <c r="I264" s="207"/>
      <c r="J264" s="207">
        <v>0</v>
      </c>
      <c r="K264" s="207">
        <v>1</v>
      </c>
      <c r="L264" s="267">
        <v>-205557.12284477064</v>
      </c>
      <c r="M264" s="205">
        <f t="shared" si="29"/>
        <v>-205557.12284477064</v>
      </c>
      <c r="N264" s="207"/>
      <c r="O264" s="207"/>
      <c r="P264" s="207">
        <f t="shared" si="28"/>
        <v>0</v>
      </c>
      <c r="Q264" s="123">
        <v>1</v>
      </c>
      <c r="R264" s="267">
        <v>-205557.12284477064</v>
      </c>
      <c r="S264" s="207">
        <f t="shared" si="27"/>
        <v>-205557.12284477064</v>
      </c>
      <c r="T264" s="207"/>
      <c r="U264" s="207"/>
      <c r="V264" s="207">
        <f t="shared" si="26"/>
        <v>0</v>
      </c>
      <c r="W264" s="123"/>
      <c r="X264" s="268"/>
      <c r="Y264" s="207"/>
      <c r="Z264" s="267"/>
      <c r="AA264" s="207">
        <v>0</v>
      </c>
      <c r="AB264" s="207"/>
      <c r="AC264" s="207"/>
      <c r="AD264" s="207">
        <v>0</v>
      </c>
    </row>
    <row r="265" spans="1:30" s="215" customFormat="1" ht="23.1" customHeight="1" collapsed="1">
      <c r="A265" s="220" t="s">
        <v>284</v>
      </c>
      <c r="B265" s="220" t="s">
        <v>718</v>
      </c>
      <c r="C265" s="220"/>
      <c r="D265" s="220"/>
      <c r="E265" s="229"/>
      <c r="F265" s="222"/>
      <c r="G265" s="222">
        <v>3870246.0958212288</v>
      </c>
      <c r="H265" s="229"/>
      <c r="I265" s="229"/>
      <c r="J265" s="229">
        <v>4440557.5448000003</v>
      </c>
      <c r="K265" s="207"/>
      <c r="L265" s="266"/>
      <c r="M265" s="229">
        <f>SUM(M266:M277)</f>
        <v>-14663.290793917084</v>
      </c>
      <c r="N265" s="207"/>
      <c r="O265" s="229"/>
      <c r="P265" s="229">
        <f>SUM(P266:P277)</f>
        <v>21949.352727272722</v>
      </c>
      <c r="Q265" s="137"/>
      <c r="R265" s="266"/>
      <c r="S265" s="229">
        <f>SUM(S266:S277)</f>
        <v>586518.38105311722</v>
      </c>
      <c r="T265" s="229"/>
      <c r="U265" s="229"/>
      <c r="V265" s="229">
        <f>SUM(V266:V277)</f>
        <v>120867.35999999999</v>
      </c>
      <c r="W265" s="137"/>
      <c r="X265" s="271"/>
      <c r="Y265" s="229"/>
      <c r="Z265" s="266"/>
      <c r="AA265" s="229">
        <v>601181.67184703425</v>
      </c>
      <c r="AB265" s="229"/>
      <c r="AC265" s="229"/>
      <c r="AD265" s="229">
        <v>81526.167272727267</v>
      </c>
    </row>
    <row r="266" spans="1:30" s="216" customFormat="1" ht="23.1" hidden="1" customHeight="1" outlineLevel="1">
      <c r="A266" s="220"/>
      <c r="B266" s="223" t="s">
        <v>703</v>
      </c>
      <c r="C266" s="223" t="s">
        <v>704</v>
      </c>
      <c r="D266" s="223" t="s">
        <v>103</v>
      </c>
      <c r="E266" s="207">
        <v>203.18</v>
      </c>
      <c r="F266" s="205">
        <v>3553.2246341284408</v>
      </c>
      <c r="G266" s="205">
        <v>721944.18116221658</v>
      </c>
      <c r="H266" s="207">
        <v>203.18</v>
      </c>
      <c r="I266" s="207"/>
      <c r="J266" s="207">
        <v>708153.41300000006</v>
      </c>
      <c r="K266" s="207">
        <f>+Q266-Y266</f>
        <v>21.549393939393937</v>
      </c>
      <c r="L266" s="267">
        <v>3553.2246341284408</v>
      </c>
      <c r="M266" s="205">
        <f t="shared" si="29"/>
        <v>76569.837395992668</v>
      </c>
      <c r="N266" s="207">
        <f>+T266-AB266</f>
        <v>21.549393939393937</v>
      </c>
      <c r="O266" s="207">
        <v>456</v>
      </c>
      <c r="P266" s="207">
        <f t="shared" si="28"/>
        <v>9826.5236363636359</v>
      </c>
      <c r="Q266" s="206">
        <f>+E266/34*17</f>
        <v>101.59</v>
      </c>
      <c r="R266" s="267">
        <v>3553.2246341284408</v>
      </c>
      <c r="S266" s="207">
        <f t="shared" si="27"/>
        <v>360972.09058110829</v>
      </c>
      <c r="T266" s="207">
        <f>+Q266</f>
        <v>101.59</v>
      </c>
      <c r="U266" s="207">
        <v>456</v>
      </c>
      <c r="V266" s="207">
        <f t="shared" si="26"/>
        <v>46325.04</v>
      </c>
      <c r="W266" s="123"/>
      <c r="X266" s="268"/>
      <c r="Y266" s="207">
        <v>80.040606060606066</v>
      </c>
      <c r="Z266" s="267">
        <v>3553.2246341284408</v>
      </c>
      <c r="AA266" s="207">
        <v>284402.25318511564</v>
      </c>
      <c r="AB266" s="207">
        <v>80.040606060606066</v>
      </c>
      <c r="AC266" s="207">
        <v>456</v>
      </c>
      <c r="AD266" s="207">
        <v>36498.516363636365</v>
      </c>
    </row>
    <row r="267" spans="1:30" s="216" customFormat="1" ht="23.1" hidden="1" customHeight="1" outlineLevel="1">
      <c r="A267" s="220"/>
      <c r="B267" s="223" t="s">
        <v>705</v>
      </c>
      <c r="C267" s="223" t="s">
        <v>706</v>
      </c>
      <c r="D267" s="223" t="s">
        <v>103</v>
      </c>
      <c r="E267" s="207">
        <v>250.66</v>
      </c>
      <c r="F267" s="205">
        <v>3208.0602028623857</v>
      </c>
      <c r="G267" s="205">
        <v>804132.37044948561</v>
      </c>
      <c r="H267" s="207">
        <v>250.66</v>
      </c>
      <c r="I267" s="207"/>
      <c r="J267" s="207">
        <v>768616.30420000001</v>
      </c>
      <c r="K267" s="207">
        <f t="shared" ref="K267:K275" si="33">+Q267-Y267</f>
        <v>26.585151515151509</v>
      </c>
      <c r="L267" s="267">
        <v>3208.0602028623857</v>
      </c>
      <c r="M267" s="205">
        <f t="shared" si="29"/>
        <v>85286.76656282421</v>
      </c>
      <c r="N267" s="207">
        <f t="shared" ref="N267:N275" si="34">+T267-AB267</f>
        <v>26.585151515151509</v>
      </c>
      <c r="O267" s="207">
        <v>456</v>
      </c>
      <c r="P267" s="207">
        <f t="shared" si="28"/>
        <v>12122.829090909088</v>
      </c>
      <c r="Q267" s="206">
        <f>+E267/34*17</f>
        <v>125.33</v>
      </c>
      <c r="R267" s="267">
        <v>3208.0602028623857</v>
      </c>
      <c r="S267" s="207">
        <f t="shared" si="27"/>
        <v>402066.1852247428</v>
      </c>
      <c r="T267" s="207">
        <f t="shared" ref="T267:T277" si="35">+Q267</f>
        <v>125.33</v>
      </c>
      <c r="U267" s="207">
        <v>456</v>
      </c>
      <c r="V267" s="207">
        <f t="shared" si="26"/>
        <v>57150.479999999996</v>
      </c>
      <c r="W267" s="123"/>
      <c r="X267" s="268"/>
      <c r="Y267" s="207">
        <v>98.74484848484849</v>
      </c>
      <c r="Z267" s="267">
        <v>3208.0602028623857</v>
      </c>
      <c r="AA267" s="207">
        <v>316779.41866191861</v>
      </c>
      <c r="AB267" s="207">
        <v>98.74484848484849</v>
      </c>
      <c r="AC267" s="207">
        <v>456</v>
      </c>
      <c r="AD267" s="207">
        <v>45027.650909090909</v>
      </c>
    </row>
    <row r="268" spans="1:30" s="216" customFormat="1" ht="23.1" hidden="1" customHeight="1" outlineLevel="1">
      <c r="A268" s="220"/>
      <c r="B268" s="223" t="s">
        <v>707</v>
      </c>
      <c r="C268" s="223" t="s">
        <v>719</v>
      </c>
      <c r="D268" s="223" t="s">
        <v>247</v>
      </c>
      <c r="E268" s="207">
        <v>6716.7</v>
      </c>
      <c r="F268" s="205">
        <v>109.53792088073394</v>
      </c>
      <c r="G268" s="205">
        <v>735733.35317962558</v>
      </c>
      <c r="H268" s="207">
        <v>6716.7</v>
      </c>
      <c r="I268" s="207"/>
      <c r="J268" s="207">
        <v>809362.35</v>
      </c>
      <c r="K268" s="207">
        <f t="shared" si="33"/>
        <v>0</v>
      </c>
      <c r="L268" s="267">
        <v>109.53792088073394</v>
      </c>
      <c r="M268" s="205">
        <f t="shared" si="29"/>
        <v>0</v>
      </c>
      <c r="N268" s="207">
        <f t="shared" si="34"/>
        <v>0</v>
      </c>
      <c r="O268" s="207"/>
      <c r="P268" s="207">
        <f t="shared" si="28"/>
        <v>0</v>
      </c>
      <c r="Q268" s="123"/>
      <c r="R268" s="267">
        <v>109.53792088073394</v>
      </c>
      <c r="S268" s="207">
        <f t="shared" si="27"/>
        <v>0</v>
      </c>
      <c r="T268" s="207">
        <f t="shared" si="35"/>
        <v>0</v>
      </c>
      <c r="U268" s="207"/>
      <c r="V268" s="207">
        <f t="shared" si="26"/>
        <v>0</v>
      </c>
      <c r="W268" s="123"/>
      <c r="X268" s="268"/>
      <c r="Y268" s="207"/>
      <c r="Z268" s="267">
        <v>109.53792088073394</v>
      </c>
      <c r="AA268" s="207">
        <v>0</v>
      </c>
      <c r="AB268" s="207">
        <v>0</v>
      </c>
      <c r="AC268" s="207"/>
      <c r="AD268" s="207">
        <v>0</v>
      </c>
    </row>
    <row r="269" spans="1:30" s="216" customFormat="1" ht="23.1" hidden="1" customHeight="1" outlineLevel="1">
      <c r="A269" s="220"/>
      <c r="B269" s="223" t="s">
        <v>707</v>
      </c>
      <c r="C269" s="223" t="s">
        <v>709</v>
      </c>
      <c r="D269" s="223" t="s">
        <v>247</v>
      </c>
      <c r="E269" s="207">
        <v>8478</v>
      </c>
      <c r="F269" s="205">
        <v>186.1641969908257</v>
      </c>
      <c r="G269" s="205">
        <v>1578300.0620882204</v>
      </c>
      <c r="H269" s="207">
        <v>8478</v>
      </c>
      <c r="I269" s="207"/>
      <c r="J269" s="207">
        <v>1750707</v>
      </c>
      <c r="K269" s="207">
        <f t="shared" si="33"/>
        <v>0</v>
      </c>
      <c r="L269" s="267">
        <v>186.1641969908257</v>
      </c>
      <c r="M269" s="205">
        <f t="shared" si="29"/>
        <v>0</v>
      </c>
      <c r="N269" s="207">
        <f t="shared" si="34"/>
        <v>0</v>
      </c>
      <c r="O269" s="207"/>
      <c r="P269" s="207">
        <f t="shared" si="28"/>
        <v>0</v>
      </c>
      <c r="Q269" s="123"/>
      <c r="R269" s="267">
        <v>186.1641969908257</v>
      </c>
      <c r="S269" s="207">
        <f t="shared" si="27"/>
        <v>0</v>
      </c>
      <c r="T269" s="207">
        <f t="shared" si="35"/>
        <v>0</v>
      </c>
      <c r="U269" s="207"/>
      <c r="V269" s="207">
        <f t="shared" si="26"/>
        <v>0</v>
      </c>
      <c r="W269" s="123"/>
      <c r="X269" s="268"/>
      <c r="Y269" s="207"/>
      <c r="Z269" s="267">
        <v>186.1641969908257</v>
      </c>
      <c r="AA269" s="207">
        <v>0</v>
      </c>
      <c r="AB269" s="207">
        <v>0</v>
      </c>
      <c r="AC269" s="207"/>
      <c r="AD269" s="207">
        <v>0</v>
      </c>
    </row>
    <row r="270" spans="1:30" s="216" customFormat="1" ht="23.1" hidden="1" customHeight="1" outlineLevel="1">
      <c r="A270" s="220"/>
      <c r="B270" s="223" t="s">
        <v>710</v>
      </c>
      <c r="C270" s="223" t="s">
        <v>711</v>
      </c>
      <c r="D270" s="223" t="s">
        <v>103</v>
      </c>
      <c r="E270" s="207">
        <v>76.28</v>
      </c>
      <c r="F270" s="205">
        <v>3289.0304366972478</v>
      </c>
      <c r="G270" s="205">
        <v>250887.24171126605</v>
      </c>
      <c r="H270" s="207">
        <v>76.28</v>
      </c>
      <c r="I270" s="207"/>
      <c r="J270" s="207">
        <v>318073.86959999998</v>
      </c>
      <c r="K270" s="207">
        <f t="shared" si="33"/>
        <v>38.14</v>
      </c>
      <c r="L270" s="267">
        <v>3289.0304366972478</v>
      </c>
      <c r="M270" s="205">
        <f t="shared" si="29"/>
        <v>125443.62085563302</v>
      </c>
      <c r="N270" s="207">
        <f t="shared" si="34"/>
        <v>38.14</v>
      </c>
      <c r="O270" s="207"/>
      <c r="P270" s="207">
        <f t="shared" si="28"/>
        <v>0</v>
      </c>
      <c r="Q270" s="206">
        <f>+E270/34*17</f>
        <v>38.14</v>
      </c>
      <c r="R270" s="267">
        <v>3289.0304366972478</v>
      </c>
      <c r="S270" s="207">
        <f t="shared" si="27"/>
        <v>125443.62085563302</v>
      </c>
      <c r="T270" s="207">
        <f t="shared" si="35"/>
        <v>38.14</v>
      </c>
      <c r="U270" s="207">
        <v>456</v>
      </c>
      <c r="V270" s="207">
        <f t="shared" si="26"/>
        <v>17391.84</v>
      </c>
      <c r="W270" s="123"/>
      <c r="X270" s="268"/>
      <c r="Y270" s="207"/>
      <c r="Z270" s="267">
        <v>3289.0304366972478</v>
      </c>
      <c r="AA270" s="207">
        <v>0</v>
      </c>
      <c r="AB270" s="207">
        <v>0</v>
      </c>
      <c r="AC270" s="207"/>
      <c r="AD270" s="207">
        <v>0</v>
      </c>
    </row>
    <row r="271" spans="1:30" s="216" customFormat="1" ht="23.1" hidden="1" customHeight="1" outlineLevel="1">
      <c r="A271" s="220"/>
      <c r="B271" s="223" t="s">
        <v>712</v>
      </c>
      <c r="C271" s="223" t="s">
        <v>713</v>
      </c>
      <c r="D271" s="223" t="s">
        <v>397</v>
      </c>
      <c r="E271" s="207">
        <v>81.2</v>
      </c>
      <c r="F271" s="205">
        <v>154.27689159633027</v>
      </c>
      <c r="G271" s="205">
        <v>12527.283597622019</v>
      </c>
      <c r="H271" s="207">
        <v>81.2</v>
      </c>
      <c r="I271" s="207"/>
      <c r="J271" s="207">
        <v>13211.24</v>
      </c>
      <c r="K271" s="207">
        <f t="shared" si="33"/>
        <v>0</v>
      </c>
      <c r="L271" s="267">
        <v>154.27689159633027</v>
      </c>
      <c r="M271" s="205">
        <f t="shared" si="29"/>
        <v>0</v>
      </c>
      <c r="N271" s="207">
        <f t="shared" si="34"/>
        <v>0</v>
      </c>
      <c r="O271" s="207"/>
      <c r="P271" s="207">
        <f t="shared" si="28"/>
        <v>0</v>
      </c>
      <c r="Q271" s="123"/>
      <c r="R271" s="267">
        <v>154.27689159633027</v>
      </c>
      <c r="S271" s="207">
        <f t="shared" si="27"/>
        <v>0</v>
      </c>
      <c r="T271" s="207">
        <f t="shared" si="35"/>
        <v>0</v>
      </c>
      <c r="U271" s="207"/>
      <c r="V271" s="207">
        <f t="shared" si="26"/>
        <v>0</v>
      </c>
      <c r="W271" s="123"/>
      <c r="X271" s="268"/>
      <c r="Y271" s="207"/>
      <c r="Z271" s="267">
        <v>154.27689159633027</v>
      </c>
      <c r="AA271" s="207">
        <v>0</v>
      </c>
      <c r="AB271" s="207">
        <v>0</v>
      </c>
      <c r="AC271" s="207"/>
      <c r="AD271" s="207">
        <v>0</v>
      </c>
    </row>
    <row r="272" spans="1:30" s="216" customFormat="1" ht="23.1" hidden="1" customHeight="1" outlineLevel="1">
      <c r="A272" s="220"/>
      <c r="B272" s="223" t="s">
        <v>712</v>
      </c>
      <c r="C272" s="223" t="s">
        <v>714</v>
      </c>
      <c r="D272" s="223" t="s">
        <v>397</v>
      </c>
      <c r="E272" s="207">
        <v>92.8</v>
      </c>
      <c r="F272" s="205">
        <v>165.91452506422021</v>
      </c>
      <c r="G272" s="205">
        <v>15396.867925959636</v>
      </c>
      <c r="H272" s="207">
        <v>92.8</v>
      </c>
      <c r="I272" s="207"/>
      <c r="J272" s="207">
        <v>16237.215999999999</v>
      </c>
      <c r="K272" s="207">
        <f t="shared" si="33"/>
        <v>0</v>
      </c>
      <c r="L272" s="267">
        <v>165.91452506422021</v>
      </c>
      <c r="M272" s="205">
        <f t="shared" si="29"/>
        <v>0</v>
      </c>
      <c r="N272" s="207">
        <f t="shared" si="34"/>
        <v>0</v>
      </c>
      <c r="O272" s="207"/>
      <c r="P272" s="207">
        <f t="shared" si="28"/>
        <v>0</v>
      </c>
      <c r="Q272" s="123"/>
      <c r="R272" s="267">
        <v>165.91452506422021</v>
      </c>
      <c r="S272" s="207">
        <f t="shared" si="27"/>
        <v>0</v>
      </c>
      <c r="T272" s="207">
        <f t="shared" si="35"/>
        <v>0</v>
      </c>
      <c r="U272" s="207"/>
      <c r="V272" s="207">
        <f t="shared" si="26"/>
        <v>0</v>
      </c>
      <c r="W272" s="123"/>
      <c r="X272" s="268"/>
      <c r="Y272" s="207"/>
      <c r="Z272" s="267">
        <v>165.91452506422021</v>
      </c>
      <c r="AA272" s="207">
        <v>0</v>
      </c>
      <c r="AB272" s="207">
        <v>0</v>
      </c>
      <c r="AC272" s="207"/>
      <c r="AD272" s="207">
        <v>0</v>
      </c>
    </row>
    <row r="273" spans="1:30" s="216" customFormat="1" ht="23.1" hidden="1" customHeight="1" outlineLevel="1">
      <c r="A273" s="220"/>
      <c r="B273" s="223" t="s">
        <v>712</v>
      </c>
      <c r="C273" s="223" t="s">
        <v>715</v>
      </c>
      <c r="D273" s="223" t="s">
        <v>397</v>
      </c>
      <c r="E273" s="207">
        <v>104.4</v>
      </c>
      <c r="F273" s="205">
        <v>178.36783618348622</v>
      </c>
      <c r="G273" s="205">
        <v>18621.602097555962</v>
      </c>
      <c r="H273" s="207">
        <v>104.4</v>
      </c>
      <c r="I273" s="207"/>
      <c r="J273" s="207">
        <v>19637.64</v>
      </c>
      <c r="K273" s="207">
        <f t="shared" si="33"/>
        <v>0</v>
      </c>
      <c r="L273" s="267">
        <v>178.36783618348622</v>
      </c>
      <c r="M273" s="205">
        <f t="shared" si="29"/>
        <v>0</v>
      </c>
      <c r="N273" s="207">
        <f t="shared" si="34"/>
        <v>0</v>
      </c>
      <c r="O273" s="207"/>
      <c r="P273" s="207">
        <f t="shared" si="28"/>
        <v>0</v>
      </c>
      <c r="Q273" s="123"/>
      <c r="R273" s="267">
        <v>178.36783618348622</v>
      </c>
      <c r="S273" s="207">
        <f t="shared" si="27"/>
        <v>0</v>
      </c>
      <c r="T273" s="207">
        <f t="shared" si="35"/>
        <v>0</v>
      </c>
      <c r="U273" s="207"/>
      <c r="V273" s="207">
        <f t="shared" si="26"/>
        <v>0</v>
      </c>
      <c r="W273" s="123"/>
      <c r="X273" s="268"/>
      <c r="Y273" s="207"/>
      <c r="Z273" s="267">
        <v>178.36783618348622</v>
      </c>
      <c r="AA273" s="207">
        <v>0</v>
      </c>
      <c r="AB273" s="207">
        <v>0</v>
      </c>
      <c r="AC273" s="207"/>
      <c r="AD273" s="207">
        <v>0</v>
      </c>
    </row>
    <row r="274" spans="1:30" s="216" customFormat="1" ht="23.1" hidden="1" customHeight="1" outlineLevel="1">
      <c r="A274" s="220"/>
      <c r="B274" s="223" t="s">
        <v>712</v>
      </c>
      <c r="C274" s="223" t="s">
        <v>716</v>
      </c>
      <c r="D274" s="223" t="s">
        <v>397</v>
      </c>
      <c r="E274" s="207">
        <v>81.2</v>
      </c>
      <c r="F274" s="205">
        <v>193.27766488073397</v>
      </c>
      <c r="G274" s="205">
        <v>15694.146388315599</v>
      </c>
      <c r="H274" s="207">
        <v>81.2</v>
      </c>
      <c r="I274" s="207"/>
      <c r="J274" s="207">
        <v>16550.996000000003</v>
      </c>
      <c r="K274" s="207">
        <f t="shared" si="33"/>
        <v>0</v>
      </c>
      <c r="L274" s="267">
        <v>193.27766488073397</v>
      </c>
      <c r="M274" s="205">
        <f t="shared" si="29"/>
        <v>0</v>
      </c>
      <c r="N274" s="207">
        <f t="shared" si="34"/>
        <v>0</v>
      </c>
      <c r="O274" s="207"/>
      <c r="P274" s="207">
        <f t="shared" si="28"/>
        <v>0</v>
      </c>
      <c r="Q274" s="123"/>
      <c r="R274" s="267">
        <v>193.27766488073397</v>
      </c>
      <c r="S274" s="207">
        <f t="shared" si="27"/>
        <v>0</v>
      </c>
      <c r="T274" s="207">
        <f t="shared" si="35"/>
        <v>0</v>
      </c>
      <c r="U274" s="207"/>
      <c r="V274" s="207">
        <f t="shared" si="26"/>
        <v>0</v>
      </c>
      <c r="W274" s="123"/>
      <c r="X274" s="268"/>
      <c r="Y274" s="207"/>
      <c r="Z274" s="267">
        <v>193.27766488073397</v>
      </c>
      <c r="AA274" s="207">
        <v>0</v>
      </c>
      <c r="AB274" s="207">
        <v>0</v>
      </c>
      <c r="AC274" s="207"/>
      <c r="AD274" s="207">
        <v>0</v>
      </c>
    </row>
    <row r="275" spans="1:30" s="216" customFormat="1" ht="23.1" hidden="1" customHeight="1" outlineLevel="1">
      <c r="A275" s="220"/>
      <c r="B275" s="223" t="s">
        <v>712</v>
      </c>
      <c r="C275" s="223" t="s">
        <v>717</v>
      </c>
      <c r="D275" s="223" t="s">
        <v>397</v>
      </c>
      <c r="E275" s="207">
        <v>102.1</v>
      </c>
      <c r="F275" s="205">
        <v>185.82275053211009</v>
      </c>
      <c r="G275" s="205">
        <v>18972.502829328438</v>
      </c>
      <c r="H275" s="207">
        <v>102.1</v>
      </c>
      <c r="I275" s="207"/>
      <c r="J275" s="207">
        <v>20007.516</v>
      </c>
      <c r="K275" s="207">
        <f t="shared" si="33"/>
        <v>0</v>
      </c>
      <c r="L275" s="267">
        <v>185.82275053211009</v>
      </c>
      <c r="M275" s="205">
        <f t="shared" si="29"/>
        <v>0</v>
      </c>
      <c r="N275" s="207">
        <f t="shared" si="34"/>
        <v>0</v>
      </c>
      <c r="O275" s="207"/>
      <c r="P275" s="207">
        <f t="shared" si="28"/>
        <v>0</v>
      </c>
      <c r="Q275" s="123"/>
      <c r="R275" s="267">
        <v>185.82275053211009</v>
      </c>
      <c r="S275" s="207">
        <f t="shared" si="27"/>
        <v>0</v>
      </c>
      <c r="T275" s="207">
        <f t="shared" si="35"/>
        <v>0</v>
      </c>
      <c r="U275" s="207"/>
      <c r="V275" s="207">
        <f t="shared" si="26"/>
        <v>0</v>
      </c>
      <c r="W275" s="123"/>
      <c r="X275" s="268"/>
      <c r="Y275" s="207"/>
      <c r="Z275" s="267">
        <v>185.82275053211009</v>
      </c>
      <c r="AA275" s="207">
        <v>0</v>
      </c>
      <c r="AB275" s="207">
        <v>0</v>
      </c>
      <c r="AC275" s="207"/>
      <c r="AD275" s="207">
        <v>0</v>
      </c>
    </row>
    <row r="276" spans="1:30" s="216" customFormat="1" ht="23.1" hidden="1" customHeight="1" outlineLevel="1">
      <c r="A276" s="220"/>
      <c r="B276" s="223" t="s">
        <v>376</v>
      </c>
      <c r="C276" s="220"/>
      <c r="D276" s="223" t="s">
        <v>143</v>
      </c>
      <c r="E276" s="207">
        <v>1</v>
      </c>
      <c r="F276" s="205">
        <v>-103254.61366282569</v>
      </c>
      <c r="G276" s="205">
        <v>-103254.61366282569</v>
      </c>
      <c r="H276" s="207">
        <v>1</v>
      </c>
      <c r="I276" s="207"/>
      <c r="J276" s="207">
        <v>0</v>
      </c>
      <c r="K276" s="207">
        <v>1</v>
      </c>
      <c r="L276" s="267">
        <v>-103254.61366282569</v>
      </c>
      <c r="M276" s="205">
        <f t="shared" si="29"/>
        <v>-103254.61366282569</v>
      </c>
      <c r="N276" s="207"/>
      <c r="O276" s="207"/>
      <c r="P276" s="207">
        <f t="shared" si="28"/>
        <v>0</v>
      </c>
      <c r="Q276" s="123">
        <v>1</v>
      </c>
      <c r="R276" s="267">
        <v>-103254.61366282569</v>
      </c>
      <c r="S276" s="207">
        <f t="shared" si="27"/>
        <v>-103254.61366282569</v>
      </c>
      <c r="T276" s="207">
        <f t="shared" si="35"/>
        <v>1</v>
      </c>
      <c r="U276" s="207"/>
      <c r="V276" s="207">
        <f t="shared" si="26"/>
        <v>0</v>
      </c>
      <c r="W276" s="123"/>
      <c r="X276" s="268"/>
      <c r="Y276" s="207"/>
      <c r="Z276" s="267">
        <v>-103254.61366282569</v>
      </c>
      <c r="AA276" s="207">
        <v>0</v>
      </c>
      <c r="AB276" s="207">
        <v>0</v>
      </c>
      <c r="AC276" s="207"/>
      <c r="AD276" s="207">
        <v>0</v>
      </c>
    </row>
    <row r="277" spans="1:30" s="216" customFormat="1" ht="23.1" hidden="1" customHeight="1" outlineLevel="1">
      <c r="A277" s="220"/>
      <c r="B277" s="223" t="s">
        <v>377</v>
      </c>
      <c r="C277" s="220"/>
      <c r="D277" s="223" t="s">
        <v>143</v>
      </c>
      <c r="E277" s="207">
        <v>1</v>
      </c>
      <c r="F277" s="205">
        <v>-198708.90194554129</v>
      </c>
      <c r="G277" s="205">
        <v>-198708.90194554129</v>
      </c>
      <c r="H277" s="207">
        <v>1</v>
      </c>
      <c r="I277" s="207"/>
      <c r="J277" s="207">
        <v>0</v>
      </c>
      <c r="K277" s="123">
        <v>1</v>
      </c>
      <c r="L277" s="267">
        <v>-198708.90194554129</v>
      </c>
      <c r="M277" s="205">
        <f t="shared" si="29"/>
        <v>-198708.90194554129</v>
      </c>
      <c r="N277" s="207"/>
      <c r="O277" s="207"/>
      <c r="P277" s="207">
        <f t="shared" si="28"/>
        <v>0</v>
      </c>
      <c r="Q277" s="123">
        <v>1</v>
      </c>
      <c r="R277" s="267">
        <v>-198708.90194554129</v>
      </c>
      <c r="S277" s="207">
        <f t="shared" si="27"/>
        <v>-198708.90194554129</v>
      </c>
      <c r="T277" s="207">
        <f t="shared" si="35"/>
        <v>1</v>
      </c>
      <c r="U277" s="207"/>
      <c r="V277" s="207">
        <f t="shared" si="26"/>
        <v>0</v>
      </c>
      <c r="W277" s="123"/>
      <c r="X277" s="268"/>
      <c r="Y277" s="207"/>
      <c r="Z277" s="267">
        <v>-198708.90194554129</v>
      </c>
      <c r="AA277" s="207">
        <v>0</v>
      </c>
      <c r="AB277" s="207">
        <v>0</v>
      </c>
      <c r="AC277" s="207"/>
      <c r="AD277" s="207">
        <v>0</v>
      </c>
    </row>
    <row r="278" spans="1:30" s="215" customFormat="1" ht="23.1" customHeight="1" collapsed="1">
      <c r="A278" s="220" t="s">
        <v>289</v>
      </c>
      <c r="B278" s="220" t="s">
        <v>238</v>
      </c>
      <c r="C278" s="220"/>
      <c r="D278" s="220"/>
      <c r="E278" s="229"/>
      <c r="F278" s="222"/>
      <c r="G278" s="222">
        <v>4496676.3064357713</v>
      </c>
      <c r="H278" s="229"/>
      <c r="I278" s="229"/>
      <c r="J278" s="229">
        <v>4465126.2201132039</v>
      </c>
      <c r="K278" s="137"/>
      <c r="L278" s="266"/>
      <c r="M278" s="229">
        <f>+M279+M292+M305+M311+M317+M324+M331+M334+M343+M358+M359</f>
        <v>-149847.4374629723</v>
      </c>
      <c r="N278" s="229"/>
      <c r="O278" s="229"/>
      <c r="P278" s="229">
        <f>+P279+P292+P305+P311+P317+P324+P331+P334+P343+P358+P359</f>
        <v>691336.82</v>
      </c>
      <c r="Q278" s="137"/>
      <c r="R278" s="266"/>
      <c r="S278" s="229">
        <f>+S279+S292+S305+S311+S317+S324+S331+S334+S343+S358+S359</f>
        <v>1275796.4642564168</v>
      </c>
      <c r="T278" s="229"/>
      <c r="U278" s="229"/>
      <c r="V278" s="229">
        <f>+V279+V292+V305+V311+V317+V324+V331+V334+V343+V358+V359</f>
        <v>1734683.15</v>
      </c>
      <c r="W278" s="137"/>
      <c r="X278" s="269"/>
      <c r="Y278" s="229"/>
      <c r="Z278" s="266"/>
      <c r="AA278" s="229">
        <v>1485553.1618478296</v>
      </c>
      <c r="AB278" s="229"/>
      <c r="AC278" s="229"/>
      <c r="AD278" s="229">
        <v>1008444.08</v>
      </c>
    </row>
    <row r="279" spans="1:30" s="216" customFormat="1" ht="23.1" hidden="1" customHeight="1" outlineLevel="1" collapsed="1">
      <c r="A279" s="223">
        <v>1</v>
      </c>
      <c r="B279" s="220" t="s">
        <v>250</v>
      </c>
      <c r="C279" s="220"/>
      <c r="D279" s="223"/>
      <c r="E279" s="207"/>
      <c r="F279" s="205">
        <v>0</v>
      </c>
      <c r="G279" s="205"/>
      <c r="H279" s="207"/>
      <c r="I279" s="207"/>
      <c r="J279" s="207"/>
      <c r="K279" s="123"/>
      <c r="L279" s="267"/>
      <c r="M279" s="205">
        <f t="shared" si="29"/>
        <v>0</v>
      </c>
      <c r="N279" s="207"/>
      <c r="O279" s="207"/>
      <c r="P279" s="207">
        <f t="shared" si="28"/>
        <v>0</v>
      </c>
      <c r="Q279" s="123"/>
      <c r="R279" s="267"/>
      <c r="S279" s="207">
        <f t="shared" si="27"/>
        <v>0</v>
      </c>
      <c r="T279" s="207"/>
      <c r="U279" s="207"/>
      <c r="V279" s="207">
        <f t="shared" si="26"/>
        <v>0</v>
      </c>
      <c r="W279" s="123"/>
      <c r="X279" s="268"/>
      <c r="Y279" s="207"/>
      <c r="Z279" s="267"/>
      <c r="AA279" s="207">
        <v>0</v>
      </c>
      <c r="AB279" s="207"/>
      <c r="AC279" s="207"/>
      <c r="AD279" s="207">
        <v>0</v>
      </c>
    </row>
    <row r="280" spans="1:30" s="216" customFormat="1" ht="23.1" hidden="1" customHeight="1" outlineLevel="2">
      <c r="A280" s="223">
        <v>1.1000000000000001</v>
      </c>
      <c r="B280" s="223" t="s">
        <v>720</v>
      </c>
      <c r="C280" s="223" t="s">
        <v>721</v>
      </c>
      <c r="D280" s="223" t="s">
        <v>247</v>
      </c>
      <c r="E280" s="207">
        <v>3413.14</v>
      </c>
      <c r="F280" s="205">
        <v>45.706834016082368</v>
      </c>
      <c r="G280" s="205">
        <v>156003.82345365136</v>
      </c>
      <c r="H280" s="207">
        <v>3413.14</v>
      </c>
      <c r="I280" s="207"/>
      <c r="J280" s="207">
        <v>221854.1</v>
      </c>
      <c r="K280" s="123"/>
      <c r="L280" s="267">
        <v>45.706834016082368</v>
      </c>
      <c r="M280" s="205">
        <f t="shared" si="29"/>
        <v>0</v>
      </c>
      <c r="N280" s="207"/>
      <c r="O280" s="207"/>
      <c r="P280" s="207">
        <f t="shared" si="28"/>
        <v>0</v>
      </c>
      <c r="Q280" s="123"/>
      <c r="R280" s="267">
        <v>45.706834016082368</v>
      </c>
      <c r="S280" s="207">
        <f t="shared" si="27"/>
        <v>0</v>
      </c>
      <c r="T280" s="207"/>
      <c r="U280" s="207"/>
      <c r="V280" s="207">
        <f t="shared" si="26"/>
        <v>0</v>
      </c>
      <c r="W280" s="123"/>
      <c r="X280" s="268"/>
      <c r="Y280" s="207"/>
      <c r="Z280" s="267">
        <v>45.706834016082368</v>
      </c>
      <c r="AA280" s="207">
        <v>0</v>
      </c>
      <c r="AB280" s="207"/>
      <c r="AC280" s="207"/>
      <c r="AD280" s="207">
        <v>0</v>
      </c>
    </row>
    <row r="281" spans="1:30" s="216" customFormat="1" ht="23.1" hidden="1" customHeight="1" outlineLevel="2">
      <c r="A281" s="223">
        <v>2.1</v>
      </c>
      <c r="B281" s="223" t="s">
        <v>722</v>
      </c>
      <c r="C281" s="223" t="s">
        <v>723</v>
      </c>
      <c r="D281" s="223" t="s">
        <v>247</v>
      </c>
      <c r="E281" s="207">
        <v>3310.4</v>
      </c>
      <c r="F281" s="205">
        <v>24.660022018348624</v>
      </c>
      <c r="G281" s="205">
        <v>81634.536889541283</v>
      </c>
      <c r="H281" s="207">
        <v>3310.4</v>
      </c>
      <c r="I281" s="207"/>
      <c r="J281" s="207">
        <v>99312</v>
      </c>
      <c r="K281" s="123"/>
      <c r="L281" s="267">
        <v>24.660022018348624</v>
      </c>
      <c r="M281" s="205">
        <f t="shared" si="29"/>
        <v>0</v>
      </c>
      <c r="N281" s="207"/>
      <c r="O281" s="207"/>
      <c r="P281" s="207">
        <f t="shared" si="28"/>
        <v>0</v>
      </c>
      <c r="Q281" s="123"/>
      <c r="R281" s="267">
        <v>24.660022018348624</v>
      </c>
      <c r="S281" s="207">
        <f t="shared" si="27"/>
        <v>0</v>
      </c>
      <c r="T281" s="207"/>
      <c r="U281" s="207"/>
      <c r="V281" s="207">
        <f t="shared" si="26"/>
        <v>0</v>
      </c>
      <c r="W281" s="123"/>
      <c r="X281" s="268"/>
      <c r="Y281" s="207"/>
      <c r="Z281" s="267">
        <v>24.660022018348624</v>
      </c>
      <c r="AA281" s="207">
        <v>0</v>
      </c>
      <c r="AB281" s="207"/>
      <c r="AC281" s="207"/>
      <c r="AD281" s="207">
        <v>0</v>
      </c>
    </row>
    <row r="282" spans="1:30" s="216" customFormat="1" ht="23.1" hidden="1" customHeight="1" outlineLevel="2">
      <c r="A282" s="223">
        <v>3.1</v>
      </c>
      <c r="B282" s="223" t="s">
        <v>724</v>
      </c>
      <c r="C282" s="223" t="s">
        <v>721</v>
      </c>
      <c r="D282" s="223" t="s">
        <v>247</v>
      </c>
      <c r="E282" s="207">
        <v>6466.91</v>
      </c>
      <c r="F282" s="205">
        <v>45.705259411344294</v>
      </c>
      <c r="G282" s="205">
        <v>295571.79913981655</v>
      </c>
      <c r="H282" s="207">
        <v>6466.91</v>
      </c>
      <c r="I282" s="207"/>
      <c r="J282" s="207">
        <v>420349.15</v>
      </c>
      <c r="K282" s="123"/>
      <c r="L282" s="267">
        <v>45.705259411344294</v>
      </c>
      <c r="M282" s="205">
        <f t="shared" si="29"/>
        <v>0</v>
      </c>
      <c r="N282" s="207"/>
      <c r="O282" s="207"/>
      <c r="P282" s="207">
        <f t="shared" si="28"/>
        <v>0</v>
      </c>
      <c r="Q282" s="123"/>
      <c r="R282" s="267">
        <v>45.705259411344294</v>
      </c>
      <c r="S282" s="207">
        <f t="shared" si="27"/>
        <v>0</v>
      </c>
      <c r="T282" s="207"/>
      <c r="U282" s="207"/>
      <c r="V282" s="207">
        <f t="shared" si="26"/>
        <v>0</v>
      </c>
      <c r="W282" s="123"/>
      <c r="X282" s="268"/>
      <c r="Y282" s="207"/>
      <c r="Z282" s="267">
        <v>45.705259411344294</v>
      </c>
      <c r="AA282" s="207">
        <v>0</v>
      </c>
      <c r="AB282" s="207"/>
      <c r="AC282" s="207"/>
      <c r="AD282" s="207">
        <v>0</v>
      </c>
    </row>
    <row r="283" spans="1:30" s="216" customFormat="1" ht="23.1" hidden="1" customHeight="1" outlineLevel="2">
      <c r="A283" s="223">
        <v>4.0999999999999996</v>
      </c>
      <c r="B283" s="223" t="s">
        <v>725</v>
      </c>
      <c r="C283" s="223" t="s">
        <v>726</v>
      </c>
      <c r="D283" s="223" t="s">
        <v>247</v>
      </c>
      <c r="E283" s="207">
        <v>441.21</v>
      </c>
      <c r="F283" s="205">
        <v>51.049185811376148</v>
      </c>
      <c r="G283" s="205">
        <v>22523.411271837271</v>
      </c>
      <c r="H283" s="207">
        <v>441.21</v>
      </c>
      <c r="I283" s="207"/>
      <c r="J283" s="207">
        <v>14339.324999999999</v>
      </c>
      <c r="K283" s="123"/>
      <c r="L283" s="267">
        <v>51.049185811376148</v>
      </c>
      <c r="M283" s="205">
        <f t="shared" si="29"/>
        <v>0</v>
      </c>
      <c r="N283" s="207"/>
      <c r="O283" s="207"/>
      <c r="P283" s="207">
        <f t="shared" si="28"/>
        <v>0</v>
      </c>
      <c r="Q283" s="123"/>
      <c r="R283" s="267">
        <v>51.049185811376148</v>
      </c>
      <c r="S283" s="207">
        <f t="shared" si="27"/>
        <v>0</v>
      </c>
      <c r="T283" s="207"/>
      <c r="U283" s="207"/>
      <c r="V283" s="207">
        <f t="shared" si="26"/>
        <v>0</v>
      </c>
      <c r="W283" s="123"/>
      <c r="X283" s="268"/>
      <c r="Y283" s="207"/>
      <c r="Z283" s="267">
        <v>51.049185811376148</v>
      </c>
      <c r="AA283" s="207">
        <v>0</v>
      </c>
      <c r="AB283" s="207"/>
      <c r="AC283" s="207"/>
      <c r="AD283" s="207">
        <v>0</v>
      </c>
    </row>
    <row r="284" spans="1:30" s="216" customFormat="1" ht="23.1" hidden="1" customHeight="1" outlineLevel="2">
      <c r="A284" s="223">
        <v>5.0999999999999996</v>
      </c>
      <c r="B284" s="223" t="s">
        <v>727</v>
      </c>
      <c r="C284" s="223" t="s">
        <v>728</v>
      </c>
      <c r="D284" s="223" t="s">
        <v>247</v>
      </c>
      <c r="E284" s="207">
        <v>441.21</v>
      </c>
      <c r="F284" s="205">
        <v>29.445268232364668</v>
      </c>
      <c r="G284" s="205">
        <v>12991.546796801615</v>
      </c>
      <c r="H284" s="207">
        <v>441.21</v>
      </c>
      <c r="I284" s="207"/>
      <c r="J284" s="207">
        <v>13236.3</v>
      </c>
      <c r="K284" s="123"/>
      <c r="L284" s="267">
        <v>29.445268232364668</v>
      </c>
      <c r="M284" s="205">
        <f t="shared" si="29"/>
        <v>0</v>
      </c>
      <c r="N284" s="207"/>
      <c r="O284" s="207"/>
      <c r="P284" s="207">
        <f t="shared" si="28"/>
        <v>0</v>
      </c>
      <c r="Q284" s="123"/>
      <c r="R284" s="267">
        <v>29.445268232364668</v>
      </c>
      <c r="S284" s="207">
        <f t="shared" si="27"/>
        <v>0</v>
      </c>
      <c r="T284" s="207"/>
      <c r="U284" s="207"/>
      <c r="V284" s="207">
        <f t="shared" si="26"/>
        <v>0</v>
      </c>
      <c r="W284" s="123"/>
      <c r="X284" s="268"/>
      <c r="Y284" s="207"/>
      <c r="Z284" s="267">
        <v>29.445268232364668</v>
      </c>
      <c r="AA284" s="207">
        <v>0</v>
      </c>
      <c r="AB284" s="207"/>
      <c r="AC284" s="207"/>
      <c r="AD284" s="207">
        <v>0</v>
      </c>
    </row>
    <row r="285" spans="1:30" s="216" customFormat="1" ht="23.1" hidden="1" customHeight="1" outlineLevel="2">
      <c r="A285" s="223">
        <v>6.1</v>
      </c>
      <c r="B285" s="223" t="s">
        <v>729</v>
      </c>
      <c r="C285" s="223" t="s">
        <v>730</v>
      </c>
      <c r="D285" s="223" t="s">
        <v>247</v>
      </c>
      <c r="E285" s="207">
        <v>197.3</v>
      </c>
      <c r="F285" s="205">
        <v>24.669506642201831</v>
      </c>
      <c r="G285" s="205">
        <v>4867.2936605064215</v>
      </c>
      <c r="H285" s="207">
        <v>197.3</v>
      </c>
      <c r="I285" s="207"/>
      <c r="J285" s="207">
        <v>6357.0060000000003</v>
      </c>
      <c r="K285" s="123"/>
      <c r="L285" s="267">
        <v>24.669506642201831</v>
      </c>
      <c r="M285" s="205">
        <f t="shared" si="29"/>
        <v>0</v>
      </c>
      <c r="N285" s="207"/>
      <c r="O285" s="207"/>
      <c r="P285" s="207">
        <f t="shared" si="28"/>
        <v>0</v>
      </c>
      <c r="Q285" s="123"/>
      <c r="R285" s="267">
        <v>24.669506642201831</v>
      </c>
      <c r="S285" s="207">
        <f t="shared" si="27"/>
        <v>0</v>
      </c>
      <c r="T285" s="207"/>
      <c r="U285" s="207"/>
      <c r="V285" s="207">
        <f t="shared" si="26"/>
        <v>0</v>
      </c>
      <c r="W285" s="123"/>
      <c r="X285" s="268"/>
      <c r="Y285" s="207"/>
      <c r="Z285" s="267">
        <v>24.669506642201831</v>
      </c>
      <c r="AA285" s="207">
        <v>0</v>
      </c>
      <c r="AB285" s="207"/>
      <c r="AC285" s="207"/>
      <c r="AD285" s="207">
        <v>0</v>
      </c>
    </row>
    <row r="286" spans="1:30" s="216" customFormat="1" ht="23.1" hidden="1" customHeight="1" outlineLevel="2">
      <c r="A286" s="223">
        <v>7.1</v>
      </c>
      <c r="B286" s="223" t="s">
        <v>731</v>
      </c>
      <c r="C286" s="223" t="s">
        <v>732</v>
      </c>
      <c r="D286" s="223" t="s">
        <v>247</v>
      </c>
      <c r="E286" s="207">
        <v>16.04</v>
      </c>
      <c r="F286" s="205">
        <v>72.90830355963304</v>
      </c>
      <c r="G286" s="205">
        <v>1169.4491890965139</v>
      </c>
      <c r="H286" s="207">
        <v>16.04</v>
      </c>
      <c r="I286" s="207"/>
      <c r="J286" s="207">
        <v>965.92879999999991</v>
      </c>
      <c r="K286" s="123"/>
      <c r="L286" s="267">
        <v>72.90830355963304</v>
      </c>
      <c r="M286" s="205">
        <f t="shared" si="29"/>
        <v>0</v>
      </c>
      <c r="N286" s="207"/>
      <c r="O286" s="207"/>
      <c r="P286" s="207">
        <f t="shared" si="28"/>
        <v>0</v>
      </c>
      <c r="Q286" s="123"/>
      <c r="R286" s="267">
        <v>72.90830355963304</v>
      </c>
      <c r="S286" s="207">
        <f t="shared" si="27"/>
        <v>0</v>
      </c>
      <c r="T286" s="207"/>
      <c r="U286" s="207"/>
      <c r="V286" s="207">
        <f t="shared" si="26"/>
        <v>0</v>
      </c>
      <c r="W286" s="123"/>
      <c r="X286" s="268"/>
      <c r="Y286" s="207"/>
      <c r="Z286" s="267">
        <v>72.90830355963304</v>
      </c>
      <c r="AA286" s="207">
        <v>0</v>
      </c>
      <c r="AB286" s="207"/>
      <c r="AC286" s="207"/>
      <c r="AD286" s="207">
        <v>0</v>
      </c>
    </row>
    <row r="287" spans="1:30" s="216" customFormat="1" ht="23.1" hidden="1" customHeight="1" outlineLevel="2">
      <c r="A287" s="223">
        <v>8.1</v>
      </c>
      <c r="B287" s="223" t="s">
        <v>733</v>
      </c>
      <c r="C287" s="223" t="s">
        <v>734</v>
      </c>
      <c r="D287" s="223" t="s">
        <v>247</v>
      </c>
      <c r="E287" s="207">
        <v>253.87</v>
      </c>
      <c r="F287" s="205">
        <v>35.187954495412846</v>
      </c>
      <c r="G287" s="205">
        <v>8933.1660077504603</v>
      </c>
      <c r="H287" s="207">
        <v>253.87</v>
      </c>
      <c r="I287" s="207"/>
      <c r="J287" s="207">
        <v>9730.8371000000006</v>
      </c>
      <c r="K287" s="123"/>
      <c r="L287" s="267">
        <v>35.187954495412846</v>
      </c>
      <c r="M287" s="205">
        <f t="shared" si="29"/>
        <v>0</v>
      </c>
      <c r="N287" s="207"/>
      <c r="O287" s="207"/>
      <c r="P287" s="207">
        <f t="shared" si="28"/>
        <v>0</v>
      </c>
      <c r="Q287" s="123"/>
      <c r="R287" s="267">
        <v>35.187954495412846</v>
      </c>
      <c r="S287" s="207">
        <f t="shared" si="27"/>
        <v>0</v>
      </c>
      <c r="T287" s="207"/>
      <c r="U287" s="207"/>
      <c r="V287" s="207">
        <f t="shared" si="26"/>
        <v>0</v>
      </c>
      <c r="W287" s="123"/>
      <c r="X287" s="268"/>
      <c r="Y287" s="207"/>
      <c r="Z287" s="267">
        <v>35.187954495412846</v>
      </c>
      <c r="AA287" s="207">
        <v>0</v>
      </c>
      <c r="AB287" s="207"/>
      <c r="AC287" s="207"/>
      <c r="AD287" s="207">
        <v>0</v>
      </c>
    </row>
    <row r="288" spans="1:30" s="216" customFormat="1" ht="23.1" hidden="1" customHeight="1" outlineLevel="2">
      <c r="A288" s="223">
        <v>9.1</v>
      </c>
      <c r="B288" s="223" t="s">
        <v>735</v>
      </c>
      <c r="C288" s="223" t="s">
        <v>736</v>
      </c>
      <c r="D288" s="223" t="s">
        <v>247</v>
      </c>
      <c r="E288" s="207">
        <v>24.64</v>
      </c>
      <c r="F288" s="205">
        <v>80.277856293577983</v>
      </c>
      <c r="G288" s="205">
        <v>1978.0463790737615</v>
      </c>
      <c r="H288" s="207">
        <v>24.64</v>
      </c>
      <c r="I288" s="207"/>
      <c r="J288" s="207">
        <v>1606.5525963893808</v>
      </c>
      <c r="K288" s="123"/>
      <c r="L288" s="267">
        <v>80.277856293577983</v>
      </c>
      <c r="M288" s="205">
        <f t="shared" si="29"/>
        <v>0</v>
      </c>
      <c r="N288" s="207"/>
      <c r="O288" s="207"/>
      <c r="P288" s="207">
        <f t="shared" si="28"/>
        <v>0</v>
      </c>
      <c r="Q288" s="123"/>
      <c r="R288" s="267">
        <v>80.277856293577983</v>
      </c>
      <c r="S288" s="207">
        <f t="shared" si="27"/>
        <v>0</v>
      </c>
      <c r="T288" s="207"/>
      <c r="U288" s="207"/>
      <c r="V288" s="207">
        <f t="shared" si="26"/>
        <v>0</v>
      </c>
      <c r="W288" s="123"/>
      <c r="X288" s="268"/>
      <c r="Y288" s="207"/>
      <c r="Z288" s="267">
        <v>80.277856293577983</v>
      </c>
      <c r="AA288" s="207">
        <v>0</v>
      </c>
      <c r="AB288" s="207"/>
      <c r="AC288" s="207"/>
      <c r="AD288" s="207">
        <v>0</v>
      </c>
    </row>
    <row r="289" spans="1:30" s="216" customFormat="1" ht="23.1" hidden="1" customHeight="1" outlineLevel="2">
      <c r="A289" s="223">
        <v>10.1</v>
      </c>
      <c r="B289" s="223" t="s">
        <v>737</v>
      </c>
      <c r="C289" s="223" t="s">
        <v>738</v>
      </c>
      <c r="D289" s="223" t="s">
        <v>247</v>
      </c>
      <c r="E289" s="207">
        <v>35.6</v>
      </c>
      <c r="F289" s="205">
        <v>295.55036388990828</v>
      </c>
      <c r="G289" s="205">
        <v>10521.592954480735</v>
      </c>
      <c r="H289" s="207">
        <v>35.6</v>
      </c>
      <c r="I289" s="207"/>
      <c r="J289" s="207">
        <v>8909.8256000000001</v>
      </c>
      <c r="K289" s="123"/>
      <c r="L289" s="267">
        <v>295.55036388990828</v>
      </c>
      <c r="M289" s="205">
        <f t="shared" si="29"/>
        <v>0</v>
      </c>
      <c r="N289" s="207"/>
      <c r="O289" s="207"/>
      <c r="P289" s="207">
        <f t="shared" si="28"/>
        <v>0</v>
      </c>
      <c r="Q289" s="123"/>
      <c r="R289" s="267">
        <v>295.55036388990828</v>
      </c>
      <c r="S289" s="207">
        <f t="shared" si="27"/>
        <v>0</v>
      </c>
      <c r="T289" s="207"/>
      <c r="U289" s="207"/>
      <c r="V289" s="207">
        <f t="shared" si="26"/>
        <v>0</v>
      </c>
      <c r="W289" s="123"/>
      <c r="X289" s="268"/>
      <c r="Y289" s="207"/>
      <c r="Z289" s="267">
        <v>295.55036388990828</v>
      </c>
      <c r="AA289" s="207">
        <v>0</v>
      </c>
      <c r="AB289" s="207"/>
      <c r="AC289" s="207"/>
      <c r="AD289" s="207">
        <v>0</v>
      </c>
    </row>
    <row r="290" spans="1:30" s="216" customFormat="1" ht="23.1" hidden="1" customHeight="1" outlineLevel="2">
      <c r="A290" s="223">
        <v>11.1</v>
      </c>
      <c r="B290" s="223" t="s">
        <v>739</v>
      </c>
      <c r="C290" s="223" t="s">
        <v>740</v>
      </c>
      <c r="D290" s="223" t="s">
        <v>247</v>
      </c>
      <c r="E290" s="207">
        <v>446.15</v>
      </c>
      <c r="F290" s="205">
        <v>103.42982311926606</v>
      </c>
      <c r="G290" s="205">
        <v>46145.215584660553</v>
      </c>
      <c r="H290" s="207">
        <v>446.15</v>
      </c>
      <c r="I290" s="207"/>
      <c r="J290" s="207">
        <v>22629.047668640789</v>
      </c>
      <c r="K290" s="123"/>
      <c r="L290" s="267">
        <v>103.42982311926606</v>
      </c>
      <c r="M290" s="205">
        <f t="shared" si="29"/>
        <v>0</v>
      </c>
      <c r="N290" s="207"/>
      <c r="O290" s="207"/>
      <c r="P290" s="207">
        <f t="shared" si="28"/>
        <v>0</v>
      </c>
      <c r="Q290" s="123"/>
      <c r="R290" s="267">
        <v>103.42982311926606</v>
      </c>
      <c r="S290" s="207">
        <f t="shared" si="27"/>
        <v>0</v>
      </c>
      <c r="T290" s="207"/>
      <c r="U290" s="207"/>
      <c r="V290" s="207">
        <f t="shared" si="26"/>
        <v>0</v>
      </c>
      <c r="W290" s="123"/>
      <c r="X290" s="268"/>
      <c r="Y290" s="207"/>
      <c r="Z290" s="267">
        <v>103.42982311926606</v>
      </c>
      <c r="AA290" s="207">
        <v>0</v>
      </c>
      <c r="AB290" s="207"/>
      <c r="AC290" s="207"/>
      <c r="AD290" s="207">
        <v>0</v>
      </c>
    </row>
    <row r="291" spans="1:30" s="216" customFormat="1" ht="23.1" hidden="1" customHeight="1" outlineLevel="2">
      <c r="A291" s="223">
        <v>12.1</v>
      </c>
      <c r="B291" s="223" t="s">
        <v>741</v>
      </c>
      <c r="C291" s="223" t="s">
        <v>742</v>
      </c>
      <c r="D291" s="223" t="s">
        <v>247</v>
      </c>
      <c r="E291" s="207">
        <v>76.099999999999994</v>
      </c>
      <c r="F291" s="205">
        <v>89.183918091743109</v>
      </c>
      <c r="G291" s="205">
        <v>6786.8961667816502</v>
      </c>
      <c r="H291" s="207">
        <v>76.099999999999994</v>
      </c>
      <c r="I291" s="207"/>
      <c r="J291" s="207">
        <v>4786.3703799999994</v>
      </c>
      <c r="K291" s="123"/>
      <c r="L291" s="267">
        <v>89.183918091743109</v>
      </c>
      <c r="M291" s="205">
        <f t="shared" si="29"/>
        <v>0</v>
      </c>
      <c r="N291" s="207"/>
      <c r="O291" s="207"/>
      <c r="P291" s="207">
        <f t="shared" si="28"/>
        <v>0</v>
      </c>
      <c r="Q291" s="123"/>
      <c r="R291" s="267">
        <v>89.183918091743109</v>
      </c>
      <c r="S291" s="207">
        <f t="shared" si="27"/>
        <v>0</v>
      </c>
      <c r="T291" s="207"/>
      <c r="U291" s="207"/>
      <c r="V291" s="207">
        <f t="shared" si="26"/>
        <v>0</v>
      </c>
      <c r="W291" s="123"/>
      <c r="X291" s="268"/>
      <c r="Y291" s="207"/>
      <c r="Z291" s="267">
        <v>89.183918091743109</v>
      </c>
      <c r="AA291" s="207">
        <v>0</v>
      </c>
      <c r="AB291" s="207"/>
      <c r="AC291" s="207"/>
      <c r="AD291" s="207">
        <v>0</v>
      </c>
    </row>
    <row r="292" spans="1:30" s="215" customFormat="1" ht="23.1" hidden="1" customHeight="1" outlineLevel="1" collapsed="1">
      <c r="A292" s="220">
        <v>2</v>
      </c>
      <c r="B292" s="220" t="s">
        <v>743</v>
      </c>
      <c r="C292" s="220"/>
      <c r="D292" s="220"/>
      <c r="E292" s="229"/>
      <c r="F292" s="222">
        <v>0</v>
      </c>
      <c r="G292" s="222"/>
      <c r="H292" s="229"/>
      <c r="I292" s="229"/>
      <c r="J292" s="229"/>
      <c r="K292" s="137"/>
      <c r="L292" s="266"/>
      <c r="M292" s="222">
        <f>+M293</f>
        <v>314354.50631067896</v>
      </c>
      <c r="N292" s="229"/>
      <c r="O292" s="229"/>
      <c r="P292" s="222">
        <f>+P293</f>
        <v>764169.72</v>
      </c>
      <c r="Q292" s="137"/>
      <c r="R292" s="266"/>
      <c r="S292" s="222">
        <f>+S293</f>
        <v>314354.50631067896</v>
      </c>
      <c r="T292" s="229"/>
      <c r="U292" s="229"/>
      <c r="V292" s="222">
        <f>+V293</f>
        <v>764169.72</v>
      </c>
      <c r="W292" s="137"/>
      <c r="X292" s="271"/>
      <c r="Y292" s="229"/>
      <c r="Z292" s="266"/>
      <c r="AA292" s="229">
        <v>0</v>
      </c>
      <c r="AB292" s="229"/>
      <c r="AC292" s="229"/>
      <c r="AD292" s="229">
        <v>0</v>
      </c>
    </row>
    <row r="293" spans="1:30" s="215" customFormat="1" ht="23.1" hidden="1" customHeight="1" outlineLevel="2">
      <c r="A293" s="220"/>
      <c r="B293" s="272" t="s">
        <v>744</v>
      </c>
      <c r="C293" s="220"/>
      <c r="D293" s="220"/>
      <c r="E293" s="229"/>
      <c r="F293" s="222">
        <v>0</v>
      </c>
      <c r="G293" s="222"/>
      <c r="H293" s="229"/>
      <c r="I293" s="229"/>
      <c r="J293" s="229"/>
      <c r="K293" s="137"/>
      <c r="L293" s="266"/>
      <c r="M293" s="222">
        <f>SUM(M294:M304)</f>
        <v>314354.50631067896</v>
      </c>
      <c r="N293" s="229"/>
      <c r="O293" s="229"/>
      <c r="P293" s="222">
        <f>SUM(P294:P304)</f>
        <v>764169.72</v>
      </c>
      <c r="Q293" s="137"/>
      <c r="R293" s="266"/>
      <c r="S293" s="222">
        <f>SUM(S294:S304)</f>
        <v>314354.50631067896</v>
      </c>
      <c r="T293" s="229"/>
      <c r="U293" s="229"/>
      <c r="V293" s="222">
        <f>SUM(V294:V304)</f>
        <v>764169.72</v>
      </c>
      <c r="W293" s="137"/>
      <c r="X293" s="271"/>
      <c r="Y293" s="229"/>
      <c r="Z293" s="266"/>
      <c r="AA293" s="229">
        <v>0</v>
      </c>
      <c r="AB293" s="229"/>
      <c r="AC293" s="229"/>
      <c r="AD293" s="229">
        <v>0</v>
      </c>
    </row>
    <row r="294" spans="1:30" s="216" customFormat="1" ht="23.1" hidden="1" customHeight="1" outlineLevel="2">
      <c r="A294" s="220"/>
      <c r="B294" s="223" t="s">
        <v>745</v>
      </c>
      <c r="C294" s="223" t="s">
        <v>746</v>
      </c>
      <c r="D294" s="223" t="s">
        <v>247</v>
      </c>
      <c r="E294" s="207">
        <v>1380.28</v>
      </c>
      <c r="F294" s="205">
        <v>29.753265027522936</v>
      </c>
      <c r="G294" s="205">
        <v>41067.836652189355</v>
      </c>
      <c r="H294" s="207">
        <v>1380.28</v>
      </c>
      <c r="I294" s="207"/>
      <c r="J294" s="207">
        <v>49994.845823999996</v>
      </c>
      <c r="K294" s="123">
        <f>+Q294-Y294</f>
        <v>1380.28</v>
      </c>
      <c r="L294" s="267">
        <f>+R294</f>
        <v>28.78</v>
      </c>
      <c r="M294" s="205">
        <f t="shared" si="29"/>
        <v>39724.458400000003</v>
      </c>
      <c r="N294" s="123">
        <f>+T294-AB294</f>
        <v>1380.28</v>
      </c>
      <c r="O294" s="207">
        <f>+U294</f>
        <v>24</v>
      </c>
      <c r="P294" s="207">
        <f t="shared" si="28"/>
        <v>33126.720000000001</v>
      </c>
      <c r="Q294" s="123">
        <f>+T294</f>
        <v>1380.28</v>
      </c>
      <c r="R294" s="273">
        <v>28.78</v>
      </c>
      <c r="S294" s="207">
        <f t="shared" si="27"/>
        <v>39724.458400000003</v>
      </c>
      <c r="T294" s="207">
        <f>+E294</f>
        <v>1380.28</v>
      </c>
      <c r="U294" s="206">
        <v>24</v>
      </c>
      <c r="V294" s="207">
        <f t="shared" si="26"/>
        <v>33126.720000000001</v>
      </c>
      <c r="W294" s="123"/>
      <c r="X294" s="268">
        <f>+T294*U294</f>
        <v>33126.720000000001</v>
      </c>
      <c r="Y294" s="207"/>
      <c r="Z294" s="267">
        <v>29.753265027522936</v>
      </c>
      <c r="AA294" s="207">
        <v>0</v>
      </c>
      <c r="AB294" s="207"/>
      <c r="AC294" s="207"/>
      <c r="AD294" s="207">
        <v>0</v>
      </c>
    </row>
    <row r="295" spans="1:30" s="216" customFormat="1" ht="23.1" hidden="1" customHeight="1" outlineLevel="2">
      <c r="A295" s="220"/>
      <c r="B295" s="223" t="s">
        <v>747</v>
      </c>
      <c r="C295" s="223" t="s">
        <v>748</v>
      </c>
      <c r="D295" s="223" t="s">
        <v>247</v>
      </c>
      <c r="E295" s="207">
        <v>732.76</v>
      </c>
      <c r="F295" s="205">
        <v>88.102670972477071</v>
      </c>
      <c r="G295" s="205">
        <v>64558.113181792301</v>
      </c>
      <c r="H295" s="207">
        <v>732.76</v>
      </c>
      <c r="I295" s="207"/>
      <c r="J295" s="207">
        <v>62226.565408000002</v>
      </c>
      <c r="K295" s="123">
        <f t="shared" ref="K295:K303" si="36">+Q295-Y295</f>
        <v>732.76</v>
      </c>
      <c r="L295" s="267">
        <f t="shared" ref="L295:L304" si="37">+R295</f>
        <v>28.78</v>
      </c>
      <c r="M295" s="205">
        <f t="shared" si="29"/>
        <v>21088.8328</v>
      </c>
      <c r="N295" s="123">
        <f t="shared" ref="N295:N302" si="38">+T295-AB295</f>
        <v>732.76</v>
      </c>
      <c r="O295" s="207">
        <f t="shared" ref="O295:O304" si="39">+U295</f>
        <v>50</v>
      </c>
      <c r="P295" s="207">
        <f t="shared" si="28"/>
        <v>36638</v>
      </c>
      <c r="Q295" s="123">
        <f>+T295</f>
        <v>732.76</v>
      </c>
      <c r="R295" s="273">
        <v>28.78</v>
      </c>
      <c r="S295" s="207">
        <f t="shared" si="27"/>
        <v>21088.8328</v>
      </c>
      <c r="T295" s="207">
        <f>+E295</f>
        <v>732.76</v>
      </c>
      <c r="U295" s="206">
        <f>24+26</f>
        <v>50</v>
      </c>
      <c r="V295" s="207">
        <f t="shared" si="26"/>
        <v>36638</v>
      </c>
      <c r="W295" s="123"/>
      <c r="X295" s="268">
        <f>+T295*U295</f>
        <v>36638</v>
      </c>
      <c r="Y295" s="207"/>
      <c r="Z295" s="267">
        <v>88.102670972477071</v>
      </c>
      <c r="AA295" s="207">
        <v>0</v>
      </c>
      <c r="AB295" s="207"/>
      <c r="AC295" s="207"/>
      <c r="AD295" s="207">
        <v>0</v>
      </c>
    </row>
    <row r="296" spans="1:30" s="216" customFormat="1" ht="23.1" hidden="1" customHeight="1" outlineLevel="2">
      <c r="A296" s="220"/>
      <c r="B296" s="223" t="s">
        <v>749</v>
      </c>
      <c r="C296" s="223" t="s">
        <v>750</v>
      </c>
      <c r="D296" s="223" t="s">
        <v>247</v>
      </c>
      <c r="E296" s="207">
        <v>13674.35</v>
      </c>
      <c r="F296" s="205">
        <v>63.452133577981648</v>
      </c>
      <c r="G296" s="205">
        <v>867666.68279207335</v>
      </c>
      <c r="H296" s="207">
        <v>13674.35</v>
      </c>
      <c r="I296" s="207"/>
      <c r="J296" s="207">
        <v>693289.54500000004</v>
      </c>
      <c r="K296" s="123">
        <f t="shared" si="36"/>
        <v>13674.35</v>
      </c>
      <c r="L296" s="267">
        <f t="shared" si="37"/>
        <v>28.78</v>
      </c>
      <c r="M296" s="205">
        <f t="shared" si="29"/>
        <v>393547.79300000001</v>
      </c>
      <c r="N296" s="123">
        <f t="shared" si="38"/>
        <v>13674.35</v>
      </c>
      <c r="O296" s="207">
        <f t="shared" si="39"/>
        <v>50</v>
      </c>
      <c r="P296" s="207">
        <f t="shared" si="28"/>
        <v>683717.5</v>
      </c>
      <c r="Q296" s="123">
        <f>+T296</f>
        <v>13674.35</v>
      </c>
      <c r="R296" s="273">
        <v>28.78</v>
      </c>
      <c r="S296" s="207">
        <f t="shared" si="27"/>
        <v>393547.79300000001</v>
      </c>
      <c r="T296" s="207">
        <f>+E296</f>
        <v>13674.35</v>
      </c>
      <c r="U296" s="206">
        <f>24+26</f>
        <v>50</v>
      </c>
      <c r="V296" s="207">
        <f t="shared" si="26"/>
        <v>683717.5</v>
      </c>
      <c r="W296" s="123"/>
      <c r="X296" s="268">
        <f>+T296*U296</f>
        <v>683717.5</v>
      </c>
      <c r="Y296" s="207"/>
      <c r="Z296" s="267">
        <v>63.452133577981648</v>
      </c>
      <c r="AA296" s="207">
        <v>0</v>
      </c>
      <c r="AB296" s="207"/>
      <c r="AC296" s="207"/>
      <c r="AD296" s="207">
        <v>0</v>
      </c>
    </row>
    <row r="297" spans="1:30" s="216" customFormat="1" ht="23.1" hidden="1" customHeight="1" outlineLevel="2">
      <c r="A297" s="220"/>
      <c r="B297" s="223" t="s">
        <v>751</v>
      </c>
      <c r="C297" s="223" t="s">
        <v>752</v>
      </c>
      <c r="D297" s="223" t="s">
        <v>247</v>
      </c>
      <c r="E297" s="207">
        <v>2457.77</v>
      </c>
      <c r="F297" s="205">
        <v>25.53260741284404</v>
      </c>
      <c r="G297" s="205">
        <v>62753.276521065694</v>
      </c>
      <c r="H297" s="207">
        <v>2457.77</v>
      </c>
      <c r="I297" s="207"/>
      <c r="J297" s="207">
        <v>73393.032920825251</v>
      </c>
      <c r="K297" s="123">
        <f t="shared" si="36"/>
        <v>0</v>
      </c>
      <c r="L297" s="267">
        <f t="shared" si="37"/>
        <v>25.53260741284404</v>
      </c>
      <c r="M297" s="205">
        <f t="shared" si="29"/>
        <v>0</v>
      </c>
      <c r="N297" s="123">
        <f t="shared" si="38"/>
        <v>0</v>
      </c>
      <c r="O297" s="207">
        <f t="shared" si="39"/>
        <v>0</v>
      </c>
      <c r="P297" s="207">
        <f t="shared" si="28"/>
        <v>0</v>
      </c>
      <c r="Q297" s="123"/>
      <c r="R297" s="267">
        <v>25.53260741284404</v>
      </c>
      <c r="S297" s="207">
        <f t="shared" si="27"/>
        <v>0</v>
      </c>
      <c r="T297" s="207"/>
      <c r="U297" s="207"/>
      <c r="V297" s="207">
        <f t="shared" ref="V297:V361" si="40">+U297*T297</f>
        <v>0</v>
      </c>
      <c r="W297" s="123"/>
      <c r="X297" s="268"/>
      <c r="Y297" s="207"/>
      <c r="Z297" s="267">
        <v>25.53260741284404</v>
      </c>
      <c r="AA297" s="207">
        <v>0</v>
      </c>
      <c r="AB297" s="207"/>
      <c r="AC297" s="207"/>
      <c r="AD297" s="207">
        <v>0</v>
      </c>
    </row>
    <row r="298" spans="1:30" s="216" customFormat="1" ht="23.1" hidden="1" customHeight="1" outlineLevel="2">
      <c r="A298" s="220"/>
      <c r="B298" s="223" t="s">
        <v>753</v>
      </c>
      <c r="C298" s="223" t="s">
        <v>754</v>
      </c>
      <c r="D298" s="223" t="s">
        <v>247</v>
      </c>
      <c r="E298" s="207">
        <v>52.98</v>
      </c>
      <c r="F298" s="205">
        <v>20.088433321100915</v>
      </c>
      <c r="G298" s="205">
        <v>1064.2851973519264</v>
      </c>
      <c r="H298" s="207">
        <v>52.98</v>
      </c>
      <c r="I298" s="207"/>
      <c r="J298" s="207">
        <v>1420.134198</v>
      </c>
      <c r="K298" s="123">
        <f t="shared" si="36"/>
        <v>0</v>
      </c>
      <c r="L298" s="267">
        <f t="shared" si="37"/>
        <v>20.088433321100915</v>
      </c>
      <c r="M298" s="205">
        <f t="shared" si="29"/>
        <v>0</v>
      </c>
      <c r="N298" s="123">
        <f t="shared" si="38"/>
        <v>0</v>
      </c>
      <c r="O298" s="207">
        <f t="shared" si="39"/>
        <v>0</v>
      </c>
      <c r="P298" s="207">
        <f t="shared" si="28"/>
        <v>0</v>
      </c>
      <c r="Q298" s="123"/>
      <c r="R298" s="267">
        <v>20.088433321100915</v>
      </c>
      <c r="S298" s="207">
        <f t="shared" si="27"/>
        <v>0</v>
      </c>
      <c r="T298" s="207"/>
      <c r="U298" s="207"/>
      <c r="V298" s="207">
        <f t="shared" si="40"/>
        <v>0</v>
      </c>
      <c r="W298" s="123"/>
      <c r="X298" s="268"/>
      <c r="Y298" s="207"/>
      <c r="Z298" s="267">
        <v>20.088433321100915</v>
      </c>
      <c r="AA298" s="207">
        <v>0</v>
      </c>
      <c r="AB298" s="207"/>
      <c r="AC298" s="207"/>
      <c r="AD298" s="207">
        <v>0</v>
      </c>
    </row>
    <row r="299" spans="1:30" s="216" customFormat="1" ht="23.1" hidden="1" customHeight="1" outlineLevel="2">
      <c r="A299" s="220"/>
      <c r="B299" s="223" t="s">
        <v>755</v>
      </c>
      <c r="C299" s="223" t="s">
        <v>756</v>
      </c>
      <c r="D299" s="223" t="s">
        <v>247</v>
      </c>
      <c r="E299" s="207">
        <v>52.98</v>
      </c>
      <c r="F299" s="205">
        <v>12.348980256880733</v>
      </c>
      <c r="G299" s="205">
        <v>654.24897400954114</v>
      </c>
      <c r="H299" s="207">
        <v>52.98</v>
      </c>
      <c r="I299" s="207"/>
      <c r="J299" s="207">
        <v>1420.134198</v>
      </c>
      <c r="K299" s="123">
        <f t="shared" si="36"/>
        <v>0</v>
      </c>
      <c r="L299" s="267">
        <f t="shared" si="37"/>
        <v>12.348980256880733</v>
      </c>
      <c r="M299" s="205">
        <f t="shared" si="29"/>
        <v>0</v>
      </c>
      <c r="N299" s="123">
        <f t="shared" si="38"/>
        <v>0</v>
      </c>
      <c r="O299" s="207">
        <f t="shared" si="39"/>
        <v>0</v>
      </c>
      <c r="P299" s="207">
        <f t="shared" si="28"/>
        <v>0</v>
      </c>
      <c r="Q299" s="123"/>
      <c r="R299" s="267">
        <v>12.348980256880733</v>
      </c>
      <c r="S299" s="207">
        <f t="shared" si="27"/>
        <v>0</v>
      </c>
      <c r="T299" s="207"/>
      <c r="U299" s="207"/>
      <c r="V299" s="207">
        <f t="shared" si="40"/>
        <v>0</v>
      </c>
      <c r="W299" s="123"/>
      <c r="X299" s="268"/>
      <c r="Y299" s="207"/>
      <c r="Z299" s="267">
        <v>12.348980256880733</v>
      </c>
      <c r="AA299" s="207">
        <v>0</v>
      </c>
      <c r="AB299" s="207"/>
      <c r="AC299" s="207"/>
      <c r="AD299" s="207">
        <v>0</v>
      </c>
    </row>
    <row r="300" spans="1:30" s="216" customFormat="1" ht="23.1" hidden="1" customHeight="1" outlineLevel="2">
      <c r="A300" s="220"/>
      <c r="B300" s="223" t="s">
        <v>757</v>
      </c>
      <c r="C300" s="223" t="s">
        <v>758</v>
      </c>
      <c r="D300" s="223" t="s">
        <v>247</v>
      </c>
      <c r="E300" s="207">
        <v>386.23</v>
      </c>
      <c r="F300" s="205">
        <v>209.99905673394494</v>
      </c>
      <c r="G300" s="205">
        <v>81107.935682351555</v>
      </c>
      <c r="H300" s="207">
        <v>386.23</v>
      </c>
      <c r="I300" s="207"/>
      <c r="J300" s="207">
        <v>71452.55</v>
      </c>
      <c r="K300" s="123">
        <f t="shared" si="36"/>
        <v>0</v>
      </c>
      <c r="L300" s="267">
        <f t="shared" si="37"/>
        <v>209.99905673394494</v>
      </c>
      <c r="M300" s="205">
        <f t="shared" si="29"/>
        <v>0</v>
      </c>
      <c r="N300" s="123">
        <f t="shared" si="38"/>
        <v>0</v>
      </c>
      <c r="O300" s="207">
        <f t="shared" si="39"/>
        <v>0</v>
      </c>
      <c r="P300" s="207">
        <f t="shared" si="28"/>
        <v>0</v>
      </c>
      <c r="Q300" s="123"/>
      <c r="R300" s="267">
        <v>209.99905673394494</v>
      </c>
      <c r="S300" s="207">
        <f t="shared" si="27"/>
        <v>0</v>
      </c>
      <c r="T300" s="207"/>
      <c r="U300" s="207"/>
      <c r="V300" s="207">
        <f t="shared" si="40"/>
        <v>0</v>
      </c>
      <c r="W300" s="123"/>
      <c r="X300" s="268"/>
      <c r="Y300" s="207"/>
      <c r="Z300" s="267">
        <v>209.99905673394494</v>
      </c>
      <c r="AA300" s="207">
        <v>0</v>
      </c>
      <c r="AB300" s="207"/>
      <c r="AC300" s="207"/>
      <c r="AD300" s="207">
        <v>0</v>
      </c>
    </row>
    <row r="301" spans="1:30" s="216" customFormat="1" ht="23.1" hidden="1" customHeight="1" outlineLevel="2">
      <c r="A301" s="220"/>
      <c r="B301" s="223" t="s">
        <v>759</v>
      </c>
      <c r="C301" s="223" t="s">
        <v>750</v>
      </c>
      <c r="D301" s="223" t="s">
        <v>247</v>
      </c>
      <c r="E301" s="207">
        <v>928.75</v>
      </c>
      <c r="F301" s="205">
        <v>63.452133577981648</v>
      </c>
      <c r="G301" s="205">
        <v>58931.169060550455</v>
      </c>
      <c r="H301" s="207">
        <v>928.75</v>
      </c>
      <c r="I301" s="207"/>
      <c r="J301" s="207">
        <v>47087.625</v>
      </c>
      <c r="K301" s="123">
        <f t="shared" si="36"/>
        <v>0</v>
      </c>
      <c r="L301" s="267">
        <f t="shared" si="37"/>
        <v>63.452133577981648</v>
      </c>
      <c r="M301" s="205">
        <f t="shared" si="29"/>
        <v>0</v>
      </c>
      <c r="N301" s="123">
        <f t="shared" si="38"/>
        <v>0</v>
      </c>
      <c r="O301" s="207">
        <f t="shared" si="39"/>
        <v>0</v>
      </c>
      <c r="P301" s="207">
        <f t="shared" si="28"/>
        <v>0</v>
      </c>
      <c r="Q301" s="123"/>
      <c r="R301" s="267">
        <v>63.452133577981648</v>
      </c>
      <c r="S301" s="207">
        <f t="shared" si="27"/>
        <v>0</v>
      </c>
      <c r="T301" s="207"/>
      <c r="U301" s="207"/>
      <c r="V301" s="207">
        <f t="shared" si="40"/>
        <v>0</v>
      </c>
      <c r="W301" s="123"/>
      <c r="X301" s="268"/>
      <c r="Y301" s="207"/>
      <c r="Z301" s="267">
        <v>63.452133577981648</v>
      </c>
      <c r="AA301" s="207">
        <v>0</v>
      </c>
      <c r="AB301" s="207"/>
      <c r="AC301" s="207"/>
      <c r="AD301" s="207">
        <v>0</v>
      </c>
    </row>
    <row r="302" spans="1:30" s="216" customFormat="1" ht="23.1" hidden="1" customHeight="1" outlineLevel="2">
      <c r="A302" s="220"/>
      <c r="B302" s="223" t="s">
        <v>760</v>
      </c>
      <c r="C302" s="223" t="s">
        <v>761</v>
      </c>
      <c r="D302" s="223" t="s">
        <v>247</v>
      </c>
      <c r="E302" s="207">
        <v>562.5</v>
      </c>
      <c r="F302" s="205">
        <v>42.045337541284404</v>
      </c>
      <c r="G302" s="205">
        <v>23650.502366972476</v>
      </c>
      <c r="H302" s="207">
        <v>562.5</v>
      </c>
      <c r="I302" s="207"/>
      <c r="J302" s="207">
        <v>13500</v>
      </c>
      <c r="K302" s="123">
        <f t="shared" si="36"/>
        <v>562.5</v>
      </c>
      <c r="L302" s="267">
        <f t="shared" si="37"/>
        <v>42.045337541284404</v>
      </c>
      <c r="M302" s="205">
        <f t="shared" si="29"/>
        <v>23650.502366972476</v>
      </c>
      <c r="N302" s="123">
        <f t="shared" si="38"/>
        <v>562.5</v>
      </c>
      <c r="O302" s="207">
        <f t="shared" si="39"/>
        <v>19</v>
      </c>
      <c r="P302" s="207">
        <f t="shared" si="28"/>
        <v>10687.5</v>
      </c>
      <c r="Q302" s="123">
        <f>+E302</f>
        <v>562.5</v>
      </c>
      <c r="R302" s="273">
        <v>42.045337541284404</v>
      </c>
      <c r="S302" s="207">
        <f t="shared" ref="S302:S323" si="41">+R302*Q302</f>
        <v>23650.502366972476</v>
      </c>
      <c r="T302" s="207">
        <f>+E302</f>
        <v>562.5</v>
      </c>
      <c r="U302" s="206">
        <v>19</v>
      </c>
      <c r="V302" s="207">
        <f t="shared" si="40"/>
        <v>10687.5</v>
      </c>
      <c r="W302" s="123"/>
      <c r="X302" s="268"/>
      <c r="Y302" s="207"/>
      <c r="Z302" s="267">
        <v>42.045337541284404</v>
      </c>
      <c r="AA302" s="207">
        <v>0</v>
      </c>
      <c r="AB302" s="207"/>
      <c r="AC302" s="207"/>
      <c r="AD302" s="207">
        <v>0</v>
      </c>
    </row>
    <row r="303" spans="1:30" s="216" customFormat="1" ht="23.1" hidden="1" customHeight="1" outlineLevel="2">
      <c r="A303" s="220"/>
      <c r="B303" s="223" t="s">
        <v>376</v>
      </c>
      <c r="C303" s="223"/>
      <c r="D303" s="223" t="s">
        <v>143</v>
      </c>
      <c r="E303" s="207">
        <v>1</v>
      </c>
      <c r="F303" s="205">
        <v>-106533.84648308257</v>
      </c>
      <c r="G303" s="205">
        <v>-106533.84648308257</v>
      </c>
      <c r="H303" s="207">
        <v>1</v>
      </c>
      <c r="I303" s="207"/>
      <c r="J303" s="207">
        <v>0</v>
      </c>
      <c r="K303" s="123">
        <f t="shared" si="36"/>
        <v>1</v>
      </c>
      <c r="L303" s="267">
        <f t="shared" si="37"/>
        <v>-106533.84648308257</v>
      </c>
      <c r="M303" s="205">
        <f t="shared" si="29"/>
        <v>-106533.84648308257</v>
      </c>
      <c r="N303" s="207"/>
      <c r="O303" s="207">
        <f t="shared" si="39"/>
        <v>0</v>
      </c>
      <c r="P303" s="207">
        <f t="shared" si="28"/>
        <v>0</v>
      </c>
      <c r="Q303" s="123">
        <v>1</v>
      </c>
      <c r="R303" s="267">
        <v>-106533.84648308257</v>
      </c>
      <c r="S303" s="207">
        <f t="shared" si="41"/>
        <v>-106533.84648308257</v>
      </c>
      <c r="T303" s="207"/>
      <c r="U303" s="207"/>
      <c r="V303" s="207">
        <f t="shared" si="40"/>
        <v>0</v>
      </c>
      <c r="W303" s="123"/>
      <c r="X303" s="268"/>
      <c r="Y303" s="207"/>
      <c r="Z303" s="267">
        <v>-106533.84648308257</v>
      </c>
      <c r="AA303" s="207">
        <v>0</v>
      </c>
      <c r="AB303" s="207"/>
      <c r="AC303" s="207"/>
      <c r="AD303" s="207">
        <v>0</v>
      </c>
    </row>
    <row r="304" spans="1:30" s="216" customFormat="1" ht="23.1" hidden="1" customHeight="1" outlineLevel="2">
      <c r="A304" s="220"/>
      <c r="B304" s="223" t="s">
        <v>377</v>
      </c>
      <c r="C304" s="223"/>
      <c r="D304" s="223" t="s">
        <v>143</v>
      </c>
      <c r="E304" s="207">
        <v>1</v>
      </c>
      <c r="F304" s="205">
        <v>-57123.23377321101</v>
      </c>
      <c r="G304" s="205">
        <v>-57123.23377321101</v>
      </c>
      <c r="H304" s="207">
        <v>1</v>
      </c>
      <c r="I304" s="207"/>
      <c r="J304" s="207">
        <v>0</v>
      </c>
      <c r="K304" s="123">
        <v>1</v>
      </c>
      <c r="L304" s="267">
        <f t="shared" si="37"/>
        <v>-57123.23377321101</v>
      </c>
      <c r="M304" s="205">
        <f t="shared" si="29"/>
        <v>-57123.23377321101</v>
      </c>
      <c r="N304" s="207"/>
      <c r="O304" s="207">
        <f t="shared" si="39"/>
        <v>0</v>
      </c>
      <c r="P304" s="207">
        <f t="shared" si="28"/>
        <v>0</v>
      </c>
      <c r="Q304" s="123">
        <v>1</v>
      </c>
      <c r="R304" s="267">
        <v>-57123.23377321101</v>
      </c>
      <c r="S304" s="207">
        <f t="shared" si="41"/>
        <v>-57123.23377321101</v>
      </c>
      <c r="T304" s="207"/>
      <c r="U304" s="207"/>
      <c r="V304" s="207">
        <f t="shared" si="40"/>
        <v>0</v>
      </c>
      <c r="W304" s="123"/>
      <c r="X304" s="268"/>
      <c r="Y304" s="207"/>
      <c r="Z304" s="267">
        <v>-57123.23377321101</v>
      </c>
      <c r="AA304" s="207">
        <v>0</v>
      </c>
      <c r="AB304" s="207"/>
      <c r="AC304" s="207"/>
      <c r="AD304" s="207">
        <v>0</v>
      </c>
    </row>
    <row r="305" spans="1:30" s="215" customFormat="1" ht="23.1" hidden="1" customHeight="1" outlineLevel="1" collapsed="1">
      <c r="A305" s="220">
        <v>3</v>
      </c>
      <c r="B305" s="220" t="s">
        <v>762</v>
      </c>
      <c r="C305" s="220"/>
      <c r="D305" s="220"/>
      <c r="E305" s="229"/>
      <c r="F305" s="222"/>
      <c r="G305" s="222"/>
      <c r="H305" s="229"/>
      <c r="I305" s="229"/>
      <c r="J305" s="229"/>
      <c r="K305" s="137"/>
      <c r="L305" s="266"/>
      <c r="M305" s="222">
        <f t="shared" si="29"/>
        <v>0</v>
      </c>
      <c r="N305" s="229"/>
      <c r="O305" s="207"/>
      <c r="P305" s="229">
        <f t="shared" si="28"/>
        <v>0</v>
      </c>
      <c r="Q305" s="137"/>
      <c r="R305" s="266"/>
      <c r="S305" s="229">
        <f t="shared" si="41"/>
        <v>0</v>
      </c>
      <c r="T305" s="229"/>
      <c r="U305" s="229"/>
      <c r="V305" s="229">
        <f t="shared" si="40"/>
        <v>0</v>
      </c>
      <c r="W305" s="137"/>
      <c r="X305" s="269"/>
      <c r="Y305" s="229"/>
      <c r="Z305" s="266">
        <v>0</v>
      </c>
      <c r="AA305" s="229">
        <v>0</v>
      </c>
      <c r="AB305" s="229"/>
      <c r="AC305" s="229"/>
      <c r="AD305" s="229">
        <v>0</v>
      </c>
    </row>
    <row r="306" spans="1:30" s="216" customFormat="1" ht="23.1" hidden="1" customHeight="1" outlineLevel="2">
      <c r="A306" s="220"/>
      <c r="B306" s="223" t="s">
        <v>763</v>
      </c>
      <c r="C306" s="223" t="s">
        <v>764</v>
      </c>
      <c r="D306" s="223" t="s">
        <v>397</v>
      </c>
      <c r="E306" s="207">
        <v>3728.34</v>
      </c>
      <c r="F306" s="205">
        <v>6.3546979816513769</v>
      </c>
      <c r="G306" s="205">
        <v>23692.474672910095</v>
      </c>
      <c r="H306" s="207">
        <v>3728.34</v>
      </c>
      <c r="I306" s="207"/>
      <c r="J306" s="207">
        <v>48674.224367999996</v>
      </c>
      <c r="K306" s="123"/>
      <c r="L306" s="267">
        <v>6.3546979816513769</v>
      </c>
      <c r="M306" s="205">
        <f t="shared" si="29"/>
        <v>0</v>
      </c>
      <c r="N306" s="207"/>
      <c r="O306" s="207"/>
      <c r="P306" s="207">
        <f t="shared" si="28"/>
        <v>0</v>
      </c>
      <c r="Q306" s="123"/>
      <c r="R306" s="267">
        <v>6.3546979816513769</v>
      </c>
      <c r="S306" s="207">
        <f t="shared" si="41"/>
        <v>0</v>
      </c>
      <c r="T306" s="207"/>
      <c r="U306" s="207"/>
      <c r="V306" s="207">
        <f t="shared" si="40"/>
        <v>0</v>
      </c>
      <c r="W306" s="123"/>
      <c r="X306" s="268"/>
      <c r="Y306" s="207"/>
      <c r="Z306" s="267">
        <v>6.3546979816513769</v>
      </c>
      <c r="AA306" s="207">
        <v>0</v>
      </c>
      <c r="AB306" s="207"/>
      <c r="AC306" s="207"/>
      <c r="AD306" s="207">
        <v>0</v>
      </c>
    </row>
    <row r="307" spans="1:30" s="216" customFormat="1" ht="23.1" hidden="1" customHeight="1" outlineLevel="2">
      <c r="A307" s="220"/>
      <c r="B307" s="223" t="s">
        <v>765</v>
      </c>
      <c r="C307" s="223" t="s">
        <v>766</v>
      </c>
      <c r="D307" s="223" t="s">
        <v>397</v>
      </c>
      <c r="E307" s="207">
        <v>763.82</v>
      </c>
      <c r="F307" s="205">
        <v>17.157684550458715</v>
      </c>
      <c r="G307" s="205">
        <v>13105.382613331376</v>
      </c>
      <c r="H307" s="207">
        <v>763.82</v>
      </c>
      <c r="I307" s="207"/>
      <c r="J307" s="207">
        <v>16011.926030796119</v>
      </c>
      <c r="K307" s="123"/>
      <c r="L307" s="267">
        <v>17.157684550458715</v>
      </c>
      <c r="M307" s="205">
        <f t="shared" si="29"/>
        <v>0</v>
      </c>
      <c r="N307" s="207"/>
      <c r="O307" s="207"/>
      <c r="P307" s="207">
        <f t="shared" ref="P307:P323" si="42">+O307*N307</f>
        <v>0</v>
      </c>
      <c r="Q307" s="123"/>
      <c r="R307" s="267">
        <v>17.157684550458715</v>
      </c>
      <c r="S307" s="207">
        <f t="shared" si="41"/>
        <v>0</v>
      </c>
      <c r="T307" s="207"/>
      <c r="U307" s="207"/>
      <c r="V307" s="207">
        <f t="shared" si="40"/>
        <v>0</v>
      </c>
      <c r="W307" s="123"/>
      <c r="X307" s="268"/>
      <c r="Y307" s="207"/>
      <c r="Z307" s="267">
        <v>17.157684550458715</v>
      </c>
      <c r="AA307" s="207">
        <v>0</v>
      </c>
      <c r="AB307" s="207"/>
      <c r="AC307" s="207"/>
      <c r="AD307" s="207">
        <v>0</v>
      </c>
    </row>
    <row r="308" spans="1:30" s="216" customFormat="1" ht="23.1" hidden="1" customHeight="1" outlineLevel="2">
      <c r="A308" s="220"/>
      <c r="B308" s="223" t="s">
        <v>767</v>
      </c>
      <c r="C308" s="223" t="s">
        <v>768</v>
      </c>
      <c r="D308" s="223" t="s">
        <v>397</v>
      </c>
      <c r="E308" s="207">
        <v>424.84</v>
      </c>
      <c r="F308" s="205">
        <v>5.0173660183486239</v>
      </c>
      <c r="G308" s="205">
        <v>2131.5777792352292</v>
      </c>
      <c r="H308" s="207">
        <v>424.84</v>
      </c>
      <c r="I308" s="207"/>
      <c r="J308" s="207">
        <v>26255.62428279611</v>
      </c>
      <c r="K308" s="123"/>
      <c r="L308" s="267">
        <v>5.0173660183486239</v>
      </c>
      <c r="M308" s="205">
        <f t="shared" si="29"/>
        <v>0</v>
      </c>
      <c r="N308" s="207"/>
      <c r="O308" s="207"/>
      <c r="P308" s="207">
        <f t="shared" si="42"/>
        <v>0</v>
      </c>
      <c r="Q308" s="123"/>
      <c r="R308" s="267">
        <v>5.0173660183486239</v>
      </c>
      <c r="S308" s="207">
        <f t="shared" si="41"/>
        <v>0</v>
      </c>
      <c r="T308" s="207"/>
      <c r="U308" s="207"/>
      <c r="V308" s="207">
        <f t="shared" si="40"/>
        <v>0</v>
      </c>
      <c r="W308" s="123"/>
      <c r="X308" s="268"/>
      <c r="Y308" s="207"/>
      <c r="Z308" s="267">
        <v>5.0173660183486239</v>
      </c>
      <c r="AA308" s="207">
        <v>0</v>
      </c>
      <c r="AB308" s="207"/>
      <c r="AC308" s="207"/>
      <c r="AD308" s="207">
        <v>0</v>
      </c>
    </row>
    <row r="309" spans="1:30" s="216" customFormat="1" ht="23.1" hidden="1" customHeight="1" outlineLevel="2">
      <c r="A309" s="220"/>
      <c r="B309" s="223" t="s">
        <v>376</v>
      </c>
      <c r="C309" s="223"/>
      <c r="D309" s="223" t="s">
        <v>143</v>
      </c>
      <c r="E309" s="207">
        <v>1</v>
      </c>
      <c r="F309" s="205">
        <v>-4027.4937652844042</v>
      </c>
      <c r="G309" s="205">
        <v>-4027.4937652844042</v>
      </c>
      <c r="H309" s="207">
        <v>1</v>
      </c>
      <c r="I309" s="207"/>
      <c r="J309" s="207">
        <v>0</v>
      </c>
      <c r="K309" s="123">
        <v>1</v>
      </c>
      <c r="L309" s="267">
        <v>-4027.4937652844042</v>
      </c>
      <c r="M309" s="205">
        <f t="shared" si="29"/>
        <v>-4027.4937652844042</v>
      </c>
      <c r="N309" s="207"/>
      <c r="O309" s="207"/>
      <c r="P309" s="207">
        <f t="shared" si="42"/>
        <v>0</v>
      </c>
      <c r="Q309" s="123">
        <v>1</v>
      </c>
      <c r="R309" s="267">
        <v>-4027.4937652844042</v>
      </c>
      <c r="S309" s="207">
        <f t="shared" si="41"/>
        <v>-4027.4937652844042</v>
      </c>
      <c r="T309" s="207"/>
      <c r="U309" s="207"/>
      <c r="V309" s="207">
        <f t="shared" si="40"/>
        <v>0</v>
      </c>
      <c r="W309" s="123"/>
      <c r="X309" s="268"/>
      <c r="Y309" s="207"/>
      <c r="Z309" s="267">
        <v>-4027.4937652844042</v>
      </c>
      <c r="AA309" s="207">
        <v>0</v>
      </c>
      <c r="AB309" s="207"/>
      <c r="AC309" s="207"/>
      <c r="AD309" s="207">
        <v>0</v>
      </c>
    </row>
    <row r="310" spans="1:30" s="216" customFormat="1" ht="23.1" hidden="1" customHeight="1" outlineLevel="2">
      <c r="A310" s="220"/>
      <c r="B310" s="223" t="s">
        <v>377</v>
      </c>
      <c r="C310" s="223"/>
      <c r="D310" s="223" t="s">
        <v>143</v>
      </c>
      <c r="E310" s="207">
        <v>1</v>
      </c>
      <c r="F310" s="205">
        <v>-1855.353664293578</v>
      </c>
      <c r="G310" s="205">
        <v>-1855.353664293578</v>
      </c>
      <c r="H310" s="207">
        <v>1</v>
      </c>
      <c r="I310" s="207"/>
      <c r="J310" s="207">
        <v>0</v>
      </c>
      <c r="K310" s="123">
        <v>1</v>
      </c>
      <c r="L310" s="267">
        <v>-1855.353664293578</v>
      </c>
      <c r="M310" s="205">
        <f t="shared" si="29"/>
        <v>-1855.353664293578</v>
      </c>
      <c r="N310" s="207"/>
      <c r="O310" s="207"/>
      <c r="P310" s="207">
        <f t="shared" si="42"/>
        <v>0</v>
      </c>
      <c r="Q310" s="123">
        <v>1</v>
      </c>
      <c r="R310" s="267">
        <v>-1855.353664293578</v>
      </c>
      <c r="S310" s="207">
        <f t="shared" si="41"/>
        <v>-1855.353664293578</v>
      </c>
      <c r="T310" s="207"/>
      <c r="U310" s="207"/>
      <c r="V310" s="207">
        <f t="shared" si="40"/>
        <v>0</v>
      </c>
      <c r="W310" s="123"/>
      <c r="X310" s="268"/>
      <c r="Y310" s="207"/>
      <c r="Z310" s="267">
        <v>-1855.353664293578</v>
      </c>
      <c r="AA310" s="207">
        <v>0</v>
      </c>
      <c r="AB310" s="207"/>
      <c r="AC310" s="207"/>
      <c r="AD310" s="207">
        <v>0</v>
      </c>
    </row>
    <row r="311" spans="1:30" s="215" customFormat="1" ht="23.1" hidden="1" customHeight="1" outlineLevel="1" collapsed="1">
      <c r="A311" s="220">
        <v>4</v>
      </c>
      <c r="B311" s="220" t="s">
        <v>769</v>
      </c>
      <c r="C311" s="220"/>
      <c r="D311" s="220"/>
      <c r="E311" s="229"/>
      <c r="F311" s="222"/>
      <c r="G311" s="229">
        <f>SUM(G312:G316)</f>
        <v>494016.73290651309</v>
      </c>
      <c r="H311" s="229"/>
      <c r="I311" s="229"/>
      <c r="J311" s="229">
        <f>SUM(J312:J316)</f>
        <v>342128.94099999999</v>
      </c>
      <c r="K311" s="137"/>
      <c r="L311" s="266"/>
      <c r="M311" s="229">
        <f>SUM(M312:M316)</f>
        <v>174359.90816000005</v>
      </c>
      <c r="N311" s="229"/>
      <c r="O311" s="229"/>
      <c r="P311" s="229">
        <f>SUM(P312:P316)</f>
        <v>339576.44</v>
      </c>
      <c r="Q311" s="137"/>
      <c r="R311" s="266"/>
      <c r="S311" s="229">
        <f>SUM(S312:S316)</f>
        <v>174359.90816000005</v>
      </c>
      <c r="T311" s="229"/>
      <c r="U311" s="229"/>
      <c r="V311" s="229">
        <f>SUM(V312:V316)</f>
        <v>339576.44</v>
      </c>
      <c r="W311" s="137"/>
      <c r="X311" s="269"/>
      <c r="Y311" s="229"/>
      <c r="Z311" s="266">
        <v>0</v>
      </c>
      <c r="AA311" s="229">
        <v>0</v>
      </c>
      <c r="AB311" s="229"/>
      <c r="AC311" s="229"/>
      <c r="AD311" s="229">
        <v>0</v>
      </c>
    </row>
    <row r="312" spans="1:30" s="216" customFormat="1" ht="23.1" hidden="1" customHeight="1" outlineLevel="2">
      <c r="A312" s="220"/>
      <c r="B312" s="223" t="s">
        <v>770</v>
      </c>
      <c r="C312" s="223" t="s">
        <v>771</v>
      </c>
      <c r="D312" s="223" t="s">
        <v>247</v>
      </c>
      <c r="E312" s="207">
        <v>12007.73</v>
      </c>
      <c r="F312" s="205">
        <v>45.990941064220202</v>
      </c>
      <c r="G312" s="205">
        <v>552246.80274506868</v>
      </c>
      <c r="H312" s="207">
        <v>12007.73</v>
      </c>
      <c r="I312" s="207"/>
      <c r="J312" s="207">
        <v>320606.391</v>
      </c>
      <c r="K312" s="123">
        <f>+Q312-Y312</f>
        <v>12007.73</v>
      </c>
      <c r="L312" s="267">
        <f>+R312</f>
        <v>21.76</v>
      </c>
      <c r="M312" s="205">
        <f t="shared" si="29"/>
        <v>261288.20480000001</v>
      </c>
      <c r="N312" s="123">
        <f>+T312-AB312</f>
        <v>12007.73</v>
      </c>
      <c r="O312" s="207">
        <f>+U312</f>
        <v>28</v>
      </c>
      <c r="P312" s="207">
        <f t="shared" si="42"/>
        <v>336216.44</v>
      </c>
      <c r="Q312" s="123">
        <f>+E312</f>
        <v>12007.73</v>
      </c>
      <c r="R312" s="273">
        <v>21.76</v>
      </c>
      <c r="S312" s="207">
        <f t="shared" si="41"/>
        <v>261288.20480000001</v>
      </c>
      <c r="T312" s="207">
        <f>+E312</f>
        <v>12007.73</v>
      </c>
      <c r="U312" s="206">
        <v>28</v>
      </c>
      <c r="V312" s="207">
        <f t="shared" si="40"/>
        <v>336216.44</v>
      </c>
      <c r="W312" s="123"/>
      <c r="X312" s="268">
        <f>+T312*U312</f>
        <v>336216.44</v>
      </c>
      <c r="Y312" s="207"/>
      <c r="Z312" s="267">
        <v>45.990941064220188</v>
      </c>
      <c r="AA312" s="207">
        <v>0</v>
      </c>
      <c r="AB312" s="207"/>
      <c r="AC312" s="207"/>
      <c r="AD312" s="207">
        <v>0</v>
      </c>
    </row>
    <row r="313" spans="1:30" s="216" customFormat="1" ht="23.1" hidden="1" customHeight="1" outlineLevel="2">
      <c r="A313" s="220"/>
      <c r="B313" s="223" t="s">
        <v>772</v>
      </c>
      <c r="C313" s="223" t="s">
        <v>773</v>
      </c>
      <c r="D313" s="223" t="s">
        <v>247</v>
      </c>
      <c r="E313" s="207">
        <v>120</v>
      </c>
      <c r="F313" s="205">
        <v>48.2008584220183</v>
      </c>
      <c r="G313" s="205">
        <v>5784.1030106422022</v>
      </c>
      <c r="H313" s="207">
        <v>120</v>
      </c>
      <c r="I313" s="207"/>
      <c r="J313" s="207">
        <v>4164</v>
      </c>
      <c r="K313" s="123">
        <f>+Q313-Y313</f>
        <v>120</v>
      </c>
      <c r="L313" s="267">
        <f>+R313</f>
        <v>21.76</v>
      </c>
      <c r="M313" s="205">
        <f t="shared" si="29"/>
        <v>2611.2000000000003</v>
      </c>
      <c r="N313" s="123">
        <f>+T313-AB313</f>
        <v>120</v>
      </c>
      <c r="O313" s="207">
        <f>+U313</f>
        <v>28</v>
      </c>
      <c r="P313" s="207">
        <f t="shared" si="42"/>
        <v>3360</v>
      </c>
      <c r="Q313" s="123">
        <f>+E313</f>
        <v>120</v>
      </c>
      <c r="R313" s="273">
        <v>21.76</v>
      </c>
      <c r="S313" s="207">
        <f t="shared" si="41"/>
        <v>2611.2000000000003</v>
      </c>
      <c r="T313" s="207">
        <f>+E313</f>
        <v>120</v>
      </c>
      <c r="U313" s="206">
        <v>28</v>
      </c>
      <c r="V313" s="207">
        <f t="shared" si="40"/>
        <v>3360</v>
      </c>
      <c r="W313" s="123"/>
      <c r="X313" s="268">
        <f>+T313*U313</f>
        <v>3360</v>
      </c>
      <c r="Y313" s="207"/>
      <c r="Z313" s="267">
        <v>48.200858422018349</v>
      </c>
      <c r="AA313" s="207">
        <v>0</v>
      </c>
      <c r="AB313" s="207"/>
      <c r="AC313" s="207"/>
      <c r="AD313" s="207">
        <v>0</v>
      </c>
    </row>
    <row r="314" spans="1:30" s="216" customFormat="1" ht="23.1" hidden="1" customHeight="1" outlineLevel="2">
      <c r="A314" s="220"/>
      <c r="B314" s="223" t="s">
        <v>774</v>
      </c>
      <c r="C314" s="223" t="s">
        <v>775</v>
      </c>
      <c r="D314" s="223" t="s">
        <v>247</v>
      </c>
      <c r="E314" s="207">
        <v>93.83</v>
      </c>
      <c r="F314" s="205">
        <v>272.037981357798</v>
      </c>
      <c r="G314" s="205">
        <v>25525.323790802202</v>
      </c>
      <c r="H314" s="207">
        <v>93.83</v>
      </c>
      <c r="I314" s="207"/>
      <c r="J314" s="207">
        <v>17358.55</v>
      </c>
      <c r="K314" s="123">
        <f>+Q314-Y314</f>
        <v>0</v>
      </c>
      <c r="L314" s="267">
        <f>+R314</f>
        <v>272.03798135779817</v>
      </c>
      <c r="M314" s="205">
        <f t="shared" si="29"/>
        <v>0</v>
      </c>
      <c r="N314" s="123">
        <f>+T314-AB314</f>
        <v>0</v>
      </c>
      <c r="O314" s="207">
        <f>+U314</f>
        <v>0</v>
      </c>
      <c r="P314" s="207">
        <f t="shared" si="42"/>
        <v>0</v>
      </c>
      <c r="Q314" s="123"/>
      <c r="R314" s="273">
        <v>272.03798135779817</v>
      </c>
      <c r="S314" s="207">
        <f t="shared" si="41"/>
        <v>0</v>
      </c>
      <c r="T314" s="207"/>
      <c r="U314" s="206"/>
      <c r="V314" s="207">
        <f t="shared" si="40"/>
        <v>0</v>
      </c>
      <c r="W314" s="123"/>
      <c r="X314" s="268"/>
      <c r="Y314" s="207"/>
      <c r="Z314" s="267">
        <v>272.03798135779817</v>
      </c>
      <c r="AA314" s="207">
        <v>0</v>
      </c>
      <c r="AB314" s="207"/>
      <c r="AC314" s="207"/>
      <c r="AD314" s="207">
        <v>0</v>
      </c>
    </row>
    <row r="315" spans="1:30" s="216" customFormat="1" ht="23.1" hidden="1" customHeight="1" outlineLevel="2">
      <c r="A315" s="220"/>
      <c r="B315" s="223" t="s">
        <v>376</v>
      </c>
      <c r="C315" s="223"/>
      <c r="D315" s="223" t="s">
        <v>143</v>
      </c>
      <c r="E315" s="207">
        <v>1</v>
      </c>
      <c r="F315" s="205">
        <v>-61740.083095486232</v>
      </c>
      <c r="G315" s="205">
        <v>-61740.083095486232</v>
      </c>
      <c r="H315" s="207">
        <v>1</v>
      </c>
      <c r="I315" s="207"/>
      <c r="J315" s="207">
        <v>0</v>
      </c>
      <c r="K315" s="123">
        <v>1</v>
      </c>
      <c r="L315" s="267">
        <v>-61740.083095486232</v>
      </c>
      <c r="M315" s="205">
        <f t="shared" si="29"/>
        <v>-61740.083095486232</v>
      </c>
      <c r="N315" s="207"/>
      <c r="O315" s="207">
        <f>+U315</f>
        <v>0</v>
      </c>
      <c r="P315" s="207">
        <f t="shared" si="42"/>
        <v>0</v>
      </c>
      <c r="Q315" s="123">
        <v>1</v>
      </c>
      <c r="R315" s="267">
        <v>-61740.083095486232</v>
      </c>
      <c r="S315" s="207">
        <f t="shared" si="41"/>
        <v>-61740.083095486232</v>
      </c>
      <c r="T315" s="207"/>
      <c r="U315" s="207"/>
      <c r="V315" s="207">
        <f t="shared" si="40"/>
        <v>0</v>
      </c>
      <c r="W315" s="123"/>
      <c r="X315" s="268"/>
      <c r="Y315" s="207"/>
      <c r="Z315" s="267">
        <v>-61740.083095486232</v>
      </c>
      <c r="AA315" s="207">
        <v>0</v>
      </c>
      <c r="AB315" s="207"/>
      <c r="AC315" s="207"/>
      <c r="AD315" s="207">
        <v>0</v>
      </c>
    </row>
    <row r="316" spans="1:30" s="216" customFormat="1" ht="23.1" hidden="1" customHeight="1" outlineLevel="2">
      <c r="A316" s="220"/>
      <c r="B316" s="223" t="s">
        <v>377</v>
      </c>
      <c r="C316" s="223"/>
      <c r="D316" s="223" t="s">
        <v>143</v>
      </c>
      <c r="E316" s="207">
        <v>1</v>
      </c>
      <c r="F316" s="205">
        <v>-27799.413544513762</v>
      </c>
      <c r="G316" s="205">
        <v>-27799.413544513762</v>
      </c>
      <c r="H316" s="207">
        <v>1</v>
      </c>
      <c r="I316" s="207"/>
      <c r="J316" s="207">
        <v>0</v>
      </c>
      <c r="K316" s="123">
        <v>1</v>
      </c>
      <c r="L316" s="267">
        <v>-27799.413544513762</v>
      </c>
      <c r="M316" s="205">
        <f t="shared" ref="M316:M323" si="43">+L316*K316</f>
        <v>-27799.413544513762</v>
      </c>
      <c r="N316" s="207"/>
      <c r="O316" s="207">
        <f>+U316</f>
        <v>0</v>
      </c>
      <c r="P316" s="207">
        <f t="shared" si="42"/>
        <v>0</v>
      </c>
      <c r="Q316" s="123">
        <v>1</v>
      </c>
      <c r="R316" s="267">
        <v>-27799.413544513762</v>
      </c>
      <c r="S316" s="207">
        <f t="shared" si="41"/>
        <v>-27799.413544513762</v>
      </c>
      <c r="T316" s="207"/>
      <c r="U316" s="207"/>
      <c r="V316" s="207">
        <f t="shared" si="40"/>
        <v>0</v>
      </c>
      <c r="W316" s="123"/>
      <c r="X316" s="268"/>
      <c r="Y316" s="207"/>
      <c r="Z316" s="267">
        <v>-27799.413544513762</v>
      </c>
      <c r="AA316" s="207">
        <v>0</v>
      </c>
      <c r="AB316" s="207"/>
      <c r="AC316" s="207"/>
      <c r="AD316" s="207">
        <v>0</v>
      </c>
    </row>
    <row r="317" spans="1:30" s="215" customFormat="1" ht="23.1" hidden="1" customHeight="1" outlineLevel="1" collapsed="1">
      <c r="A317" s="220">
        <v>5</v>
      </c>
      <c r="B317" s="220" t="s">
        <v>776</v>
      </c>
      <c r="C317" s="220"/>
      <c r="D317" s="220"/>
      <c r="E317" s="229"/>
      <c r="F317" s="222"/>
      <c r="G317" s="229">
        <f>SUM(G318:G323)</f>
        <v>198309.22634591124</v>
      </c>
      <c r="H317" s="229"/>
      <c r="I317" s="229"/>
      <c r="J317" s="229"/>
      <c r="K317" s="137"/>
      <c r="L317" s="266"/>
      <c r="M317" s="229">
        <f>SUM(M318:M323)</f>
        <v>0</v>
      </c>
      <c r="N317" s="229"/>
      <c r="O317" s="229"/>
      <c r="P317" s="229">
        <f>SUM(P318:P323)</f>
        <v>0</v>
      </c>
      <c r="Q317" s="137"/>
      <c r="R317" s="266"/>
      <c r="S317" s="229">
        <f>SUM(S318:S323)</f>
        <v>0</v>
      </c>
      <c r="T317" s="229"/>
      <c r="U317" s="229"/>
      <c r="V317" s="229">
        <f>SUM(V318:V323)</f>
        <v>0</v>
      </c>
      <c r="W317" s="137"/>
      <c r="X317" s="269"/>
      <c r="Y317" s="229"/>
      <c r="Z317" s="266">
        <v>0</v>
      </c>
      <c r="AA317" s="229">
        <v>0</v>
      </c>
      <c r="AB317" s="229"/>
      <c r="AC317" s="229"/>
      <c r="AD317" s="229">
        <v>0</v>
      </c>
    </row>
    <row r="318" spans="1:30" s="216" customFormat="1" ht="23.1" hidden="1" customHeight="1" outlineLevel="2">
      <c r="A318" s="220"/>
      <c r="B318" s="223" t="s">
        <v>777</v>
      </c>
      <c r="C318" s="223" t="s">
        <v>778</v>
      </c>
      <c r="D318" s="223" t="s">
        <v>247</v>
      </c>
      <c r="E318" s="207">
        <v>123.53</v>
      </c>
      <c r="F318" s="205">
        <v>227.11880278899085</v>
      </c>
      <c r="G318" s="205">
        <v>28055.98570852404</v>
      </c>
      <c r="H318" s="207">
        <v>123.53</v>
      </c>
      <c r="I318" s="207"/>
      <c r="J318" s="207">
        <v>19552.552113229769</v>
      </c>
      <c r="K318" s="123"/>
      <c r="L318" s="267">
        <v>227.11880278899085</v>
      </c>
      <c r="M318" s="205">
        <f t="shared" si="43"/>
        <v>0</v>
      </c>
      <c r="N318" s="207"/>
      <c r="O318" s="207"/>
      <c r="P318" s="207">
        <f t="shared" si="42"/>
        <v>0</v>
      </c>
      <c r="Q318" s="123"/>
      <c r="R318" s="267">
        <v>227.11880278899085</v>
      </c>
      <c r="S318" s="207">
        <f t="shared" si="41"/>
        <v>0</v>
      </c>
      <c r="T318" s="207"/>
      <c r="U318" s="207">
        <f>18+3+34+27</f>
        <v>82</v>
      </c>
      <c r="V318" s="207">
        <f t="shared" si="40"/>
        <v>0</v>
      </c>
      <c r="W318" s="123"/>
      <c r="X318" s="268"/>
      <c r="Y318" s="207"/>
      <c r="Z318" s="267">
        <v>227.11880278899085</v>
      </c>
      <c r="AA318" s="207">
        <v>0</v>
      </c>
      <c r="AB318" s="207"/>
      <c r="AC318" s="207"/>
      <c r="AD318" s="207">
        <v>0</v>
      </c>
    </row>
    <row r="319" spans="1:30" s="216" customFormat="1" ht="23.1" hidden="1" customHeight="1" outlineLevel="2">
      <c r="A319" s="220"/>
      <c r="B319" s="223" t="s">
        <v>779</v>
      </c>
      <c r="C319" s="223" t="s">
        <v>780</v>
      </c>
      <c r="D319" s="223" t="s">
        <v>247</v>
      </c>
      <c r="E319" s="207">
        <v>124.2</v>
      </c>
      <c r="F319" s="205">
        <v>297.56110414678898</v>
      </c>
      <c r="G319" s="205">
        <v>36957.089135031194</v>
      </c>
      <c r="H319" s="207">
        <v>124.2</v>
      </c>
      <c r="I319" s="207"/>
      <c r="J319" s="207">
        <v>32242.716153786401</v>
      </c>
      <c r="K319" s="123"/>
      <c r="L319" s="267">
        <v>297.56110414678898</v>
      </c>
      <c r="M319" s="205">
        <f t="shared" si="43"/>
        <v>0</v>
      </c>
      <c r="N319" s="207"/>
      <c r="O319" s="207"/>
      <c r="P319" s="207">
        <f t="shared" si="42"/>
        <v>0</v>
      </c>
      <c r="Q319" s="123"/>
      <c r="R319" s="267">
        <v>297.56110414678898</v>
      </c>
      <c r="S319" s="207">
        <f t="shared" si="41"/>
        <v>0</v>
      </c>
      <c r="T319" s="207"/>
      <c r="U319" s="207">
        <f>18+15</f>
        <v>33</v>
      </c>
      <c r="V319" s="207">
        <f t="shared" si="40"/>
        <v>0</v>
      </c>
      <c r="W319" s="123"/>
      <c r="X319" s="268"/>
      <c r="Y319" s="207"/>
      <c r="Z319" s="267">
        <v>297.56110414678898</v>
      </c>
      <c r="AA319" s="207">
        <v>0</v>
      </c>
      <c r="AB319" s="207"/>
      <c r="AC319" s="207"/>
      <c r="AD319" s="207">
        <v>0</v>
      </c>
    </row>
    <row r="320" spans="1:30" s="216" customFormat="1" ht="23.1" hidden="1" customHeight="1" outlineLevel="2">
      <c r="A320" s="220"/>
      <c r="B320" s="223" t="s">
        <v>781</v>
      </c>
      <c r="C320" s="223" t="s">
        <v>782</v>
      </c>
      <c r="D320" s="223" t="s">
        <v>247</v>
      </c>
      <c r="E320" s="207">
        <v>550.39</v>
      </c>
      <c r="F320" s="205">
        <v>139.52830150458718</v>
      </c>
      <c r="G320" s="205">
        <v>76794.98186510973</v>
      </c>
      <c r="H320" s="207">
        <v>550.39</v>
      </c>
      <c r="I320" s="207"/>
      <c r="J320" s="207">
        <v>74182.560958071175</v>
      </c>
      <c r="K320" s="123"/>
      <c r="L320" s="267">
        <v>139.52830150458718</v>
      </c>
      <c r="M320" s="205">
        <f t="shared" si="43"/>
        <v>0</v>
      </c>
      <c r="N320" s="207"/>
      <c r="O320" s="207"/>
      <c r="P320" s="207">
        <f t="shared" si="42"/>
        <v>0</v>
      </c>
      <c r="Q320" s="123"/>
      <c r="R320" s="267">
        <v>139.52830150458718</v>
      </c>
      <c r="S320" s="207">
        <f t="shared" si="41"/>
        <v>0</v>
      </c>
      <c r="T320" s="207"/>
      <c r="U320" s="207"/>
      <c r="V320" s="207">
        <f t="shared" si="40"/>
        <v>0</v>
      </c>
      <c r="W320" s="123"/>
      <c r="X320" s="268"/>
      <c r="Y320" s="207"/>
      <c r="Z320" s="267">
        <v>139.52830150458718</v>
      </c>
      <c r="AA320" s="207">
        <v>0</v>
      </c>
      <c r="AB320" s="207"/>
      <c r="AC320" s="207"/>
      <c r="AD320" s="207">
        <v>0</v>
      </c>
    </row>
    <row r="321" spans="1:30" s="216" customFormat="1" ht="23.1" hidden="1" customHeight="1" outlineLevel="2">
      <c r="A321" s="220"/>
      <c r="B321" s="223" t="s">
        <v>783</v>
      </c>
      <c r="C321" s="223"/>
      <c r="D321" s="223"/>
      <c r="E321" s="207"/>
      <c r="F321" s="205">
        <v>0</v>
      </c>
      <c r="G321" s="205">
        <v>0</v>
      </c>
      <c r="H321" s="207"/>
      <c r="I321" s="207"/>
      <c r="J321" s="207">
        <v>0</v>
      </c>
      <c r="K321" s="123"/>
      <c r="L321" s="267">
        <v>0</v>
      </c>
      <c r="M321" s="205">
        <f t="shared" si="43"/>
        <v>0</v>
      </c>
      <c r="N321" s="207"/>
      <c r="O321" s="207"/>
      <c r="P321" s="207">
        <f t="shared" si="42"/>
        <v>0</v>
      </c>
      <c r="Q321" s="123"/>
      <c r="R321" s="267">
        <v>0</v>
      </c>
      <c r="S321" s="207">
        <f t="shared" si="41"/>
        <v>0</v>
      </c>
      <c r="T321" s="207"/>
      <c r="U321" s="207"/>
      <c r="V321" s="207">
        <f t="shared" si="40"/>
        <v>0</v>
      </c>
      <c r="W321" s="123"/>
      <c r="X321" s="268"/>
      <c r="Y321" s="207"/>
      <c r="Z321" s="267">
        <v>0</v>
      </c>
      <c r="AA321" s="207">
        <v>0</v>
      </c>
      <c r="AB321" s="207"/>
      <c r="AC321" s="207"/>
      <c r="AD321" s="207">
        <v>0</v>
      </c>
    </row>
    <row r="322" spans="1:30" s="216" customFormat="1" ht="23.1" hidden="1" customHeight="1" outlineLevel="2">
      <c r="A322" s="220"/>
      <c r="B322" s="223" t="s">
        <v>784</v>
      </c>
      <c r="C322" s="223" t="s">
        <v>785</v>
      </c>
      <c r="D322" s="223" t="s">
        <v>247</v>
      </c>
      <c r="E322" s="207">
        <v>173.77</v>
      </c>
      <c r="F322" s="205">
        <v>96.913886532110098</v>
      </c>
      <c r="G322" s="205">
        <v>16840.726062684771</v>
      </c>
      <c r="H322" s="207">
        <v>173.77</v>
      </c>
      <c r="I322" s="207"/>
      <c r="J322" s="207">
        <v>10523.142065281547</v>
      </c>
      <c r="K322" s="123"/>
      <c r="L322" s="267">
        <v>96.913886532110098</v>
      </c>
      <c r="M322" s="205">
        <f t="shared" si="43"/>
        <v>0</v>
      </c>
      <c r="N322" s="207"/>
      <c r="O322" s="207"/>
      <c r="P322" s="207">
        <f t="shared" si="42"/>
        <v>0</v>
      </c>
      <c r="Q322" s="123"/>
      <c r="R322" s="267">
        <v>96.913886532110098</v>
      </c>
      <c r="S322" s="207">
        <f t="shared" si="41"/>
        <v>0</v>
      </c>
      <c r="T322" s="207"/>
      <c r="U322" s="207"/>
      <c r="V322" s="207">
        <f t="shared" si="40"/>
        <v>0</v>
      </c>
      <c r="W322" s="123"/>
      <c r="X322" s="268"/>
      <c r="Y322" s="207"/>
      <c r="Z322" s="267">
        <v>96.913886532110098</v>
      </c>
      <c r="AA322" s="207">
        <v>0</v>
      </c>
      <c r="AB322" s="207"/>
      <c r="AC322" s="207"/>
      <c r="AD322" s="207">
        <v>0</v>
      </c>
    </row>
    <row r="323" spans="1:30" s="216" customFormat="1" ht="23.1" hidden="1" customHeight="1" outlineLevel="2">
      <c r="A323" s="220"/>
      <c r="B323" s="223" t="s">
        <v>786</v>
      </c>
      <c r="C323" s="223" t="s">
        <v>785</v>
      </c>
      <c r="D323" s="223" t="s">
        <v>247</v>
      </c>
      <c r="E323" s="207">
        <v>385.93</v>
      </c>
      <c r="F323" s="205">
        <v>102.76589944954128</v>
      </c>
      <c r="G323" s="205">
        <v>39660.443574561468</v>
      </c>
      <c r="H323" s="207">
        <v>385.93</v>
      </c>
      <c r="I323" s="207"/>
      <c r="J323" s="207">
        <v>23371.100979766976</v>
      </c>
      <c r="K323" s="123"/>
      <c r="L323" s="267">
        <v>102.76589944954128</v>
      </c>
      <c r="M323" s="205">
        <f t="shared" si="43"/>
        <v>0</v>
      </c>
      <c r="N323" s="207"/>
      <c r="O323" s="207"/>
      <c r="P323" s="207">
        <f t="shared" si="42"/>
        <v>0</v>
      </c>
      <c r="Q323" s="123"/>
      <c r="R323" s="267">
        <v>102.76589944954128</v>
      </c>
      <c r="S323" s="207">
        <f t="shared" si="41"/>
        <v>0</v>
      </c>
      <c r="T323" s="207"/>
      <c r="U323" s="207"/>
      <c r="V323" s="207">
        <f t="shared" si="40"/>
        <v>0</v>
      </c>
      <c r="W323" s="123"/>
      <c r="X323" s="268"/>
      <c r="Y323" s="207"/>
      <c r="Z323" s="267">
        <v>102.76589944954128</v>
      </c>
      <c r="AA323" s="207">
        <v>0</v>
      </c>
      <c r="AB323" s="207"/>
      <c r="AC323" s="207"/>
      <c r="AD323" s="207">
        <v>0</v>
      </c>
    </row>
    <row r="324" spans="1:30" s="215" customFormat="1" ht="23.1" hidden="1" customHeight="1" outlineLevel="1" collapsed="1">
      <c r="A324" s="220">
        <v>6</v>
      </c>
      <c r="B324" s="220" t="s">
        <v>787</v>
      </c>
      <c r="C324" s="220"/>
      <c r="D324" s="220"/>
      <c r="E324" s="229"/>
      <c r="F324" s="222"/>
      <c r="G324" s="266">
        <f>SUM(G325:G330)</f>
        <v>2061530.2734483965</v>
      </c>
      <c r="H324" s="229"/>
      <c r="I324" s="229"/>
      <c r="J324" s="266">
        <f>SUM(J325:J330)</f>
        <v>1541562.9664676213</v>
      </c>
      <c r="K324" s="137"/>
      <c r="L324" s="266"/>
      <c r="M324" s="266">
        <f>SUM(M325:M330)</f>
        <v>-379630.92836344952</v>
      </c>
      <c r="N324" s="229"/>
      <c r="O324" s="229"/>
      <c r="P324" s="266">
        <f>SUM(P325:P330)</f>
        <v>-412409.33999999997</v>
      </c>
      <c r="Q324" s="137"/>
      <c r="R324" s="266"/>
      <c r="S324" s="266">
        <f>SUM(S325:S330)</f>
        <v>1046012.9733559396</v>
      </c>
      <c r="T324" s="229"/>
      <c r="U324" s="229"/>
      <c r="V324" s="266">
        <f>SUM(V325:V330)</f>
        <v>630936.99</v>
      </c>
      <c r="W324" s="137"/>
      <c r="X324" s="269"/>
      <c r="Y324" s="229"/>
      <c r="Z324" s="266"/>
      <c r="AA324" s="266">
        <v>1485553.1618478296</v>
      </c>
      <c r="AB324" s="229"/>
      <c r="AC324" s="229"/>
      <c r="AD324" s="266">
        <v>1008444.08</v>
      </c>
    </row>
    <row r="325" spans="1:30" s="216" customFormat="1" ht="23.1" hidden="1" customHeight="1" outlineLevel="2">
      <c r="A325" s="220">
        <v>6.1</v>
      </c>
      <c r="B325" s="223" t="s">
        <v>788</v>
      </c>
      <c r="C325" s="223" t="s">
        <v>789</v>
      </c>
      <c r="D325" s="223" t="s">
        <v>247</v>
      </c>
      <c r="E325" s="207">
        <v>4595.3999999999996</v>
      </c>
      <c r="F325" s="205">
        <v>82.611073761467892</v>
      </c>
      <c r="G325" s="205">
        <v>379630.92836344952</v>
      </c>
      <c r="H325" s="207">
        <v>4595.3999999999996</v>
      </c>
      <c r="I325" s="207"/>
      <c r="J325" s="207">
        <v>278021.69999999995</v>
      </c>
      <c r="K325" s="123">
        <f t="shared" ref="K325:K330" si="44">+Q325-Y325</f>
        <v>-4595.3999999999996</v>
      </c>
      <c r="L325" s="267">
        <f t="shared" ref="L325:L330" si="45">+R325</f>
        <v>82.611073761467892</v>
      </c>
      <c r="M325" s="205">
        <f t="shared" ref="M325:M330" si="46">+L325*K325</f>
        <v>-379630.92836344952</v>
      </c>
      <c r="N325" s="123">
        <f t="shared" ref="N325:N330" si="47">+T325-AB325</f>
        <v>-4595.3999999999996</v>
      </c>
      <c r="O325" s="207">
        <f>+U325</f>
        <v>87.1</v>
      </c>
      <c r="P325" s="207">
        <f t="shared" ref="P325:P330" si="48">+O325*N325</f>
        <v>-400259.33999999997</v>
      </c>
      <c r="Q325" s="123"/>
      <c r="R325" s="267">
        <v>82.611073761467892</v>
      </c>
      <c r="S325" s="207">
        <f t="shared" ref="S325:S330" si="49">+R325*Q325</f>
        <v>0</v>
      </c>
      <c r="T325" s="207">
        <f>+Q325</f>
        <v>0</v>
      </c>
      <c r="U325" s="207">
        <v>87.1</v>
      </c>
      <c r="V325" s="207">
        <f t="shared" si="40"/>
        <v>0</v>
      </c>
      <c r="W325" s="123"/>
      <c r="X325" s="268"/>
      <c r="Y325" s="207">
        <v>4595.3999999999996</v>
      </c>
      <c r="Z325" s="267">
        <v>82.611073761467892</v>
      </c>
      <c r="AA325" s="207">
        <v>379630.92836344952</v>
      </c>
      <c r="AB325" s="207">
        <v>4595.3999999999996</v>
      </c>
      <c r="AC325" s="207">
        <v>87.1</v>
      </c>
      <c r="AD325" s="207">
        <v>400259.34</v>
      </c>
    </row>
    <row r="326" spans="1:30" s="216" customFormat="1" ht="23.1" hidden="1" customHeight="1" outlineLevel="2">
      <c r="A326" s="220">
        <v>6.2</v>
      </c>
      <c r="B326" s="223" t="s">
        <v>790</v>
      </c>
      <c r="C326" s="223" t="s">
        <v>791</v>
      </c>
      <c r="D326" s="223" t="s">
        <v>247</v>
      </c>
      <c r="E326" s="207">
        <v>3304.13</v>
      </c>
      <c r="F326" s="205">
        <v>115.11487970642202</v>
      </c>
      <c r="G326" s="205">
        <v>380354.52748438017</v>
      </c>
      <c r="H326" s="207">
        <v>3304.13</v>
      </c>
      <c r="I326" s="207"/>
      <c r="J326" s="207">
        <v>246157.685</v>
      </c>
      <c r="K326" s="123">
        <f t="shared" si="44"/>
        <v>0</v>
      </c>
      <c r="L326" s="267">
        <f t="shared" si="45"/>
        <v>115.11487970642202</v>
      </c>
      <c r="M326" s="205">
        <f t="shared" si="46"/>
        <v>0</v>
      </c>
      <c r="N326" s="123">
        <f t="shared" si="47"/>
        <v>0</v>
      </c>
      <c r="O326" s="207">
        <f>+U326</f>
        <v>63</v>
      </c>
      <c r="P326" s="207">
        <f t="shared" si="48"/>
        <v>0</v>
      </c>
      <c r="Q326" s="123">
        <f>+E326</f>
        <v>3304.13</v>
      </c>
      <c r="R326" s="267">
        <v>115.11487970642202</v>
      </c>
      <c r="S326" s="207">
        <f t="shared" si="49"/>
        <v>380354.52748438017</v>
      </c>
      <c r="T326" s="206">
        <f>+Q326</f>
        <v>3304.13</v>
      </c>
      <c r="U326" s="207">
        <f>28+35</f>
        <v>63</v>
      </c>
      <c r="V326" s="207">
        <f t="shared" si="40"/>
        <v>208160.19</v>
      </c>
      <c r="W326" s="123" t="s">
        <v>792</v>
      </c>
      <c r="X326" s="268"/>
      <c r="Y326" s="207">
        <v>3304.13</v>
      </c>
      <c r="Z326" s="267">
        <v>115.11487970642202</v>
      </c>
      <c r="AA326" s="207">
        <v>380354.52748438017</v>
      </c>
      <c r="AB326" s="207">
        <v>3304.13</v>
      </c>
      <c r="AC326" s="207">
        <v>58</v>
      </c>
      <c r="AD326" s="207">
        <v>191639.54</v>
      </c>
    </row>
    <row r="327" spans="1:30" s="216" customFormat="1" ht="23.1" hidden="1" customHeight="1" outlineLevel="2">
      <c r="A327" s="220">
        <v>6.3000000000000007</v>
      </c>
      <c r="B327" s="223" t="s">
        <v>793</v>
      </c>
      <c r="C327" s="223" t="s">
        <v>794</v>
      </c>
      <c r="D327" s="223" t="s">
        <v>247</v>
      </c>
      <c r="E327" s="207">
        <v>2544.56</v>
      </c>
      <c r="F327" s="205">
        <v>237.52343515596334</v>
      </c>
      <c r="G327" s="205">
        <v>604392.63216045802</v>
      </c>
      <c r="H327" s="207">
        <v>2544.56</v>
      </c>
      <c r="I327" s="207"/>
      <c r="J327" s="207">
        <v>451189.39012264059</v>
      </c>
      <c r="K327" s="123">
        <f t="shared" si="44"/>
        <v>0</v>
      </c>
      <c r="L327" s="267">
        <f t="shared" si="45"/>
        <v>237.52343515596334</v>
      </c>
      <c r="M327" s="205">
        <f t="shared" si="46"/>
        <v>0</v>
      </c>
      <c r="N327" s="123">
        <f t="shared" si="47"/>
        <v>0</v>
      </c>
      <c r="O327" s="207">
        <f>+U327</f>
        <v>95.5</v>
      </c>
      <c r="P327" s="207">
        <f>+V327-AD327</f>
        <v>-12150.000000000002</v>
      </c>
      <c r="Q327" s="123"/>
      <c r="R327" s="267">
        <v>237.52343515596334</v>
      </c>
      <c r="S327" s="207">
        <f t="shared" si="49"/>
        <v>0</v>
      </c>
      <c r="T327" s="206"/>
      <c r="U327" s="207">
        <f>18+3+44+27+3.5</f>
        <v>95.5</v>
      </c>
      <c r="V327" s="207">
        <f t="shared" si="40"/>
        <v>0</v>
      </c>
      <c r="W327" s="123"/>
      <c r="X327" s="268"/>
      <c r="Y327" s="207"/>
      <c r="Z327" s="267">
        <v>237.52343515596334</v>
      </c>
      <c r="AA327" s="207">
        <v>0</v>
      </c>
      <c r="AB327" s="207"/>
      <c r="AC327" s="207"/>
      <c r="AD327" s="207">
        <v>12150.000000000002</v>
      </c>
    </row>
    <row r="328" spans="1:30" s="216" customFormat="1" ht="23.1" hidden="1" customHeight="1" outlineLevel="2">
      <c r="A328" s="220">
        <v>6.4000000000000012</v>
      </c>
      <c r="B328" s="223" t="s">
        <v>795</v>
      </c>
      <c r="C328" s="223" t="s">
        <v>796</v>
      </c>
      <c r="D328" s="223" t="s">
        <v>247</v>
      </c>
      <c r="E328" s="207">
        <v>775.68</v>
      </c>
      <c r="F328" s="205">
        <v>307.31129746788991</v>
      </c>
      <c r="G328" s="205">
        <v>238375.22721989284</v>
      </c>
      <c r="H328" s="207">
        <v>775.68</v>
      </c>
      <c r="I328" s="207"/>
      <c r="J328" s="207">
        <v>195230.57311316498</v>
      </c>
      <c r="K328" s="123">
        <f t="shared" si="44"/>
        <v>0</v>
      </c>
      <c r="L328" s="267">
        <f t="shared" si="45"/>
        <v>307.31129746788991</v>
      </c>
      <c r="M328" s="205">
        <f t="shared" si="46"/>
        <v>0</v>
      </c>
      <c r="N328" s="123">
        <f t="shared" si="47"/>
        <v>0</v>
      </c>
      <c r="O328" s="207">
        <f>+U328</f>
        <v>131.5</v>
      </c>
      <c r="P328" s="207">
        <f t="shared" si="48"/>
        <v>0</v>
      </c>
      <c r="Q328" s="123"/>
      <c r="R328" s="267">
        <v>307.31129746788991</v>
      </c>
      <c r="S328" s="207">
        <f t="shared" si="49"/>
        <v>0</v>
      </c>
      <c r="T328" s="206"/>
      <c r="U328" s="207">
        <f>15+3.5+18+3+34+27+31</f>
        <v>131.5</v>
      </c>
      <c r="V328" s="207">
        <f t="shared" si="40"/>
        <v>0</v>
      </c>
      <c r="W328" s="123"/>
      <c r="X328" s="268"/>
      <c r="Y328" s="207"/>
      <c r="Z328" s="267">
        <v>307.31129746788991</v>
      </c>
      <c r="AA328" s="207">
        <v>0</v>
      </c>
      <c r="AB328" s="207"/>
      <c r="AC328" s="207"/>
      <c r="AD328" s="207">
        <v>0</v>
      </c>
    </row>
    <row r="329" spans="1:30" s="216" customFormat="1" ht="23.1" hidden="1" customHeight="1" outlineLevel="2">
      <c r="A329" s="220">
        <v>6.5000000000000018</v>
      </c>
      <c r="B329" s="223" t="s">
        <v>797</v>
      </c>
      <c r="C329" s="223" t="s">
        <v>798</v>
      </c>
      <c r="D329" s="223" t="s">
        <v>247</v>
      </c>
      <c r="E329" s="207">
        <v>1163.51</v>
      </c>
      <c r="F329" s="205">
        <v>394.30426744954133</v>
      </c>
      <c r="G329" s="205">
        <v>458776.95822021581</v>
      </c>
      <c r="H329" s="207">
        <v>1163.51</v>
      </c>
      <c r="I329" s="207"/>
      <c r="J329" s="207">
        <v>370963.61823181575</v>
      </c>
      <c r="K329" s="123">
        <f t="shared" si="44"/>
        <v>0</v>
      </c>
      <c r="L329" s="267">
        <f t="shared" si="45"/>
        <v>394.30426744954133</v>
      </c>
      <c r="M329" s="205">
        <f t="shared" si="46"/>
        <v>0</v>
      </c>
      <c r="N329" s="123">
        <f t="shared" si="47"/>
        <v>0</v>
      </c>
      <c r="O329" s="207">
        <f>+U329</f>
        <v>131.5</v>
      </c>
      <c r="P329" s="207">
        <f t="shared" si="48"/>
        <v>0</v>
      </c>
      <c r="Q329" s="123"/>
      <c r="R329" s="267">
        <v>394.30426744954133</v>
      </c>
      <c r="S329" s="207">
        <f t="shared" si="49"/>
        <v>0</v>
      </c>
      <c r="T329" s="206"/>
      <c r="U329" s="207">
        <f>15+3.5+18+3+34+27+31</f>
        <v>131.5</v>
      </c>
      <c r="V329" s="207">
        <f t="shared" si="40"/>
        <v>0</v>
      </c>
      <c r="W329" s="123"/>
      <c r="X329" s="268"/>
      <c r="Y329" s="207"/>
      <c r="Z329" s="267">
        <v>394.30426744954133</v>
      </c>
      <c r="AA329" s="207">
        <v>0</v>
      </c>
      <c r="AB329" s="207"/>
      <c r="AC329" s="207"/>
      <c r="AD329" s="207">
        <v>0</v>
      </c>
    </row>
    <row r="330" spans="1:30" s="216" customFormat="1" ht="23.1" hidden="1" customHeight="1" outlineLevel="2">
      <c r="A330" s="220" t="s">
        <v>799</v>
      </c>
      <c r="B330" s="223" t="s">
        <v>800</v>
      </c>
      <c r="C330" s="223" t="s">
        <v>801</v>
      </c>
      <c r="D330" s="223" t="s">
        <v>247</v>
      </c>
      <c r="E330" s="207"/>
      <c r="F330" s="205"/>
      <c r="G330" s="205"/>
      <c r="H330" s="207"/>
      <c r="I330" s="207"/>
      <c r="J330" s="207"/>
      <c r="K330" s="123">
        <f t="shared" si="44"/>
        <v>0</v>
      </c>
      <c r="L330" s="267">
        <f t="shared" si="45"/>
        <v>144.85321100917429</v>
      </c>
      <c r="M330" s="205">
        <f t="shared" si="46"/>
        <v>0</v>
      </c>
      <c r="N330" s="123">
        <f t="shared" si="47"/>
        <v>0</v>
      </c>
      <c r="O330" s="276">
        <f>15+15+33+25</f>
        <v>88</v>
      </c>
      <c r="P330" s="207">
        <f t="shared" si="48"/>
        <v>0</v>
      </c>
      <c r="Q330" s="123">
        <v>4595.3999999999996</v>
      </c>
      <c r="R330" s="207">
        <f>157.89/1.09</f>
        <v>144.85321100917429</v>
      </c>
      <c r="S330" s="207">
        <f t="shared" si="49"/>
        <v>665658.44587155944</v>
      </c>
      <c r="T330" s="207">
        <f>+Q330</f>
        <v>4595.3999999999996</v>
      </c>
      <c r="U330" s="276">
        <f>15+15+34+28</f>
        <v>92</v>
      </c>
      <c r="V330" s="207">
        <f t="shared" si="40"/>
        <v>422776.8</v>
      </c>
      <c r="W330" s="123"/>
      <c r="X330" s="268"/>
      <c r="Y330" s="207">
        <v>4595.3999999999996</v>
      </c>
      <c r="Z330" s="207">
        <v>157.88999999999999</v>
      </c>
      <c r="AA330" s="207">
        <v>725567.70599999989</v>
      </c>
      <c r="AB330" s="207">
        <v>4595.3999999999996</v>
      </c>
      <c r="AC330" s="276">
        <v>88</v>
      </c>
      <c r="AD330" s="207">
        <v>404395.19999999995</v>
      </c>
    </row>
    <row r="331" spans="1:30" s="215" customFormat="1" ht="23.1" hidden="1" customHeight="1" outlineLevel="1" collapsed="1">
      <c r="A331" s="220">
        <v>7</v>
      </c>
      <c r="B331" s="220" t="s">
        <v>802</v>
      </c>
      <c r="C331" s="220"/>
      <c r="D331" s="220"/>
      <c r="E331" s="229"/>
      <c r="F331" s="222"/>
      <c r="G331" s="229">
        <f>+G332+G333</f>
        <v>53993.313118194499</v>
      </c>
      <c r="H331" s="229"/>
      <c r="I331" s="229"/>
      <c r="J331" s="229">
        <f>+J332+J333</f>
        <v>62334</v>
      </c>
      <c r="K331" s="137"/>
      <c r="L331" s="266"/>
      <c r="M331" s="229">
        <f>+M332+M333</f>
        <v>0</v>
      </c>
      <c r="N331" s="229"/>
      <c r="O331" s="229"/>
      <c r="P331" s="229">
        <f>+P332+P333</f>
        <v>0</v>
      </c>
      <c r="Q331" s="137"/>
      <c r="R331" s="266"/>
      <c r="S331" s="229">
        <f>+S332+S333</f>
        <v>0</v>
      </c>
      <c r="T331" s="229"/>
      <c r="U331" s="229"/>
      <c r="V331" s="229">
        <f>+V332+V333</f>
        <v>0</v>
      </c>
      <c r="W331" s="137"/>
      <c r="X331" s="269"/>
      <c r="Y331" s="229"/>
      <c r="Z331" s="266">
        <v>0</v>
      </c>
      <c r="AA331" s="229">
        <v>0</v>
      </c>
      <c r="AB331" s="229"/>
      <c r="AC331" s="229"/>
      <c r="AD331" s="229">
        <v>0</v>
      </c>
    </row>
    <row r="332" spans="1:30" s="216" customFormat="1" ht="23.1" hidden="1" customHeight="1" outlineLevel="2">
      <c r="A332" s="220"/>
      <c r="B332" s="223" t="s">
        <v>803</v>
      </c>
      <c r="C332" s="223" t="s">
        <v>804</v>
      </c>
      <c r="D332" s="223" t="s">
        <v>397</v>
      </c>
      <c r="E332" s="207">
        <v>118.4</v>
      </c>
      <c r="F332" s="205">
        <v>183.11963273394494</v>
      </c>
      <c r="G332" s="205">
        <v>21681.364515699082</v>
      </c>
      <c r="H332" s="207">
        <v>118.4</v>
      </c>
      <c r="I332" s="207"/>
      <c r="J332" s="207">
        <v>21904</v>
      </c>
      <c r="K332" s="123"/>
      <c r="L332" s="267">
        <v>183.11963273394494</v>
      </c>
      <c r="M332" s="205">
        <f t="shared" ref="M332:M380" si="50">+L332*K332</f>
        <v>0</v>
      </c>
      <c r="N332" s="207"/>
      <c r="O332" s="207"/>
      <c r="P332" s="207">
        <f t="shared" ref="P332:P371" si="51">+O332*N332</f>
        <v>0</v>
      </c>
      <c r="Q332" s="123"/>
      <c r="R332" s="267">
        <v>183.11963273394494</v>
      </c>
      <c r="S332" s="207">
        <f t="shared" ref="S332:S366" si="52">+R332*Q332</f>
        <v>0</v>
      </c>
      <c r="T332" s="207"/>
      <c r="U332" s="207"/>
      <c r="V332" s="207">
        <f t="shared" si="40"/>
        <v>0</v>
      </c>
      <c r="W332" s="123"/>
      <c r="X332" s="268"/>
      <c r="Y332" s="207"/>
      <c r="Z332" s="267">
        <v>183.11963273394494</v>
      </c>
      <c r="AA332" s="207">
        <v>0</v>
      </c>
      <c r="AB332" s="207"/>
      <c r="AC332" s="207"/>
      <c r="AD332" s="207">
        <v>0</v>
      </c>
    </row>
    <row r="333" spans="1:30" s="216" customFormat="1" ht="23.1" hidden="1" customHeight="1" outlineLevel="2">
      <c r="A333" s="220"/>
      <c r="B333" s="223" t="s">
        <v>805</v>
      </c>
      <c r="C333" s="223" t="s">
        <v>806</v>
      </c>
      <c r="D333" s="223" t="s">
        <v>397</v>
      </c>
      <c r="E333" s="207">
        <v>77.75</v>
      </c>
      <c r="F333" s="205">
        <v>415.58776337614682</v>
      </c>
      <c r="G333" s="205">
        <v>32311.948602495417</v>
      </c>
      <c r="H333" s="207">
        <v>77.75</v>
      </c>
      <c r="I333" s="207"/>
      <c r="J333" s="207">
        <v>40430</v>
      </c>
      <c r="K333" s="123"/>
      <c r="L333" s="267">
        <v>415.58776337614682</v>
      </c>
      <c r="M333" s="205">
        <f t="shared" si="50"/>
        <v>0</v>
      </c>
      <c r="N333" s="207"/>
      <c r="O333" s="207"/>
      <c r="P333" s="207">
        <f t="shared" si="51"/>
        <v>0</v>
      </c>
      <c r="Q333" s="123"/>
      <c r="R333" s="267">
        <v>415.58776337614682</v>
      </c>
      <c r="S333" s="207">
        <f t="shared" si="52"/>
        <v>0</v>
      </c>
      <c r="T333" s="207"/>
      <c r="U333" s="207"/>
      <c r="V333" s="207">
        <f t="shared" si="40"/>
        <v>0</v>
      </c>
      <c r="W333" s="123"/>
      <c r="X333" s="268"/>
      <c r="Y333" s="207"/>
      <c r="Z333" s="267">
        <v>415.58776337614682</v>
      </c>
      <c r="AA333" s="207">
        <v>0</v>
      </c>
      <c r="AB333" s="207"/>
      <c r="AC333" s="207"/>
      <c r="AD333" s="207">
        <v>0</v>
      </c>
    </row>
    <row r="334" spans="1:30" s="215" customFormat="1" ht="23.1" hidden="1" customHeight="1" outlineLevel="1" collapsed="1">
      <c r="A334" s="220">
        <v>8</v>
      </c>
      <c r="B334" s="220" t="s">
        <v>807</v>
      </c>
      <c r="C334" s="220"/>
      <c r="D334" s="220"/>
      <c r="E334" s="229"/>
      <c r="F334" s="222"/>
      <c r="G334" s="222">
        <f>SUM(G335:G342)</f>
        <v>54763.217690316334</v>
      </c>
      <c r="H334" s="229"/>
      <c r="I334" s="229"/>
      <c r="J334" s="222">
        <f>SUM(J335:J342)</f>
        <v>26341.279999999999</v>
      </c>
      <c r="K334" s="137"/>
      <c r="L334" s="266"/>
      <c r="M334" s="222">
        <f>SUM(M335:M342)</f>
        <v>0</v>
      </c>
      <c r="N334" s="229"/>
      <c r="O334" s="229"/>
      <c r="P334" s="222">
        <f>SUM(P335:P342)</f>
        <v>0</v>
      </c>
      <c r="Q334" s="137"/>
      <c r="R334" s="266"/>
      <c r="S334" s="222">
        <f>SUM(S335:S342)</f>
        <v>0</v>
      </c>
      <c r="T334" s="229"/>
      <c r="U334" s="229"/>
      <c r="V334" s="222">
        <f>SUM(V335:V342)</f>
        <v>0</v>
      </c>
      <c r="W334" s="137"/>
      <c r="X334" s="269"/>
      <c r="Y334" s="229"/>
      <c r="Z334" s="266">
        <v>0</v>
      </c>
      <c r="AA334" s="229">
        <v>0</v>
      </c>
      <c r="AB334" s="229"/>
      <c r="AC334" s="229"/>
      <c r="AD334" s="229">
        <v>0</v>
      </c>
    </row>
    <row r="335" spans="1:30" s="216" customFormat="1" ht="23.1" hidden="1" customHeight="1" outlineLevel="2">
      <c r="A335" s="220"/>
      <c r="B335" s="223" t="s">
        <v>808</v>
      </c>
      <c r="C335" s="223" t="s">
        <v>809</v>
      </c>
      <c r="D335" s="223" t="s">
        <v>247</v>
      </c>
      <c r="E335" s="207">
        <v>48</v>
      </c>
      <c r="F335" s="205">
        <v>90.397949944954135</v>
      </c>
      <c r="G335" s="205">
        <v>4339.1015973577987</v>
      </c>
      <c r="H335" s="207">
        <v>48</v>
      </c>
      <c r="I335" s="207"/>
      <c r="J335" s="207">
        <v>2208</v>
      </c>
      <c r="K335" s="123"/>
      <c r="L335" s="267">
        <v>90.397949944954135</v>
      </c>
      <c r="M335" s="205">
        <f t="shared" si="50"/>
        <v>0</v>
      </c>
      <c r="N335" s="207"/>
      <c r="O335" s="207"/>
      <c r="P335" s="207">
        <f t="shared" si="51"/>
        <v>0</v>
      </c>
      <c r="Q335" s="123"/>
      <c r="R335" s="267">
        <v>90.397949944954135</v>
      </c>
      <c r="S335" s="207">
        <f t="shared" si="52"/>
        <v>0</v>
      </c>
      <c r="T335" s="207"/>
      <c r="U335" s="207"/>
      <c r="V335" s="207">
        <f t="shared" si="40"/>
        <v>0</v>
      </c>
      <c r="W335" s="123"/>
      <c r="X335" s="268"/>
      <c r="Y335" s="207"/>
      <c r="Z335" s="267">
        <v>90.397949944954135</v>
      </c>
      <c r="AA335" s="207">
        <v>0</v>
      </c>
      <c r="AB335" s="207"/>
      <c r="AC335" s="207"/>
      <c r="AD335" s="207">
        <v>0</v>
      </c>
    </row>
    <row r="336" spans="1:30" s="216" customFormat="1" ht="23.1" hidden="1" customHeight="1" outlineLevel="2">
      <c r="A336" s="220"/>
      <c r="B336" s="223" t="s">
        <v>810</v>
      </c>
      <c r="C336" s="223" t="s">
        <v>809</v>
      </c>
      <c r="D336" s="223" t="s">
        <v>247</v>
      </c>
      <c r="E336" s="207">
        <v>156</v>
      </c>
      <c r="F336" s="205">
        <v>102.48136073394495</v>
      </c>
      <c r="G336" s="205">
        <v>15987.092274495413</v>
      </c>
      <c r="H336" s="207">
        <v>156</v>
      </c>
      <c r="I336" s="207"/>
      <c r="J336" s="207">
        <v>7176</v>
      </c>
      <c r="K336" s="123"/>
      <c r="L336" s="267">
        <v>102.48136073394495</v>
      </c>
      <c r="M336" s="205">
        <f t="shared" si="50"/>
        <v>0</v>
      </c>
      <c r="N336" s="207"/>
      <c r="O336" s="207"/>
      <c r="P336" s="207">
        <f t="shared" si="51"/>
        <v>0</v>
      </c>
      <c r="Q336" s="123"/>
      <c r="R336" s="267">
        <v>102.48136073394495</v>
      </c>
      <c r="S336" s="207">
        <f t="shared" si="52"/>
        <v>0</v>
      </c>
      <c r="T336" s="207"/>
      <c r="U336" s="207"/>
      <c r="V336" s="207">
        <f t="shared" si="40"/>
        <v>0</v>
      </c>
      <c r="W336" s="123"/>
      <c r="X336" s="268"/>
      <c r="Y336" s="207"/>
      <c r="Z336" s="267">
        <v>102.48136073394495</v>
      </c>
      <c r="AA336" s="207">
        <v>0</v>
      </c>
      <c r="AB336" s="207"/>
      <c r="AC336" s="207"/>
      <c r="AD336" s="207">
        <v>0</v>
      </c>
    </row>
    <row r="337" spans="1:30" s="216" customFormat="1" ht="23.1" hidden="1" customHeight="1" outlineLevel="2">
      <c r="A337" s="220"/>
      <c r="B337" s="223" t="s">
        <v>811</v>
      </c>
      <c r="C337" s="223" t="s">
        <v>812</v>
      </c>
      <c r="D337" s="223" t="s">
        <v>147</v>
      </c>
      <c r="E337" s="207">
        <v>0.86</v>
      </c>
      <c r="F337" s="205">
        <v>7742.5640208440373</v>
      </c>
      <c r="G337" s="205">
        <v>6658.6050579258717</v>
      </c>
      <c r="H337" s="207">
        <v>0.86</v>
      </c>
      <c r="I337" s="207"/>
      <c r="J337" s="207">
        <v>1272.8</v>
      </c>
      <c r="K337" s="123"/>
      <c r="L337" s="267">
        <v>7742.5640208440373</v>
      </c>
      <c r="M337" s="205">
        <f t="shared" si="50"/>
        <v>0</v>
      </c>
      <c r="N337" s="207"/>
      <c r="O337" s="207"/>
      <c r="P337" s="207">
        <f t="shared" si="51"/>
        <v>0</v>
      </c>
      <c r="Q337" s="123"/>
      <c r="R337" s="267">
        <v>7742.5640208440373</v>
      </c>
      <c r="S337" s="207">
        <f t="shared" si="52"/>
        <v>0</v>
      </c>
      <c r="T337" s="207"/>
      <c r="U337" s="207"/>
      <c r="V337" s="207">
        <f t="shared" si="40"/>
        <v>0</v>
      </c>
      <c r="W337" s="123"/>
      <c r="X337" s="268"/>
      <c r="Y337" s="207"/>
      <c r="Z337" s="267">
        <v>7742.5640208440373</v>
      </c>
      <c r="AA337" s="207">
        <v>0</v>
      </c>
      <c r="AB337" s="207"/>
      <c r="AC337" s="207"/>
      <c r="AD337" s="207">
        <v>0</v>
      </c>
    </row>
    <row r="338" spans="1:30" s="216" customFormat="1" ht="23.1" hidden="1" customHeight="1" outlineLevel="2">
      <c r="A338" s="220"/>
      <c r="B338" s="223" t="s">
        <v>813</v>
      </c>
      <c r="C338" s="223" t="s">
        <v>814</v>
      </c>
      <c r="D338" s="223" t="s">
        <v>247</v>
      </c>
      <c r="E338" s="207">
        <v>36</v>
      </c>
      <c r="F338" s="205">
        <v>99.986904660550451</v>
      </c>
      <c r="G338" s="205">
        <v>3599.5285677798161</v>
      </c>
      <c r="H338" s="207">
        <v>36</v>
      </c>
      <c r="I338" s="207"/>
      <c r="J338" s="207">
        <v>1261.44</v>
      </c>
      <c r="K338" s="123"/>
      <c r="L338" s="267">
        <v>99.986904660550451</v>
      </c>
      <c r="M338" s="205">
        <f t="shared" si="50"/>
        <v>0</v>
      </c>
      <c r="N338" s="207"/>
      <c r="O338" s="207"/>
      <c r="P338" s="207">
        <f t="shared" si="51"/>
        <v>0</v>
      </c>
      <c r="Q338" s="123"/>
      <c r="R338" s="267">
        <v>99.986904660550451</v>
      </c>
      <c r="S338" s="207">
        <f t="shared" si="52"/>
        <v>0</v>
      </c>
      <c r="T338" s="207"/>
      <c r="U338" s="207"/>
      <c r="V338" s="207">
        <f t="shared" si="40"/>
        <v>0</v>
      </c>
      <c r="W338" s="123"/>
      <c r="X338" s="268"/>
      <c r="Y338" s="207"/>
      <c r="Z338" s="267">
        <v>99.986904660550451</v>
      </c>
      <c r="AA338" s="207">
        <v>0</v>
      </c>
      <c r="AB338" s="207"/>
      <c r="AC338" s="207"/>
      <c r="AD338" s="207">
        <v>0</v>
      </c>
    </row>
    <row r="339" spans="1:30" s="216" customFormat="1" ht="23.1" hidden="1" customHeight="1" outlineLevel="2">
      <c r="A339" s="220"/>
      <c r="B339" s="223" t="s">
        <v>815</v>
      </c>
      <c r="C339" s="223" t="s">
        <v>816</v>
      </c>
      <c r="D339" s="223" t="s">
        <v>247</v>
      </c>
      <c r="E339" s="207">
        <v>47</v>
      </c>
      <c r="F339" s="205">
        <v>173.82470135779818</v>
      </c>
      <c r="G339" s="205">
        <v>8169.760963816514</v>
      </c>
      <c r="H339" s="207">
        <v>47</v>
      </c>
      <c r="I339" s="207"/>
      <c r="J339" s="207">
        <v>1646.88</v>
      </c>
      <c r="K339" s="123"/>
      <c r="L339" s="267">
        <v>173.82470135779818</v>
      </c>
      <c r="M339" s="205">
        <f t="shared" si="50"/>
        <v>0</v>
      </c>
      <c r="N339" s="207"/>
      <c r="O339" s="207"/>
      <c r="P339" s="207">
        <f t="shared" si="51"/>
        <v>0</v>
      </c>
      <c r="Q339" s="123"/>
      <c r="R339" s="267">
        <v>173.82470135779818</v>
      </c>
      <c r="S339" s="207">
        <f t="shared" si="52"/>
        <v>0</v>
      </c>
      <c r="T339" s="207"/>
      <c r="U339" s="207"/>
      <c r="V339" s="207">
        <f t="shared" si="40"/>
        <v>0</v>
      </c>
      <c r="W339" s="123"/>
      <c r="X339" s="268"/>
      <c r="Y339" s="207"/>
      <c r="Z339" s="267">
        <v>173.82470135779818</v>
      </c>
      <c r="AA339" s="207">
        <v>0</v>
      </c>
      <c r="AB339" s="207"/>
      <c r="AC339" s="207"/>
      <c r="AD339" s="207">
        <v>0</v>
      </c>
    </row>
    <row r="340" spans="1:30" s="216" customFormat="1" ht="23.1" hidden="1" customHeight="1" outlineLevel="2">
      <c r="A340" s="220"/>
      <c r="B340" s="223" t="s">
        <v>817</v>
      </c>
      <c r="C340" s="223" t="s">
        <v>818</v>
      </c>
      <c r="D340" s="223" t="s">
        <v>247</v>
      </c>
      <c r="E340" s="207">
        <v>29</v>
      </c>
      <c r="F340" s="205">
        <v>201.31114128440367</v>
      </c>
      <c r="G340" s="205">
        <v>5838.0230972477066</v>
      </c>
      <c r="H340" s="207">
        <v>29</v>
      </c>
      <c r="I340" s="207"/>
      <c r="J340" s="207">
        <v>1016.16</v>
      </c>
      <c r="K340" s="123"/>
      <c r="L340" s="267">
        <v>201.31114128440367</v>
      </c>
      <c r="M340" s="205">
        <f t="shared" si="50"/>
        <v>0</v>
      </c>
      <c r="N340" s="207"/>
      <c r="O340" s="207"/>
      <c r="P340" s="207">
        <f t="shared" si="51"/>
        <v>0</v>
      </c>
      <c r="Q340" s="123"/>
      <c r="R340" s="267">
        <v>201.31114128440367</v>
      </c>
      <c r="S340" s="207">
        <f t="shared" si="52"/>
        <v>0</v>
      </c>
      <c r="T340" s="207"/>
      <c r="U340" s="207"/>
      <c r="V340" s="207">
        <f t="shared" si="40"/>
        <v>0</v>
      </c>
      <c r="W340" s="123"/>
      <c r="X340" s="268"/>
      <c r="Y340" s="207"/>
      <c r="Z340" s="267">
        <v>201.31114128440367</v>
      </c>
      <c r="AA340" s="207">
        <v>0</v>
      </c>
      <c r="AB340" s="207"/>
      <c r="AC340" s="207"/>
      <c r="AD340" s="207">
        <v>0</v>
      </c>
    </row>
    <row r="341" spans="1:30" s="216" customFormat="1" ht="23.1" hidden="1" customHeight="1" outlineLevel="2">
      <c r="A341" s="220"/>
      <c r="B341" s="223" t="s">
        <v>819</v>
      </c>
      <c r="C341" s="223" t="s">
        <v>820</v>
      </c>
      <c r="D341" s="223" t="s">
        <v>247</v>
      </c>
      <c r="E341" s="207">
        <v>28</v>
      </c>
      <c r="F341" s="205">
        <v>111.68144587155965</v>
      </c>
      <c r="G341" s="205">
        <v>3127.0804844036702</v>
      </c>
      <c r="H341" s="207">
        <v>28</v>
      </c>
      <c r="I341" s="207"/>
      <c r="J341" s="207">
        <v>1680</v>
      </c>
      <c r="K341" s="123"/>
      <c r="L341" s="267">
        <v>111.68144587155965</v>
      </c>
      <c r="M341" s="205">
        <f t="shared" si="50"/>
        <v>0</v>
      </c>
      <c r="N341" s="207"/>
      <c r="O341" s="207"/>
      <c r="P341" s="207">
        <f t="shared" si="51"/>
        <v>0</v>
      </c>
      <c r="Q341" s="123"/>
      <c r="R341" s="267">
        <v>111.68144587155965</v>
      </c>
      <c r="S341" s="207">
        <f t="shared" si="52"/>
        <v>0</v>
      </c>
      <c r="T341" s="207"/>
      <c r="U341" s="207"/>
      <c r="V341" s="207">
        <f t="shared" si="40"/>
        <v>0</v>
      </c>
      <c r="W341" s="123"/>
      <c r="X341" s="268"/>
      <c r="Y341" s="207"/>
      <c r="Z341" s="267">
        <v>111.68144587155965</v>
      </c>
      <c r="AA341" s="207">
        <v>0</v>
      </c>
      <c r="AB341" s="207"/>
      <c r="AC341" s="207"/>
      <c r="AD341" s="207">
        <v>0</v>
      </c>
    </row>
    <row r="342" spans="1:30" s="216" customFormat="1" ht="23.1" hidden="1" customHeight="1" outlineLevel="2">
      <c r="A342" s="220"/>
      <c r="B342" s="223" t="s">
        <v>821</v>
      </c>
      <c r="C342" s="223" t="s">
        <v>822</v>
      </c>
      <c r="D342" s="223" t="s">
        <v>147</v>
      </c>
      <c r="E342" s="207">
        <v>0.84</v>
      </c>
      <c r="F342" s="205">
        <v>8385.7448182018343</v>
      </c>
      <c r="G342" s="205">
        <v>7044.0256472895408</v>
      </c>
      <c r="H342" s="207">
        <v>0.84</v>
      </c>
      <c r="I342" s="207"/>
      <c r="J342" s="207">
        <v>10080</v>
      </c>
      <c r="K342" s="123"/>
      <c r="L342" s="267">
        <v>8385.7448182018343</v>
      </c>
      <c r="M342" s="205">
        <f t="shared" si="50"/>
        <v>0</v>
      </c>
      <c r="N342" s="207"/>
      <c r="O342" s="207"/>
      <c r="P342" s="207">
        <f t="shared" si="51"/>
        <v>0</v>
      </c>
      <c r="Q342" s="123"/>
      <c r="R342" s="267">
        <v>8385.7448182018343</v>
      </c>
      <c r="S342" s="207">
        <f t="shared" si="52"/>
        <v>0</v>
      </c>
      <c r="T342" s="207"/>
      <c r="U342" s="207"/>
      <c r="V342" s="207">
        <f t="shared" si="40"/>
        <v>0</v>
      </c>
      <c r="W342" s="123"/>
      <c r="X342" s="268"/>
      <c r="Y342" s="207"/>
      <c r="Z342" s="267">
        <v>8385.7448182018343</v>
      </c>
      <c r="AA342" s="207">
        <v>0</v>
      </c>
      <c r="AB342" s="207"/>
      <c r="AC342" s="207"/>
      <c r="AD342" s="207">
        <v>0</v>
      </c>
    </row>
    <row r="343" spans="1:30" s="215" customFormat="1" ht="23.1" hidden="1" customHeight="1" outlineLevel="1" collapsed="1">
      <c r="A343" s="220">
        <v>9</v>
      </c>
      <c r="B343" s="220" t="s">
        <v>823</v>
      </c>
      <c r="C343" s="220"/>
      <c r="D343" s="220"/>
      <c r="E343" s="229"/>
      <c r="F343" s="222">
        <v>0</v>
      </c>
      <c r="G343" s="222">
        <f t="shared" ref="G343:M343" si="53">SUM(G344:G357)</f>
        <v>173024.13119468035</v>
      </c>
      <c r="H343" s="229"/>
      <c r="I343" s="229"/>
      <c r="J343" s="222">
        <f t="shared" si="53"/>
        <v>404084.31000000006</v>
      </c>
      <c r="K343" s="137"/>
      <c r="L343" s="222"/>
      <c r="M343" s="222">
        <f t="shared" si="53"/>
        <v>0</v>
      </c>
      <c r="N343" s="229"/>
      <c r="O343" s="229"/>
      <c r="P343" s="222">
        <f>SUM(P344:P357)</f>
        <v>0</v>
      </c>
      <c r="Q343" s="137"/>
      <c r="R343" s="266"/>
      <c r="S343" s="222">
        <f>SUM(S344:S357)</f>
        <v>0</v>
      </c>
      <c r="T343" s="229"/>
      <c r="U343" s="229"/>
      <c r="V343" s="222">
        <f>SUM(V344:V357)</f>
        <v>0</v>
      </c>
      <c r="W343" s="137"/>
      <c r="X343" s="269"/>
      <c r="Y343" s="229"/>
      <c r="Z343" s="266">
        <v>0</v>
      </c>
      <c r="AA343" s="229">
        <v>0</v>
      </c>
      <c r="AB343" s="229"/>
      <c r="AC343" s="229"/>
      <c r="AD343" s="229">
        <v>0</v>
      </c>
    </row>
    <row r="344" spans="1:30" s="216" customFormat="1" ht="23.1" hidden="1" customHeight="1" outlineLevel="2">
      <c r="A344" s="220"/>
      <c r="B344" s="223" t="s">
        <v>824</v>
      </c>
      <c r="C344" s="223" t="s">
        <v>825</v>
      </c>
      <c r="D344" s="223" t="s">
        <v>247</v>
      </c>
      <c r="E344" s="207">
        <v>15.75</v>
      </c>
      <c r="F344" s="205">
        <v>175.81647236697248</v>
      </c>
      <c r="G344" s="205">
        <v>2769.1094397798165</v>
      </c>
      <c r="H344" s="207">
        <v>15.75</v>
      </c>
      <c r="I344" s="207"/>
      <c r="J344" s="207">
        <v>4016.25</v>
      </c>
      <c r="K344" s="123"/>
      <c r="L344" s="267">
        <v>175.81647236697248</v>
      </c>
      <c r="M344" s="205">
        <f t="shared" si="50"/>
        <v>0</v>
      </c>
      <c r="N344" s="207"/>
      <c r="O344" s="207"/>
      <c r="P344" s="207">
        <f t="shared" si="51"/>
        <v>0</v>
      </c>
      <c r="Q344" s="123"/>
      <c r="R344" s="267">
        <v>175.81647236697248</v>
      </c>
      <c r="S344" s="207">
        <f t="shared" si="52"/>
        <v>0</v>
      </c>
      <c r="T344" s="207"/>
      <c r="U344" s="207"/>
      <c r="V344" s="207">
        <f t="shared" si="40"/>
        <v>0</v>
      </c>
      <c r="W344" s="123"/>
      <c r="X344" s="268"/>
      <c r="Y344" s="207"/>
      <c r="Z344" s="267">
        <v>175.81647236697248</v>
      </c>
      <c r="AA344" s="207">
        <v>0</v>
      </c>
      <c r="AB344" s="207"/>
      <c r="AC344" s="207"/>
      <c r="AD344" s="207">
        <v>0</v>
      </c>
    </row>
    <row r="345" spans="1:30" s="216" customFormat="1" ht="23.1" hidden="1" customHeight="1" outlineLevel="2">
      <c r="A345" s="220"/>
      <c r="B345" s="223" t="s">
        <v>826</v>
      </c>
      <c r="C345" s="223" t="s">
        <v>827</v>
      </c>
      <c r="D345" s="223" t="s">
        <v>103</v>
      </c>
      <c r="E345" s="207">
        <v>8.5</v>
      </c>
      <c r="F345" s="205">
        <v>1110.687391706422</v>
      </c>
      <c r="G345" s="205">
        <v>9440.8428295045869</v>
      </c>
      <c r="H345" s="207">
        <v>8.5</v>
      </c>
      <c r="I345" s="207"/>
      <c r="J345" s="207">
        <v>11475</v>
      </c>
      <c r="K345" s="123"/>
      <c r="L345" s="267">
        <v>1110.687391706422</v>
      </c>
      <c r="M345" s="205">
        <f t="shared" si="50"/>
        <v>0</v>
      </c>
      <c r="N345" s="207"/>
      <c r="O345" s="207"/>
      <c r="P345" s="207">
        <f t="shared" si="51"/>
        <v>0</v>
      </c>
      <c r="Q345" s="123"/>
      <c r="R345" s="267">
        <v>1110.687391706422</v>
      </c>
      <c r="S345" s="207">
        <f t="shared" si="52"/>
        <v>0</v>
      </c>
      <c r="T345" s="207"/>
      <c r="U345" s="207"/>
      <c r="V345" s="207">
        <f t="shared" si="40"/>
        <v>0</v>
      </c>
      <c r="W345" s="123"/>
      <c r="X345" s="268"/>
      <c r="Y345" s="207"/>
      <c r="Z345" s="267">
        <v>1110.687391706422</v>
      </c>
      <c r="AA345" s="207">
        <v>0</v>
      </c>
      <c r="AB345" s="207"/>
      <c r="AC345" s="207"/>
      <c r="AD345" s="207">
        <v>0</v>
      </c>
    </row>
    <row r="346" spans="1:30" s="216" customFormat="1" ht="23.1" hidden="1" customHeight="1" outlineLevel="2">
      <c r="A346" s="220"/>
      <c r="B346" s="223" t="s">
        <v>828</v>
      </c>
      <c r="C346" s="223" t="s">
        <v>829</v>
      </c>
      <c r="D346" s="223" t="s">
        <v>147</v>
      </c>
      <c r="E346" s="207">
        <v>1.6</v>
      </c>
      <c r="F346" s="205">
        <v>7630.2565897981649</v>
      </c>
      <c r="G346" s="205">
        <v>12208.410543677064</v>
      </c>
      <c r="H346" s="207">
        <v>1.6</v>
      </c>
      <c r="I346" s="207"/>
      <c r="J346" s="207">
        <v>19200</v>
      </c>
      <c r="K346" s="123"/>
      <c r="L346" s="267">
        <v>7630.2565897981649</v>
      </c>
      <c r="M346" s="205">
        <f t="shared" si="50"/>
        <v>0</v>
      </c>
      <c r="N346" s="207"/>
      <c r="O346" s="207"/>
      <c r="P346" s="207">
        <f t="shared" si="51"/>
        <v>0</v>
      </c>
      <c r="Q346" s="123"/>
      <c r="R346" s="267">
        <v>7630.2565897981649</v>
      </c>
      <c r="S346" s="207">
        <f t="shared" si="52"/>
        <v>0</v>
      </c>
      <c r="T346" s="207"/>
      <c r="U346" s="207"/>
      <c r="V346" s="207">
        <f t="shared" si="40"/>
        <v>0</v>
      </c>
      <c r="W346" s="123"/>
      <c r="X346" s="268"/>
      <c r="Y346" s="207"/>
      <c r="Z346" s="267">
        <v>7630.2565897981649</v>
      </c>
      <c r="AA346" s="207">
        <v>0</v>
      </c>
      <c r="AB346" s="207"/>
      <c r="AC346" s="207"/>
      <c r="AD346" s="207">
        <v>0</v>
      </c>
    </row>
    <row r="347" spans="1:30" s="216" customFormat="1" ht="23.1" hidden="1" customHeight="1" outlineLevel="2">
      <c r="A347" s="220"/>
      <c r="B347" s="223" t="s">
        <v>830</v>
      </c>
      <c r="C347" s="223" t="s">
        <v>831</v>
      </c>
      <c r="D347" s="223" t="s">
        <v>397</v>
      </c>
      <c r="E347" s="207">
        <v>2289.09</v>
      </c>
      <c r="F347" s="205">
        <v>29.316972330275227</v>
      </c>
      <c r="G347" s="205">
        <v>67109.188191509718</v>
      </c>
      <c r="H347" s="207">
        <v>2289.09</v>
      </c>
      <c r="I347" s="207"/>
      <c r="J347" s="207">
        <v>96141.78</v>
      </c>
      <c r="K347" s="123"/>
      <c r="L347" s="267">
        <v>29.316972330275227</v>
      </c>
      <c r="M347" s="205">
        <f t="shared" si="50"/>
        <v>0</v>
      </c>
      <c r="N347" s="207"/>
      <c r="O347" s="207"/>
      <c r="P347" s="207">
        <f t="shared" si="51"/>
        <v>0</v>
      </c>
      <c r="Q347" s="123"/>
      <c r="R347" s="267">
        <v>29.316972330275227</v>
      </c>
      <c r="S347" s="207">
        <f t="shared" si="52"/>
        <v>0</v>
      </c>
      <c r="T347" s="207"/>
      <c r="U347" s="207"/>
      <c r="V347" s="207">
        <f t="shared" si="40"/>
        <v>0</v>
      </c>
      <c r="W347" s="123"/>
      <c r="X347" s="268"/>
      <c r="Y347" s="207"/>
      <c r="Z347" s="267">
        <v>29.316972330275227</v>
      </c>
      <c r="AA347" s="207">
        <v>0</v>
      </c>
      <c r="AB347" s="207"/>
      <c r="AC347" s="207"/>
      <c r="AD347" s="207">
        <v>0</v>
      </c>
    </row>
    <row r="348" spans="1:30" s="216" customFormat="1" ht="23.1" hidden="1" customHeight="1" outlineLevel="2">
      <c r="A348" s="220"/>
      <c r="B348" s="223" t="s">
        <v>832</v>
      </c>
      <c r="C348" s="223" t="s">
        <v>833</v>
      </c>
      <c r="D348" s="223" t="s">
        <v>397</v>
      </c>
      <c r="E348" s="207">
        <v>60</v>
      </c>
      <c r="F348" s="205">
        <v>91.374866201834863</v>
      </c>
      <c r="G348" s="205">
        <v>5482.4919721100914</v>
      </c>
      <c r="H348" s="207">
        <v>60</v>
      </c>
      <c r="I348" s="207"/>
      <c r="J348" s="207">
        <v>6000</v>
      </c>
      <c r="K348" s="123"/>
      <c r="L348" s="267">
        <v>91.374866201834863</v>
      </c>
      <c r="M348" s="205">
        <f t="shared" si="50"/>
        <v>0</v>
      </c>
      <c r="N348" s="207"/>
      <c r="O348" s="207"/>
      <c r="P348" s="207">
        <f t="shared" si="51"/>
        <v>0</v>
      </c>
      <c r="Q348" s="123"/>
      <c r="R348" s="267">
        <v>91.374866201834863</v>
      </c>
      <c r="S348" s="207">
        <f t="shared" si="52"/>
        <v>0</v>
      </c>
      <c r="T348" s="207"/>
      <c r="U348" s="207"/>
      <c r="V348" s="207">
        <f t="shared" si="40"/>
        <v>0</v>
      </c>
      <c r="W348" s="123"/>
      <c r="X348" s="268"/>
      <c r="Y348" s="207"/>
      <c r="Z348" s="267">
        <v>91.374866201834863</v>
      </c>
      <c r="AA348" s="207">
        <v>0</v>
      </c>
      <c r="AB348" s="207"/>
      <c r="AC348" s="207"/>
      <c r="AD348" s="207">
        <v>0</v>
      </c>
    </row>
    <row r="349" spans="1:30" s="216" customFormat="1" ht="23.1" hidden="1" customHeight="1" outlineLevel="2">
      <c r="A349" s="220"/>
      <c r="B349" s="223" t="s">
        <v>834</v>
      </c>
      <c r="C349" s="223" t="s">
        <v>835</v>
      </c>
      <c r="D349" s="223" t="s">
        <v>397</v>
      </c>
      <c r="E349" s="207">
        <v>205.86</v>
      </c>
      <c r="F349" s="205">
        <v>73.060057541284408</v>
      </c>
      <c r="G349" s="205">
        <v>15040.14344544881</v>
      </c>
      <c r="H349" s="207">
        <v>205.86</v>
      </c>
      <c r="I349" s="207"/>
      <c r="J349" s="207">
        <v>20586</v>
      </c>
      <c r="K349" s="123"/>
      <c r="L349" s="267">
        <v>73.060057541284408</v>
      </c>
      <c r="M349" s="205">
        <f t="shared" si="50"/>
        <v>0</v>
      </c>
      <c r="N349" s="207"/>
      <c r="O349" s="207"/>
      <c r="P349" s="207">
        <f t="shared" si="51"/>
        <v>0</v>
      </c>
      <c r="Q349" s="123"/>
      <c r="R349" s="267">
        <v>73.060057541284408</v>
      </c>
      <c r="S349" s="207">
        <f t="shared" si="52"/>
        <v>0</v>
      </c>
      <c r="T349" s="207"/>
      <c r="U349" s="207"/>
      <c r="V349" s="207">
        <f t="shared" si="40"/>
        <v>0</v>
      </c>
      <c r="W349" s="123"/>
      <c r="X349" s="268"/>
      <c r="Y349" s="207"/>
      <c r="Z349" s="267">
        <v>73.060057541284408</v>
      </c>
      <c r="AA349" s="207">
        <v>0</v>
      </c>
      <c r="AB349" s="207"/>
      <c r="AC349" s="207"/>
      <c r="AD349" s="207">
        <v>0</v>
      </c>
    </row>
    <row r="350" spans="1:30" s="216" customFormat="1" ht="23.1" hidden="1" customHeight="1" outlineLevel="2">
      <c r="A350" s="220"/>
      <c r="B350" s="223" t="s">
        <v>836</v>
      </c>
      <c r="C350" s="223" t="s">
        <v>837</v>
      </c>
      <c r="D350" s="223" t="s">
        <v>397</v>
      </c>
      <c r="E350" s="207">
        <v>94.22</v>
      </c>
      <c r="F350" s="205">
        <v>56.556812036697252</v>
      </c>
      <c r="G350" s="205">
        <v>5328.7828300976153</v>
      </c>
      <c r="H350" s="207">
        <v>94.22</v>
      </c>
      <c r="I350" s="207"/>
      <c r="J350" s="207">
        <v>20728.400000000001</v>
      </c>
      <c r="K350" s="123"/>
      <c r="L350" s="267">
        <v>56.556812036697252</v>
      </c>
      <c r="M350" s="205">
        <f t="shared" si="50"/>
        <v>0</v>
      </c>
      <c r="N350" s="207"/>
      <c r="O350" s="207"/>
      <c r="P350" s="207">
        <f t="shared" si="51"/>
        <v>0</v>
      </c>
      <c r="Q350" s="123"/>
      <c r="R350" s="267">
        <v>56.556812036697252</v>
      </c>
      <c r="S350" s="207">
        <f t="shared" si="52"/>
        <v>0</v>
      </c>
      <c r="T350" s="207"/>
      <c r="U350" s="207"/>
      <c r="V350" s="207">
        <f t="shared" si="40"/>
        <v>0</v>
      </c>
      <c r="W350" s="123"/>
      <c r="X350" s="268"/>
      <c r="Y350" s="207"/>
      <c r="Z350" s="267">
        <v>56.556812036697252</v>
      </c>
      <c r="AA350" s="207">
        <v>0</v>
      </c>
      <c r="AB350" s="207"/>
      <c r="AC350" s="207"/>
      <c r="AD350" s="207">
        <v>0</v>
      </c>
    </row>
    <row r="351" spans="1:30" s="216" customFormat="1" ht="23.1" hidden="1" customHeight="1" outlineLevel="2">
      <c r="A351" s="220"/>
      <c r="B351" s="223" t="s">
        <v>838</v>
      </c>
      <c r="C351" s="223" t="s">
        <v>839</v>
      </c>
      <c r="D351" s="223" t="s">
        <v>397</v>
      </c>
      <c r="E351" s="207">
        <v>10.9</v>
      </c>
      <c r="F351" s="205">
        <v>215.3104460917431</v>
      </c>
      <c r="G351" s="205">
        <v>2346.8838624</v>
      </c>
      <c r="H351" s="207">
        <v>10.9</v>
      </c>
      <c r="I351" s="207"/>
      <c r="J351" s="207">
        <v>2398</v>
      </c>
      <c r="K351" s="123"/>
      <c r="L351" s="267">
        <v>215.3104460917431</v>
      </c>
      <c r="M351" s="205">
        <f t="shared" si="50"/>
        <v>0</v>
      </c>
      <c r="N351" s="207"/>
      <c r="O351" s="207"/>
      <c r="P351" s="207">
        <f t="shared" si="51"/>
        <v>0</v>
      </c>
      <c r="Q351" s="123"/>
      <c r="R351" s="267">
        <v>215.3104460917431</v>
      </c>
      <c r="S351" s="207">
        <f t="shared" si="52"/>
        <v>0</v>
      </c>
      <c r="T351" s="207"/>
      <c r="U351" s="207"/>
      <c r="V351" s="207">
        <f t="shared" si="40"/>
        <v>0</v>
      </c>
      <c r="W351" s="123"/>
      <c r="X351" s="268"/>
      <c r="Y351" s="207"/>
      <c r="Z351" s="267">
        <v>215.3104460917431</v>
      </c>
      <c r="AA351" s="207">
        <v>0</v>
      </c>
      <c r="AB351" s="207"/>
      <c r="AC351" s="207"/>
      <c r="AD351" s="207">
        <v>0</v>
      </c>
    </row>
    <row r="352" spans="1:30" s="216" customFormat="1" ht="23.1" hidden="1" customHeight="1" outlineLevel="2">
      <c r="A352" s="220"/>
      <c r="B352" s="223" t="s">
        <v>840</v>
      </c>
      <c r="C352" s="223" t="s">
        <v>841</v>
      </c>
      <c r="D352" s="223" t="s">
        <v>397</v>
      </c>
      <c r="E352" s="207">
        <v>16</v>
      </c>
      <c r="F352" s="205">
        <v>131.31461724770639</v>
      </c>
      <c r="G352" s="205">
        <v>2101.0338759633023</v>
      </c>
      <c r="H352" s="207">
        <v>16</v>
      </c>
      <c r="I352" s="207"/>
      <c r="J352" s="207">
        <v>7136</v>
      </c>
      <c r="K352" s="123"/>
      <c r="L352" s="267">
        <v>131.31461724770639</v>
      </c>
      <c r="M352" s="205">
        <f t="shared" si="50"/>
        <v>0</v>
      </c>
      <c r="N352" s="207"/>
      <c r="O352" s="207"/>
      <c r="P352" s="207">
        <f t="shared" si="51"/>
        <v>0</v>
      </c>
      <c r="Q352" s="123"/>
      <c r="R352" s="267">
        <v>131.31461724770639</v>
      </c>
      <c r="S352" s="207">
        <f t="shared" si="52"/>
        <v>0</v>
      </c>
      <c r="T352" s="207"/>
      <c r="U352" s="207"/>
      <c r="V352" s="207">
        <f t="shared" si="40"/>
        <v>0</v>
      </c>
      <c r="W352" s="123"/>
      <c r="X352" s="268"/>
      <c r="Y352" s="207"/>
      <c r="Z352" s="267">
        <v>131.31461724770639</v>
      </c>
      <c r="AA352" s="207">
        <v>0</v>
      </c>
      <c r="AB352" s="207"/>
      <c r="AC352" s="207"/>
      <c r="AD352" s="207">
        <v>0</v>
      </c>
    </row>
    <row r="353" spans="1:30" s="216" customFormat="1" ht="23.1" hidden="1" customHeight="1" outlineLevel="2">
      <c r="A353" s="220"/>
      <c r="B353" s="223" t="s">
        <v>842</v>
      </c>
      <c r="C353" s="223" t="s">
        <v>843</v>
      </c>
      <c r="D353" s="223" t="s">
        <v>397</v>
      </c>
      <c r="E353" s="207">
        <v>25</v>
      </c>
      <c r="F353" s="205">
        <v>114.58374077064219</v>
      </c>
      <c r="G353" s="205">
        <v>2864.593519266055</v>
      </c>
      <c r="H353" s="207">
        <v>25</v>
      </c>
      <c r="I353" s="207"/>
      <c r="J353" s="207">
        <v>10125</v>
      </c>
      <c r="K353" s="123"/>
      <c r="L353" s="267">
        <v>114.58374077064219</v>
      </c>
      <c r="M353" s="205">
        <f t="shared" si="50"/>
        <v>0</v>
      </c>
      <c r="N353" s="207"/>
      <c r="O353" s="207"/>
      <c r="P353" s="207">
        <f t="shared" si="51"/>
        <v>0</v>
      </c>
      <c r="Q353" s="123"/>
      <c r="R353" s="267">
        <v>114.58374077064219</v>
      </c>
      <c r="S353" s="207">
        <f t="shared" si="52"/>
        <v>0</v>
      </c>
      <c r="T353" s="207"/>
      <c r="U353" s="207"/>
      <c r="V353" s="207">
        <f t="shared" si="40"/>
        <v>0</v>
      </c>
      <c r="W353" s="123"/>
      <c r="X353" s="268"/>
      <c r="Y353" s="207"/>
      <c r="Z353" s="267">
        <v>114.58374077064219</v>
      </c>
      <c r="AA353" s="207">
        <v>0</v>
      </c>
      <c r="AB353" s="207"/>
      <c r="AC353" s="207"/>
      <c r="AD353" s="207">
        <v>0</v>
      </c>
    </row>
    <row r="354" spans="1:30" s="216" customFormat="1" ht="23.1" hidden="1" customHeight="1" outlineLevel="2">
      <c r="A354" s="220"/>
      <c r="B354" s="223" t="s">
        <v>844</v>
      </c>
      <c r="C354" s="223" t="s">
        <v>845</v>
      </c>
      <c r="D354" s="223" t="s">
        <v>397</v>
      </c>
      <c r="E354" s="207">
        <v>44.8</v>
      </c>
      <c r="F354" s="205">
        <v>55.798042128440365</v>
      </c>
      <c r="G354" s="205">
        <v>2499.7522873541284</v>
      </c>
      <c r="H354" s="207">
        <v>44.8</v>
      </c>
      <c r="I354" s="207"/>
      <c r="J354" s="207">
        <v>1433.6</v>
      </c>
      <c r="K354" s="123"/>
      <c r="L354" s="267">
        <v>55.798042128440365</v>
      </c>
      <c r="M354" s="205">
        <f t="shared" si="50"/>
        <v>0</v>
      </c>
      <c r="N354" s="207"/>
      <c r="O354" s="207"/>
      <c r="P354" s="207">
        <f t="shared" si="51"/>
        <v>0</v>
      </c>
      <c r="Q354" s="123"/>
      <c r="R354" s="267">
        <v>55.798042128440365</v>
      </c>
      <c r="S354" s="207">
        <f t="shared" si="52"/>
        <v>0</v>
      </c>
      <c r="T354" s="207"/>
      <c r="U354" s="207"/>
      <c r="V354" s="207">
        <f t="shared" si="40"/>
        <v>0</v>
      </c>
      <c r="W354" s="123"/>
      <c r="X354" s="268"/>
      <c r="Y354" s="207"/>
      <c r="Z354" s="267">
        <v>55.798042128440365</v>
      </c>
      <c r="AA354" s="207">
        <v>0</v>
      </c>
      <c r="AB354" s="207"/>
      <c r="AC354" s="207"/>
      <c r="AD354" s="207">
        <v>0</v>
      </c>
    </row>
    <row r="355" spans="1:30" s="216" customFormat="1" ht="23.1" hidden="1" customHeight="1" outlineLevel="2">
      <c r="A355" s="220"/>
      <c r="B355" s="223" t="s">
        <v>846</v>
      </c>
      <c r="C355" s="223" t="s">
        <v>847</v>
      </c>
      <c r="D355" s="223" t="s">
        <v>247</v>
      </c>
      <c r="E355" s="207">
        <v>18.899999999999999</v>
      </c>
      <c r="F355" s="205">
        <v>376.8146210642202</v>
      </c>
      <c r="G355" s="205">
        <v>7121.7963381137615</v>
      </c>
      <c r="H355" s="207">
        <v>18.899999999999999</v>
      </c>
      <c r="I355" s="207"/>
      <c r="J355" s="207">
        <v>4536</v>
      </c>
      <c r="K355" s="123"/>
      <c r="L355" s="267">
        <v>376.8146210642202</v>
      </c>
      <c r="M355" s="205">
        <f t="shared" si="50"/>
        <v>0</v>
      </c>
      <c r="N355" s="207"/>
      <c r="O355" s="207"/>
      <c r="P355" s="207">
        <f t="shared" si="51"/>
        <v>0</v>
      </c>
      <c r="Q355" s="123"/>
      <c r="R355" s="267">
        <v>376.8146210642202</v>
      </c>
      <c r="S355" s="207">
        <f t="shared" si="52"/>
        <v>0</v>
      </c>
      <c r="T355" s="207"/>
      <c r="U355" s="207"/>
      <c r="V355" s="207">
        <f t="shared" si="40"/>
        <v>0</v>
      </c>
      <c r="W355" s="123"/>
      <c r="X355" s="268"/>
      <c r="Y355" s="207"/>
      <c r="Z355" s="267">
        <v>376.8146210642202</v>
      </c>
      <c r="AA355" s="207">
        <v>0</v>
      </c>
      <c r="AB355" s="207"/>
      <c r="AC355" s="207"/>
      <c r="AD355" s="207">
        <v>0</v>
      </c>
    </row>
    <row r="356" spans="1:30" s="216" customFormat="1" ht="23.1" hidden="1" customHeight="1" outlineLevel="2">
      <c r="A356" s="220"/>
      <c r="B356" s="223" t="s">
        <v>848</v>
      </c>
      <c r="C356" s="223" t="s">
        <v>849</v>
      </c>
      <c r="D356" s="223" t="s">
        <v>397</v>
      </c>
      <c r="E356" s="207">
        <v>144</v>
      </c>
      <c r="F356" s="205">
        <v>89.734026275229354</v>
      </c>
      <c r="G356" s="205">
        <v>12921.699783633027</v>
      </c>
      <c r="H356" s="207">
        <v>144</v>
      </c>
      <c r="I356" s="207"/>
      <c r="J356" s="207">
        <v>194400</v>
      </c>
      <c r="K356" s="123"/>
      <c r="L356" s="267">
        <v>89.734026275229354</v>
      </c>
      <c r="M356" s="205">
        <f t="shared" si="50"/>
        <v>0</v>
      </c>
      <c r="N356" s="207"/>
      <c r="O356" s="207"/>
      <c r="P356" s="207">
        <f t="shared" si="51"/>
        <v>0</v>
      </c>
      <c r="Q356" s="123"/>
      <c r="R356" s="267">
        <v>89.734026275229354</v>
      </c>
      <c r="S356" s="207">
        <f t="shared" si="52"/>
        <v>0</v>
      </c>
      <c r="T356" s="207"/>
      <c r="U356" s="207"/>
      <c r="V356" s="207">
        <f t="shared" si="40"/>
        <v>0</v>
      </c>
      <c r="W356" s="123"/>
      <c r="X356" s="268"/>
      <c r="Y356" s="207"/>
      <c r="Z356" s="267">
        <v>89.734026275229354</v>
      </c>
      <c r="AA356" s="207">
        <v>0</v>
      </c>
      <c r="AB356" s="207"/>
      <c r="AC356" s="207"/>
      <c r="AD356" s="207">
        <v>0</v>
      </c>
    </row>
    <row r="357" spans="1:30" s="216" customFormat="1" ht="23.1" hidden="1" customHeight="1" outlineLevel="2">
      <c r="A357" s="220"/>
      <c r="B357" s="223" t="s">
        <v>850</v>
      </c>
      <c r="C357" s="223" t="s">
        <v>851</v>
      </c>
      <c r="D357" s="223" t="s">
        <v>247</v>
      </c>
      <c r="E357" s="207">
        <v>211.01</v>
      </c>
      <c r="F357" s="205">
        <v>122.21886297247707</v>
      </c>
      <c r="G357" s="205">
        <v>25789.402275822384</v>
      </c>
      <c r="H357" s="207">
        <v>211.01</v>
      </c>
      <c r="I357" s="207"/>
      <c r="J357" s="207">
        <v>5908.28</v>
      </c>
      <c r="K357" s="123"/>
      <c r="L357" s="267">
        <v>122.21886297247707</v>
      </c>
      <c r="M357" s="205">
        <f t="shared" si="50"/>
        <v>0</v>
      </c>
      <c r="N357" s="207"/>
      <c r="O357" s="207"/>
      <c r="P357" s="207">
        <f t="shared" si="51"/>
        <v>0</v>
      </c>
      <c r="Q357" s="123"/>
      <c r="R357" s="267">
        <v>122.21886297247707</v>
      </c>
      <c r="S357" s="207">
        <f t="shared" si="52"/>
        <v>0</v>
      </c>
      <c r="T357" s="207"/>
      <c r="U357" s="207"/>
      <c r="V357" s="207">
        <f t="shared" si="40"/>
        <v>0</v>
      </c>
      <c r="W357" s="123"/>
      <c r="X357" s="268"/>
      <c r="Y357" s="207"/>
      <c r="Z357" s="267">
        <v>122.21886297247707</v>
      </c>
      <c r="AA357" s="207">
        <v>0</v>
      </c>
      <c r="AB357" s="207"/>
      <c r="AC357" s="207"/>
      <c r="AD357" s="207">
        <v>0</v>
      </c>
    </row>
    <row r="358" spans="1:30" s="215" customFormat="1" ht="23.1" hidden="1" customHeight="1" outlineLevel="1">
      <c r="A358" s="220">
        <v>10</v>
      </c>
      <c r="B358" s="220" t="s">
        <v>376</v>
      </c>
      <c r="C358" s="220"/>
      <c r="D358" s="220" t="s">
        <v>143</v>
      </c>
      <c r="E358" s="229">
        <v>1</v>
      </c>
      <c r="F358" s="222">
        <v>-127020.86163699081</v>
      </c>
      <c r="G358" s="222">
        <v>-127020.86163699081</v>
      </c>
      <c r="H358" s="229">
        <v>1</v>
      </c>
      <c r="I358" s="229"/>
      <c r="J358" s="229">
        <v>0</v>
      </c>
      <c r="K358" s="137">
        <v>1</v>
      </c>
      <c r="L358" s="266">
        <f>+R358</f>
        <v>-127020.86163699081</v>
      </c>
      <c r="M358" s="222">
        <f t="shared" si="50"/>
        <v>-127020.86163699081</v>
      </c>
      <c r="N358" s="229"/>
      <c r="O358" s="229"/>
      <c r="P358" s="229">
        <f t="shared" si="51"/>
        <v>0</v>
      </c>
      <c r="Q358" s="137">
        <v>1</v>
      </c>
      <c r="R358" s="266">
        <v>-127020.86163699081</v>
      </c>
      <c r="S358" s="229">
        <f t="shared" si="52"/>
        <v>-127020.86163699081</v>
      </c>
      <c r="T358" s="229"/>
      <c r="U358" s="229"/>
      <c r="V358" s="229">
        <f t="shared" si="40"/>
        <v>0</v>
      </c>
      <c r="W358" s="137"/>
      <c r="X358" s="269"/>
      <c r="Y358" s="229"/>
      <c r="Z358" s="266">
        <v>-127020.86163699081</v>
      </c>
      <c r="AA358" s="229">
        <v>0</v>
      </c>
      <c r="AB358" s="229"/>
      <c r="AC358" s="229"/>
      <c r="AD358" s="229">
        <v>0</v>
      </c>
    </row>
    <row r="359" spans="1:30" s="215" customFormat="1" ht="23.1" hidden="1" customHeight="1" outlineLevel="1">
      <c r="A359" s="220">
        <v>11</v>
      </c>
      <c r="B359" s="220" t="s">
        <v>377</v>
      </c>
      <c r="C359" s="220"/>
      <c r="D359" s="220" t="s">
        <v>143</v>
      </c>
      <c r="E359" s="229">
        <v>1</v>
      </c>
      <c r="F359" s="222">
        <v>-131910.06193321099</v>
      </c>
      <c r="G359" s="222">
        <v>-131910.06193321099</v>
      </c>
      <c r="H359" s="229">
        <v>1</v>
      </c>
      <c r="I359" s="229"/>
      <c r="J359" s="229">
        <v>0</v>
      </c>
      <c r="K359" s="137">
        <v>1</v>
      </c>
      <c r="L359" s="266">
        <f>+R359</f>
        <v>-131910.06193321099</v>
      </c>
      <c r="M359" s="222">
        <f t="shared" si="50"/>
        <v>-131910.06193321099</v>
      </c>
      <c r="N359" s="229"/>
      <c r="O359" s="229"/>
      <c r="P359" s="229">
        <f t="shared" si="51"/>
        <v>0</v>
      </c>
      <c r="Q359" s="137">
        <v>1</v>
      </c>
      <c r="R359" s="266">
        <v>-131910.06193321099</v>
      </c>
      <c r="S359" s="229">
        <f t="shared" si="52"/>
        <v>-131910.06193321099</v>
      </c>
      <c r="T359" s="229"/>
      <c r="U359" s="229"/>
      <c r="V359" s="229">
        <f t="shared" si="40"/>
        <v>0</v>
      </c>
      <c r="W359" s="137"/>
      <c r="X359" s="269"/>
      <c r="Y359" s="229"/>
      <c r="Z359" s="266">
        <v>-131910.06193321099</v>
      </c>
      <c r="AA359" s="229">
        <v>0</v>
      </c>
      <c r="AB359" s="229"/>
      <c r="AC359" s="229"/>
      <c r="AD359" s="229">
        <v>0</v>
      </c>
    </row>
    <row r="360" spans="1:30" s="215" customFormat="1" ht="23.1" customHeight="1" collapsed="1">
      <c r="A360" s="220" t="s">
        <v>339</v>
      </c>
      <c r="B360" s="220" t="s">
        <v>271</v>
      </c>
      <c r="C360" s="220"/>
      <c r="D360" s="220"/>
      <c r="E360" s="229"/>
      <c r="F360" s="222"/>
      <c r="G360" s="222">
        <v>2376707.1486115823</v>
      </c>
      <c r="H360" s="229"/>
      <c r="I360" s="229"/>
      <c r="J360" s="229">
        <v>2210537.5814963346</v>
      </c>
      <c r="K360" s="137"/>
      <c r="L360" s="266"/>
      <c r="M360" s="222">
        <f t="shared" si="50"/>
        <v>0</v>
      </c>
      <c r="N360" s="229"/>
      <c r="O360" s="229"/>
      <c r="P360" s="229">
        <f t="shared" si="51"/>
        <v>0</v>
      </c>
      <c r="Q360" s="137"/>
      <c r="R360" s="266"/>
      <c r="S360" s="229">
        <f t="shared" si="52"/>
        <v>0</v>
      </c>
      <c r="T360" s="229"/>
      <c r="U360" s="229"/>
      <c r="V360" s="229">
        <f t="shared" si="40"/>
        <v>0</v>
      </c>
      <c r="W360" s="137"/>
      <c r="X360" s="271"/>
      <c r="Y360" s="229"/>
      <c r="Z360" s="266"/>
      <c r="AA360" s="229">
        <v>0</v>
      </c>
      <c r="AB360" s="229"/>
      <c r="AC360" s="229"/>
      <c r="AD360" s="229">
        <v>0</v>
      </c>
    </row>
    <row r="361" spans="1:30" s="216" customFormat="1" ht="23.1" hidden="1" customHeight="1" outlineLevel="1" collapsed="1">
      <c r="A361" s="223"/>
      <c r="B361" s="274" t="s">
        <v>852</v>
      </c>
      <c r="C361" s="275"/>
      <c r="D361" s="275"/>
      <c r="E361" s="207"/>
      <c r="F361" s="205">
        <v>0</v>
      </c>
      <c r="G361" s="205"/>
      <c r="H361" s="207"/>
      <c r="I361" s="207"/>
      <c r="J361" s="207">
        <v>0</v>
      </c>
      <c r="K361" s="123"/>
      <c r="L361" s="267">
        <v>0</v>
      </c>
      <c r="M361" s="205">
        <f t="shared" si="50"/>
        <v>0</v>
      </c>
      <c r="N361" s="207"/>
      <c r="O361" s="207"/>
      <c r="P361" s="207">
        <f t="shared" si="51"/>
        <v>0</v>
      </c>
      <c r="Q361" s="123"/>
      <c r="R361" s="267">
        <v>0</v>
      </c>
      <c r="S361" s="207">
        <f t="shared" si="52"/>
        <v>0</v>
      </c>
      <c r="T361" s="207"/>
      <c r="U361" s="207"/>
      <c r="V361" s="207">
        <f t="shared" si="40"/>
        <v>0</v>
      </c>
      <c r="W361" s="123"/>
      <c r="X361" s="268"/>
      <c r="Y361" s="207"/>
      <c r="Z361" s="267">
        <v>0</v>
      </c>
      <c r="AA361" s="207">
        <v>0</v>
      </c>
      <c r="AB361" s="207"/>
      <c r="AC361" s="207"/>
      <c r="AD361" s="207">
        <v>0</v>
      </c>
    </row>
    <row r="362" spans="1:30" s="216" customFormat="1" ht="23.1" hidden="1" customHeight="1" outlineLevel="2">
      <c r="A362" s="223"/>
      <c r="B362" s="275" t="s">
        <v>853</v>
      </c>
      <c r="C362" s="275" t="s">
        <v>854</v>
      </c>
      <c r="D362" s="275" t="s">
        <v>247</v>
      </c>
      <c r="E362" s="207">
        <v>248.21</v>
      </c>
      <c r="F362" s="205">
        <v>214.06796036697247</v>
      </c>
      <c r="G362" s="205">
        <v>53133.808442686241</v>
      </c>
      <c r="H362" s="207">
        <v>248.21</v>
      </c>
      <c r="I362" s="207"/>
      <c r="J362" s="207">
        <v>39202.287400000001</v>
      </c>
      <c r="K362" s="123"/>
      <c r="L362" s="267">
        <v>214.06796036697247</v>
      </c>
      <c r="M362" s="205">
        <f t="shared" si="50"/>
        <v>0</v>
      </c>
      <c r="N362" s="207"/>
      <c r="O362" s="207"/>
      <c r="P362" s="207">
        <f t="shared" si="51"/>
        <v>0</v>
      </c>
      <c r="Q362" s="123"/>
      <c r="R362" s="267">
        <v>214.06796036697247</v>
      </c>
      <c r="S362" s="207">
        <f t="shared" si="52"/>
        <v>0</v>
      </c>
      <c r="T362" s="207"/>
      <c r="U362" s="207"/>
      <c r="V362" s="207">
        <f t="shared" ref="V362:V425" si="54">+U362*T362</f>
        <v>0</v>
      </c>
      <c r="W362" s="123"/>
      <c r="X362" s="268"/>
      <c r="Y362" s="207"/>
      <c r="Z362" s="267">
        <v>214.06796036697247</v>
      </c>
      <c r="AA362" s="207">
        <v>0</v>
      </c>
      <c r="AB362" s="207"/>
      <c r="AC362" s="207"/>
      <c r="AD362" s="207">
        <v>0</v>
      </c>
    </row>
    <row r="363" spans="1:30" s="216" customFormat="1" ht="23.1" hidden="1" customHeight="1" outlineLevel="2">
      <c r="A363" s="223"/>
      <c r="B363" s="275" t="s">
        <v>260</v>
      </c>
      <c r="C363" s="275" t="s">
        <v>855</v>
      </c>
      <c r="D363" s="275" t="s">
        <v>103</v>
      </c>
      <c r="E363" s="207">
        <v>143.96</v>
      </c>
      <c r="F363" s="205">
        <v>546.28588007339454</v>
      </c>
      <c r="G363" s="205">
        <v>78643.315295365886</v>
      </c>
      <c r="H363" s="207">
        <v>143.96</v>
      </c>
      <c r="I363" s="207"/>
      <c r="J363" s="207">
        <v>67404.056691262143</v>
      </c>
      <c r="K363" s="123"/>
      <c r="L363" s="267">
        <v>546.28588007339454</v>
      </c>
      <c r="M363" s="205">
        <f t="shared" si="50"/>
        <v>0</v>
      </c>
      <c r="N363" s="207"/>
      <c r="O363" s="207"/>
      <c r="P363" s="207">
        <f t="shared" si="51"/>
        <v>0</v>
      </c>
      <c r="Q363" s="123"/>
      <c r="R363" s="267">
        <v>546.28588007339454</v>
      </c>
      <c r="S363" s="207">
        <f t="shared" si="52"/>
        <v>0</v>
      </c>
      <c r="T363" s="207"/>
      <c r="U363" s="207"/>
      <c r="V363" s="207">
        <f t="shared" si="54"/>
        <v>0</v>
      </c>
      <c r="W363" s="123"/>
      <c r="X363" s="268"/>
      <c r="Y363" s="207"/>
      <c r="Z363" s="267">
        <v>546.28588007339454</v>
      </c>
      <c r="AA363" s="207">
        <v>0</v>
      </c>
      <c r="AB363" s="207"/>
      <c r="AC363" s="207"/>
      <c r="AD363" s="207">
        <v>0</v>
      </c>
    </row>
    <row r="364" spans="1:30" s="216" customFormat="1" ht="23.1" hidden="1" customHeight="1" outlineLevel="2">
      <c r="A364" s="223"/>
      <c r="B364" s="275" t="s">
        <v>856</v>
      </c>
      <c r="C364" s="275" t="s">
        <v>857</v>
      </c>
      <c r="D364" s="275" t="s">
        <v>247</v>
      </c>
      <c r="E364" s="207">
        <v>50.85</v>
      </c>
      <c r="F364" s="205">
        <v>506.91520645871566</v>
      </c>
      <c r="G364" s="205">
        <v>25776.638248425694</v>
      </c>
      <c r="H364" s="207">
        <v>50.85</v>
      </c>
      <c r="I364" s="207"/>
      <c r="J364" s="207">
        <v>16319.799000000001</v>
      </c>
      <c r="K364" s="123"/>
      <c r="L364" s="267">
        <v>506.91520645871566</v>
      </c>
      <c r="M364" s="205">
        <f t="shared" si="50"/>
        <v>0</v>
      </c>
      <c r="N364" s="207"/>
      <c r="O364" s="207"/>
      <c r="P364" s="207">
        <f t="shared" si="51"/>
        <v>0</v>
      </c>
      <c r="Q364" s="123"/>
      <c r="R364" s="267">
        <v>506.91520645871566</v>
      </c>
      <c r="S364" s="207">
        <f t="shared" si="52"/>
        <v>0</v>
      </c>
      <c r="T364" s="207"/>
      <c r="U364" s="207"/>
      <c r="V364" s="207">
        <f t="shared" si="54"/>
        <v>0</v>
      </c>
      <c r="W364" s="123"/>
      <c r="X364" s="268"/>
      <c r="Y364" s="207"/>
      <c r="Z364" s="267">
        <v>506.91520645871566</v>
      </c>
      <c r="AA364" s="207">
        <v>0</v>
      </c>
      <c r="AB364" s="207"/>
      <c r="AC364" s="207"/>
      <c r="AD364" s="207">
        <v>0</v>
      </c>
    </row>
    <row r="365" spans="1:30" s="216" customFormat="1" ht="23.1" hidden="1" customHeight="1" outlineLevel="2">
      <c r="A365" s="223"/>
      <c r="B365" s="275" t="s">
        <v>858</v>
      </c>
      <c r="C365" s="275" t="s">
        <v>859</v>
      </c>
      <c r="D365" s="275" t="s">
        <v>247</v>
      </c>
      <c r="E365" s="207">
        <v>19.75</v>
      </c>
      <c r="F365" s="205">
        <v>238.92715948623851</v>
      </c>
      <c r="G365" s="205">
        <v>4718.8113998532108</v>
      </c>
      <c r="H365" s="207">
        <v>19.75</v>
      </c>
      <c r="I365" s="207"/>
      <c r="J365" s="207">
        <v>3000.8150000000001</v>
      </c>
      <c r="K365" s="123"/>
      <c r="L365" s="267">
        <v>238.92715948623851</v>
      </c>
      <c r="M365" s="205">
        <f t="shared" si="50"/>
        <v>0</v>
      </c>
      <c r="N365" s="207"/>
      <c r="O365" s="207"/>
      <c r="P365" s="207">
        <f t="shared" si="51"/>
        <v>0</v>
      </c>
      <c r="Q365" s="123"/>
      <c r="R365" s="267">
        <v>238.92715948623851</v>
      </c>
      <c r="S365" s="207">
        <f t="shared" si="52"/>
        <v>0</v>
      </c>
      <c r="T365" s="207"/>
      <c r="U365" s="207"/>
      <c r="V365" s="207">
        <f t="shared" si="54"/>
        <v>0</v>
      </c>
      <c r="W365" s="123"/>
      <c r="X365" s="268"/>
      <c r="Y365" s="207"/>
      <c r="Z365" s="267">
        <v>238.92715948623851</v>
      </c>
      <c r="AA365" s="207">
        <v>0</v>
      </c>
      <c r="AB365" s="207"/>
      <c r="AC365" s="207"/>
      <c r="AD365" s="207">
        <v>0</v>
      </c>
    </row>
    <row r="366" spans="1:30" s="216" customFormat="1" ht="23.1" hidden="1" customHeight="1" outlineLevel="2">
      <c r="A366" s="223"/>
      <c r="B366" s="275" t="s">
        <v>860</v>
      </c>
      <c r="C366" s="275" t="s">
        <v>861</v>
      </c>
      <c r="D366" s="275" t="s">
        <v>247</v>
      </c>
      <c r="E366" s="207">
        <v>23.82</v>
      </c>
      <c r="F366" s="205">
        <v>243.28060183486238</v>
      </c>
      <c r="G366" s="205">
        <v>5794.9439357064221</v>
      </c>
      <c r="H366" s="207">
        <v>23.82</v>
      </c>
      <c r="I366" s="207"/>
      <c r="J366" s="207">
        <v>3619.2107999999998</v>
      </c>
      <c r="K366" s="123"/>
      <c r="L366" s="267">
        <v>243.28060183486238</v>
      </c>
      <c r="M366" s="205">
        <f t="shared" si="50"/>
        <v>0</v>
      </c>
      <c r="N366" s="207"/>
      <c r="O366" s="207"/>
      <c r="P366" s="207">
        <f t="shared" si="51"/>
        <v>0</v>
      </c>
      <c r="Q366" s="123"/>
      <c r="R366" s="267">
        <v>243.28060183486238</v>
      </c>
      <c r="S366" s="207">
        <f t="shared" si="52"/>
        <v>0</v>
      </c>
      <c r="T366" s="207"/>
      <c r="U366" s="207"/>
      <c r="V366" s="207">
        <f t="shared" si="54"/>
        <v>0</v>
      </c>
      <c r="W366" s="123"/>
      <c r="X366" s="268"/>
      <c r="Y366" s="207"/>
      <c r="Z366" s="267">
        <v>243.28060183486238</v>
      </c>
      <c r="AA366" s="207">
        <v>0</v>
      </c>
      <c r="AB366" s="207"/>
      <c r="AC366" s="207"/>
      <c r="AD366" s="207">
        <v>0</v>
      </c>
    </row>
    <row r="367" spans="1:30" s="216" customFormat="1" ht="23.1" hidden="1" customHeight="1" outlineLevel="2">
      <c r="A367" s="223"/>
      <c r="B367" s="275" t="s">
        <v>862</v>
      </c>
      <c r="C367" s="275" t="s">
        <v>863</v>
      </c>
      <c r="D367" s="275" t="s">
        <v>247</v>
      </c>
      <c r="E367" s="207">
        <v>23.82</v>
      </c>
      <c r="F367" s="205">
        <v>123.13887148623856</v>
      </c>
      <c r="G367" s="205">
        <v>2933.1679188022026</v>
      </c>
      <c r="H367" s="207">
        <v>23.82</v>
      </c>
      <c r="I367" s="207"/>
      <c r="J367" s="207">
        <v>1095.72</v>
      </c>
      <c r="K367" s="123"/>
      <c r="L367" s="267">
        <v>123.13887148623856</v>
      </c>
      <c r="M367" s="205">
        <f t="shared" si="50"/>
        <v>0</v>
      </c>
      <c r="N367" s="207"/>
      <c r="O367" s="207"/>
      <c r="P367" s="207">
        <f t="shared" si="51"/>
        <v>0</v>
      </c>
      <c r="Q367" s="123"/>
      <c r="R367" s="267">
        <v>123.13887148623856</v>
      </c>
      <c r="S367" s="207">
        <f t="shared" ref="S367:S430" si="55">+R367*Q367</f>
        <v>0</v>
      </c>
      <c r="T367" s="207"/>
      <c r="U367" s="207"/>
      <c r="V367" s="207">
        <f t="shared" si="54"/>
        <v>0</v>
      </c>
      <c r="W367" s="123"/>
      <c r="X367" s="268"/>
      <c r="Y367" s="207"/>
      <c r="Z367" s="267">
        <v>123.13887148623856</v>
      </c>
      <c r="AA367" s="207">
        <v>0</v>
      </c>
      <c r="AB367" s="207"/>
      <c r="AC367" s="207"/>
      <c r="AD367" s="207">
        <v>0</v>
      </c>
    </row>
    <row r="368" spans="1:30" s="216" customFormat="1" ht="23.1" hidden="1" customHeight="1" outlineLevel="2">
      <c r="A368" s="223"/>
      <c r="B368" s="275" t="s">
        <v>864</v>
      </c>
      <c r="C368" s="275" t="s">
        <v>865</v>
      </c>
      <c r="D368" s="275" t="s">
        <v>247</v>
      </c>
      <c r="E368" s="207">
        <v>1176.6400000000001</v>
      </c>
      <c r="F368" s="205">
        <v>149.03189460550459</v>
      </c>
      <c r="G368" s="205">
        <v>175356.88846862095</v>
      </c>
      <c r="H368" s="207">
        <v>1176.6400000000001</v>
      </c>
      <c r="I368" s="207"/>
      <c r="J368" s="207">
        <v>148186.0416</v>
      </c>
      <c r="K368" s="123"/>
      <c r="L368" s="267">
        <v>149.03189460550459</v>
      </c>
      <c r="M368" s="205">
        <f t="shared" si="50"/>
        <v>0</v>
      </c>
      <c r="N368" s="207"/>
      <c r="O368" s="207"/>
      <c r="P368" s="207">
        <f t="shared" si="51"/>
        <v>0</v>
      </c>
      <c r="Q368" s="123"/>
      <c r="R368" s="267">
        <v>149.03189460550459</v>
      </c>
      <c r="S368" s="207">
        <f t="shared" si="55"/>
        <v>0</v>
      </c>
      <c r="T368" s="207"/>
      <c r="U368" s="207"/>
      <c r="V368" s="207">
        <f t="shared" si="54"/>
        <v>0</v>
      </c>
      <c r="W368" s="123"/>
      <c r="X368" s="268"/>
      <c r="Y368" s="207"/>
      <c r="Z368" s="267">
        <v>149.03189460550459</v>
      </c>
      <c r="AA368" s="207">
        <v>0</v>
      </c>
      <c r="AB368" s="207"/>
      <c r="AC368" s="207"/>
      <c r="AD368" s="207">
        <v>0</v>
      </c>
    </row>
    <row r="369" spans="1:30" s="216" customFormat="1" ht="23.1" hidden="1" customHeight="1" outlineLevel="2">
      <c r="A369" s="223"/>
      <c r="B369" s="275" t="s">
        <v>866</v>
      </c>
      <c r="C369" s="275" t="s">
        <v>867</v>
      </c>
      <c r="D369" s="275" t="s">
        <v>247</v>
      </c>
      <c r="E369" s="207">
        <v>12</v>
      </c>
      <c r="F369" s="205">
        <v>49.765821357798167</v>
      </c>
      <c r="G369" s="205">
        <v>597.18985629357803</v>
      </c>
      <c r="H369" s="207">
        <v>12</v>
      </c>
      <c r="I369" s="207"/>
      <c r="J369" s="207">
        <v>462.68574757281596</v>
      </c>
      <c r="K369" s="123"/>
      <c r="L369" s="267">
        <v>49.765821357798167</v>
      </c>
      <c r="M369" s="205">
        <f t="shared" si="50"/>
        <v>0</v>
      </c>
      <c r="N369" s="207"/>
      <c r="O369" s="207"/>
      <c r="P369" s="207">
        <f t="shared" si="51"/>
        <v>0</v>
      </c>
      <c r="Q369" s="123"/>
      <c r="R369" s="267">
        <v>49.765821357798167</v>
      </c>
      <c r="S369" s="207">
        <f t="shared" si="55"/>
        <v>0</v>
      </c>
      <c r="T369" s="207"/>
      <c r="U369" s="207"/>
      <c r="V369" s="207">
        <f t="shared" si="54"/>
        <v>0</v>
      </c>
      <c r="W369" s="123"/>
      <c r="X369" s="268"/>
      <c r="Y369" s="207"/>
      <c r="Z369" s="267">
        <v>49.765821357798167</v>
      </c>
      <c r="AA369" s="207">
        <v>0</v>
      </c>
      <c r="AB369" s="207"/>
      <c r="AC369" s="207"/>
      <c r="AD369" s="207">
        <v>0</v>
      </c>
    </row>
    <row r="370" spans="1:30" s="216" customFormat="1" ht="23.1" hidden="1" customHeight="1" outlineLevel="2">
      <c r="A370" s="223"/>
      <c r="B370" s="275" t="s">
        <v>729</v>
      </c>
      <c r="C370" s="275" t="s">
        <v>868</v>
      </c>
      <c r="D370" s="275" t="s">
        <v>247</v>
      </c>
      <c r="E370" s="207">
        <v>76.13</v>
      </c>
      <c r="F370" s="205">
        <v>29.610995669724769</v>
      </c>
      <c r="G370" s="205">
        <v>2254.2851003361466</v>
      </c>
      <c r="H370" s="207">
        <v>76.13</v>
      </c>
      <c r="I370" s="207"/>
      <c r="J370" s="207">
        <v>1522.6</v>
      </c>
      <c r="K370" s="123"/>
      <c r="L370" s="267">
        <v>29.610995669724769</v>
      </c>
      <c r="M370" s="205">
        <f t="shared" si="50"/>
        <v>0</v>
      </c>
      <c r="N370" s="207"/>
      <c r="O370" s="207"/>
      <c r="P370" s="207">
        <f t="shared" si="51"/>
        <v>0</v>
      </c>
      <c r="Q370" s="123"/>
      <c r="R370" s="267">
        <v>29.610995669724769</v>
      </c>
      <c r="S370" s="207">
        <f t="shared" si="55"/>
        <v>0</v>
      </c>
      <c r="T370" s="207"/>
      <c r="U370" s="207"/>
      <c r="V370" s="207">
        <f t="shared" si="54"/>
        <v>0</v>
      </c>
      <c r="W370" s="123"/>
      <c r="X370" s="268"/>
      <c r="Y370" s="207"/>
      <c r="Z370" s="267">
        <v>29.610995669724769</v>
      </c>
      <c r="AA370" s="207">
        <v>0</v>
      </c>
      <c r="AB370" s="207"/>
      <c r="AC370" s="207"/>
      <c r="AD370" s="207">
        <v>0</v>
      </c>
    </row>
    <row r="371" spans="1:30" s="216" customFormat="1" ht="23.1" hidden="1" customHeight="1" outlineLevel="2">
      <c r="A371" s="223"/>
      <c r="B371" s="275" t="s">
        <v>869</v>
      </c>
      <c r="C371" s="275" t="s">
        <v>870</v>
      </c>
      <c r="D371" s="275" t="s">
        <v>247</v>
      </c>
      <c r="E371" s="207">
        <v>4.74</v>
      </c>
      <c r="F371" s="205">
        <v>74.055943045871558</v>
      </c>
      <c r="G371" s="205">
        <v>351.02517003743122</v>
      </c>
      <c r="H371" s="207">
        <v>4.74</v>
      </c>
      <c r="I371" s="207"/>
      <c r="J371" s="207">
        <v>227.52</v>
      </c>
      <c r="K371" s="123"/>
      <c r="L371" s="267">
        <v>74.055943045871558</v>
      </c>
      <c r="M371" s="205">
        <f t="shared" si="50"/>
        <v>0</v>
      </c>
      <c r="N371" s="207"/>
      <c r="O371" s="207"/>
      <c r="P371" s="207">
        <f t="shared" si="51"/>
        <v>0</v>
      </c>
      <c r="Q371" s="123"/>
      <c r="R371" s="267">
        <v>74.055943045871558</v>
      </c>
      <c r="S371" s="207">
        <f t="shared" si="55"/>
        <v>0</v>
      </c>
      <c r="T371" s="207"/>
      <c r="U371" s="207"/>
      <c r="V371" s="207">
        <f t="shared" si="54"/>
        <v>0</v>
      </c>
      <c r="W371" s="123"/>
      <c r="X371" s="268"/>
      <c r="Y371" s="207"/>
      <c r="Z371" s="267">
        <v>74.055943045871558</v>
      </c>
      <c r="AA371" s="207">
        <v>0</v>
      </c>
      <c r="AB371" s="207"/>
      <c r="AC371" s="207"/>
      <c r="AD371" s="207">
        <v>0</v>
      </c>
    </row>
    <row r="372" spans="1:30" s="216" customFormat="1" ht="23.1" hidden="1" customHeight="1" outlineLevel="2">
      <c r="A372" s="223"/>
      <c r="B372" s="275" t="s">
        <v>733</v>
      </c>
      <c r="C372" s="275" t="s">
        <v>871</v>
      </c>
      <c r="D372" s="275" t="s">
        <v>247</v>
      </c>
      <c r="E372" s="207">
        <v>49.86</v>
      </c>
      <c r="F372" s="205">
        <v>42.149668403669722</v>
      </c>
      <c r="G372" s="205">
        <v>2101.5824666069725</v>
      </c>
      <c r="H372" s="207">
        <v>49.86</v>
      </c>
      <c r="I372" s="207"/>
      <c r="J372" s="207">
        <v>997.2</v>
      </c>
      <c r="K372" s="123"/>
      <c r="L372" s="267">
        <v>42.149668403669722</v>
      </c>
      <c r="M372" s="205">
        <f t="shared" si="50"/>
        <v>0</v>
      </c>
      <c r="N372" s="207"/>
      <c r="O372" s="207"/>
      <c r="P372" s="207">
        <f t="shared" ref="P372:P435" si="56">+O372*N372</f>
        <v>0</v>
      </c>
      <c r="Q372" s="123"/>
      <c r="R372" s="267">
        <v>42.149668403669722</v>
      </c>
      <c r="S372" s="207">
        <f t="shared" si="55"/>
        <v>0</v>
      </c>
      <c r="T372" s="207"/>
      <c r="U372" s="207"/>
      <c r="V372" s="207">
        <f t="shared" si="54"/>
        <v>0</v>
      </c>
      <c r="W372" s="123"/>
      <c r="X372" s="268"/>
      <c r="Y372" s="207"/>
      <c r="Z372" s="267">
        <v>42.149668403669722</v>
      </c>
      <c r="AA372" s="207">
        <v>0</v>
      </c>
      <c r="AB372" s="207"/>
      <c r="AC372" s="207"/>
      <c r="AD372" s="207">
        <v>0</v>
      </c>
    </row>
    <row r="373" spans="1:30" s="216" customFormat="1" ht="23.1" hidden="1" customHeight="1" outlineLevel="2">
      <c r="A373" s="223"/>
      <c r="B373" s="275" t="s">
        <v>872</v>
      </c>
      <c r="C373" s="275" t="s">
        <v>873</v>
      </c>
      <c r="D373" s="275" t="s">
        <v>247</v>
      </c>
      <c r="E373" s="207">
        <v>79.09</v>
      </c>
      <c r="F373" s="205">
        <v>331.13667258715594</v>
      </c>
      <c r="G373" s="205">
        <v>26189.599434918164</v>
      </c>
      <c r="H373" s="207">
        <v>79.09</v>
      </c>
      <c r="I373" s="207"/>
      <c r="J373" s="207">
        <v>18269.79</v>
      </c>
      <c r="K373" s="123"/>
      <c r="L373" s="267">
        <v>331.13667258715594</v>
      </c>
      <c r="M373" s="205">
        <f t="shared" si="50"/>
        <v>0</v>
      </c>
      <c r="N373" s="207"/>
      <c r="O373" s="207"/>
      <c r="P373" s="207">
        <f t="shared" si="56"/>
        <v>0</v>
      </c>
      <c r="Q373" s="123"/>
      <c r="R373" s="267">
        <v>331.13667258715594</v>
      </c>
      <c r="S373" s="207">
        <f t="shared" si="55"/>
        <v>0</v>
      </c>
      <c r="T373" s="207"/>
      <c r="U373" s="207"/>
      <c r="V373" s="207">
        <f t="shared" si="54"/>
        <v>0</v>
      </c>
      <c r="W373" s="123"/>
      <c r="X373" s="268"/>
      <c r="Y373" s="207"/>
      <c r="Z373" s="267">
        <v>331.13667258715594</v>
      </c>
      <c r="AA373" s="207">
        <v>0</v>
      </c>
      <c r="AB373" s="207"/>
      <c r="AC373" s="207"/>
      <c r="AD373" s="207">
        <v>0</v>
      </c>
    </row>
    <row r="374" spans="1:30" s="216" customFormat="1" ht="23.1" hidden="1" customHeight="1" outlineLevel="2">
      <c r="A374" s="223"/>
      <c r="B374" s="275" t="s">
        <v>874</v>
      </c>
      <c r="C374" s="275" t="s">
        <v>875</v>
      </c>
      <c r="D374" s="275" t="s">
        <v>247</v>
      </c>
      <c r="E374" s="207">
        <v>35.74</v>
      </c>
      <c r="F374" s="205">
        <v>416.28962554128441</v>
      </c>
      <c r="G374" s="205">
        <v>14878.191216845506</v>
      </c>
      <c r="H374" s="207">
        <v>35.74</v>
      </c>
      <c r="I374" s="207"/>
      <c r="J374" s="207">
        <v>10741.383745145631</v>
      </c>
      <c r="K374" s="123"/>
      <c r="L374" s="267">
        <v>416.28962554128441</v>
      </c>
      <c r="M374" s="205">
        <f t="shared" si="50"/>
        <v>0</v>
      </c>
      <c r="N374" s="207"/>
      <c r="O374" s="207"/>
      <c r="P374" s="207">
        <f t="shared" si="56"/>
        <v>0</v>
      </c>
      <c r="Q374" s="123"/>
      <c r="R374" s="267">
        <v>416.28962554128441</v>
      </c>
      <c r="S374" s="207">
        <f t="shared" si="55"/>
        <v>0</v>
      </c>
      <c r="T374" s="207"/>
      <c r="U374" s="207"/>
      <c r="V374" s="207">
        <f t="shared" si="54"/>
        <v>0</v>
      </c>
      <c r="W374" s="123"/>
      <c r="X374" s="268"/>
      <c r="Y374" s="207"/>
      <c r="Z374" s="267">
        <v>416.28962554128441</v>
      </c>
      <c r="AA374" s="207">
        <v>0</v>
      </c>
      <c r="AB374" s="207"/>
      <c r="AC374" s="207"/>
      <c r="AD374" s="207">
        <v>0</v>
      </c>
    </row>
    <row r="375" spans="1:30" s="216" customFormat="1" ht="23.1" hidden="1" customHeight="1" outlineLevel="2">
      <c r="A375" s="223"/>
      <c r="B375" s="275" t="s">
        <v>876</v>
      </c>
      <c r="C375" s="275" t="s">
        <v>877</v>
      </c>
      <c r="D375" s="275" t="s">
        <v>247</v>
      </c>
      <c r="E375" s="207">
        <v>35.74</v>
      </c>
      <c r="F375" s="205">
        <v>501.25288601834859</v>
      </c>
      <c r="G375" s="205">
        <v>17914.778146295779</v>
      </c>
      <c r="H375" s="207">
        <v>35.74</v>
      </c>
      <c r="I375" s="207"/>
      <c r="J375" s="207">
        <v>12796.43374514563</v>
      </c>
      <c r="K375" s="123"/>
      <c r="L375" s="267">
        <v>501.25288601834859</v>
      </c>
      <c r="M375" s="205">
        <f t="shared" si="50"/>
        <v>0</v>
      </c>
      <c r="N375" s="207"/>
      <c r="O375" s="207"/>
      <c r="P375" s="207">
        <f t="shared" si="56"/>
        <v>0</v>
      </c>
      <c r="Q375" s="123"/>
      <c r="R375" s="267">
        <v>501.25288601834859</v>
      </c>
      <c r="S375" s="207">
        <f t="shared" si="55"/>
        <v>0</v>
      </c>
      <c r="T375" s="207"/>
      <c r="U375" s="207"/>
      <c r="V375" s="207">
        <f t="shared" si="54"/>
        <v>0</v>
      </c>
      <c r="W375" s="123"/>
      <c r="X375" s="268"/>
      <c r="Y375" s="207"/>
      <c r="Z375" s="267">
        <v>501.25288601834859</v>
      </c>
      <c r="AA375" s="207">
        <v>0</v>
      </c>
      <c r="AB375" s="207"/>
      <c r="AC375" s="207"/>
      <c r="AD375" s="207">
        <v>0</v>
      </c>
    </row>
    <row r="376" spans="1:30" s="216" customFormat="1" ht="23.1" hidden="1" customHeight="1" outlineLevel="1">
      <c r="A376" s="223"/>
      <c r="B376" s="274" t="s">
        <v>878</v>
      </c>
      <c r="C376" s="274"/>
      <c r="D376" s="274"/>
      <c r="E376" s="207"/>
      <c r="F376" s="205">
        <v>0</v>
      </c>
      <c r="G376" s="205">
        <v>0</v>
      </c>
      <c r="H376" s="207"/>
      <c r="I376" s="207"/>
      <c r="J376" s="207">
        <v>0</v>
      </c>
      <c r="K376" s="123"/>
      <c r="L376" s="267">
        <v>0</v>
      </c>
      <c r="M376" s="205">
        <f t="shared" si="50"/>
        <v>0</v>
      </c>
      <c r="N376" s="207"/>
      <c r="O376" s="207"/>
      <c r="P376" s="207">
        <f t="shared" si="56"/>
        <v>0</v>
      </c>
      <c r="Q376" s="123"/>
      <c r="R376" s="267">
        <v>0</v>
      </c>
      <c r="S376" s="207">
        <f t="shared" si="55"/>
        <v>0</v>
      </c>
      <c r="T376" s="207"/>
      <c r="U376" s="207"/>
      <c r="V376" s="207">
        <f t="shared" si="54"/>
        <v>0</v>
      </c>
      <c r="W376" s="123"/>
      <c r="X376" s="268"/>
      <c r="Y376" s="207"/>
      <c r="Z376" s="267">
        <v>0</v>
      </c>
      <c r="AA376" s="207">
        <v>0</v>
      </c>
      <c r="AB376" s="207"/>
      <c r="AC376" s="207"/>
      <c r="AD376" s="207">
        <v>0</v>
      </c>
    </row>
    <row r="377" spans="1:30" s="216" customFormat="1" ht="23.1" hidden="1" customHeight="1" outlineLevel="1" collapsed="1">
      <c r="A377" s="223"/>
      <c r="B377" s="274" t="s">
        <v>879</v>
      </c>
      <c r="C377" s="274"/>
      <c r="D377" s="274"/>
      <c r="E377" s="207"/>
      <c r="F377" s="205">
        <v>0</v>
      </c>
      <c r="G377" s="205">
        <v>0</v>
      </c>
      <c r="H377" s="207"/>
      <c r="I377" s="207"/>
      <c r="J377" s="207">
        <v>0</v>
      </c>
      <c r="K377" s="123"/>
      <c r="L377" s="267">
        <v>0</v>
      </c>
      <c r="M377" s="205">
        <f t="shared" si="50"/>
        <v>0</v>
      </c>
      <c r="N377" s="207"/>
      <c r="O377" s="207"/>
      <c r="P377" s="207">
        <f t="shared" si="56"/>
        <v>0</v>
      </c>
      <c r="Q377" s="123"/>
      <c r="R377" s="267">
        <v>0</v>
      </c>
      <c r="S377" s="207">
        <f t="shared" si="55"/>
        <v>0</v>
      </c>
      <c r="T377" s="207"/>
      <c r="U377" s="207"/>
      <c r="V377" s="207">
        <f t="shared" si="54"/>
        <v>0</v>
      </c>
      <c r="W377" s="123"/>
      <c r="X377" s="268"/>
      <c r="Y377" s="207"/>
      <c r="Z377" s="267">
        <v>0</v>
      </c>
      <c r="AA377" s="207">
        <v>0</v>
      </c>
      <c r="AB377" s="207"/>
      <c r="AC377" s="207"/>
      <c r="AD377" s="207">
        <v>0</v>
      </c>
    </row>
    <row r="378" spans="1:30" s="216" customFormat="1" ht="23.1" hidden="1" customHeight="1" outlineLevel="2">
      <c r="A378" s="223"/>
      <c r="B378" s="275" t="s">
        <v>880</v>
      </c>
      <c r="C378" s="275" t="s">
        <v>881</v>
      </c>
      <c r="D378" s="275" t="s">
        <v>247</v>
      </c>
      <c r="E378" s="207">
        <v>149</v>
      </c>
      <c r="F378" s="205">
        <v>242.6641012844037</v>
      </c>
      <c r="G378" s="205">
        <v>36156.951091376148</v>
      </c>
      <c r="H378" s="207">
        <v>149</v>
      </c>
      <c r="I378" s="207"/>
      <c r="J378" s="207">
        <v>28424.453699029131</v>
      </c>
      <c r="K378" s="123"/>
      <c r="L378" s="267">
        <v>242.6641012844037</v>
      </c>
      <c r="M378" s="205">
        <f t="shared" si="50"/>
        <v>0</v>
      </c>
      <c r="N378" s="207"/>
      <c r="O378" s="207"/>
      <c r="P378" s="207">
        <f t="shared" si="56"/>
        <v>0</v>
      </c>
      <c r="Q378" s="123"/>
      <c r="R378" s="267">
        <v>242.6641012844037</v>
      </c>
      <c r="S378" s="207">
        <f t="shared" si="55"/>
        <v>0</v>
      </c>
      <c r="T378" s="207"/>
      <c r="U378" s="207"/>
      <c r="V378" s="207">
        <f t="shared" si="54"/>
        <v>0</v>
      </c>
      <c r="W378" s="123"/>
      <c r="X378" s="268"/>
      <c r="Y378" s="207"/>
      <c r="Z378" s="267">
        <v>242.6641012844037</v>
      </c>
      <c r="AA378" s="207">
        <v>0</v>
      </c>
      <c r="AB378" s="207"/>
      <c r="AC378" s="207"/>
      <c r="AD378" s="207">
        <v>0</v>
      </c>
    </row>
    <row r="379" spans="1:30" s="216" customFormat="1" ht="23.1" hidden="1" customHeight="1" outlineLevel="2">
      <c r="A379" s="223"/>
      <c r="B379" s="275" t="s">
        <v>882</v>
      </c>
      <c r="C379" s="275" t="s">
        <v>883</v>
      </c>
      <c r="D379" s="275" t="s">
        <v>247</v>
      </c>
      <c r="E379" s="207">
        <v>149</v>
      </c>
      <c r="F379" s="205">
        <v>173.47377027522936</v>
      </c>
      <c r="G379" s="205">
        <v>25847.591771009174</v>
      </c>
      <c r="H379" s="207">
        <v>149</v>
      </c>
      <c r="I379" s="207"/>
      <c r="J379" s="207">
        <v>19190.587798058252</v>
      </c>
      <c r="K379" s="123"/>
      <c r="L379" s="267">
        <v>173.47377027522936</v>
      </c>
      <c r="M379" s="205">
        <f t="shared" si="50"/>
        <v>0</v>
      </c>
      <c r="N379" s="207"/>
      <c r="O379" s="207"/>
      <c r="P379" s="207">
        <f t="shared" si="56"/>
        <v>0</v>
      </c>
      <c r="Q379" s="123"/>
      <c r="R379" s="267">
        <v>173.47377027522936</v>
      </c>
      <c r="S379" s="207">
        <f t="shared" si="55"/>
        <v>0</v>
      </c>
      <c r="T379" s="207"/>
      <c r="U379" s="207"/>
      <c r="V379" s="207">
        <f t="shared" si="54"/>
        <v>0</v>
      </c>
      <c r="W379" s="123"/>
      <c r="X379" s="268"/>
      <c r="Y379" s="207"/>
      <c r="Z379" s="267">
        <v>173.47377027522936</v>
      </c>
      <c r="AA379" s="207">
        <v>0</v>
      </c>
      <c r="AB379" s="207"/>
      <c r="AC379" s="207"/>
      <c r="AD379" s="207">
        <v>0</v>
      </c>
    </row>
    <row r="380" spans="1:30" s="216" customFormat="1" ht="23.1" hidden="1" customHeight="1" outlineLevel="2">
      <c r="A380" s="223"/>
      <c r="B380" s="275" t="s">
        <v>884</v>
      </c>
      <c r="C380" s="275" t="s">
        <v>885</v>
      </c>
      <c r="D380" s="275" t="s">
        <v>247</v>
      </c>
      <c r="E380" s="207">
        <v>4161.8999999999996</v>
      </c>
      <c r="F380" s="205">
        <v>31.232866348623851</v>
      </c>
      <c r="G380" s="205">
        <v>129988.06645633759</v>
      </c>
      <c r="H380" s="207">
        <v>4161.8999999999996</v>
      </c>
      <c r="I380" s="207"/>
      <c r="J380" s="207">
        <v>130957.89284388347</v>
      </c>
      <c r="K380" s="123"/>
      <c r="L380" s="267">
        <v>31.232866348623851</v>
      </c>
      <c r="M380" s="205">
        <f t="shared" si="50"/>
        <v>0</v>
      </c>
      <c r="N380" s="207"/>
      <c r="O380" s="207"/>
      <c r="P380" s="207">
        <f t="shared" si="56"/>
        <v>0</v>
      </c>
      <c r="Q380" s="123"/>
      <c r="R380" s="267">
        <v>31.232866348623851</v>
      </c>
      <c r="S380" s="207">
        <f t="shared" si="55"/>
        <v>0</v>
      </c>
      <c r="T380" s="207"/>
      <c r="U380" s="207"/>
      <c r="V380" s="207">
        <f t="shared" si="54"/>
        <v>0</v>
      </c>
      <c r="W380" s="123"/>
      <c r="X380" s="268"/>
      <c r="Y380" s="207"/>
      <c r="Z380" s="267">
        <v>31.232866348623851</v>
      </c>
      <c r="AA380" s="207">
        <v>0</v>
      </c>
      <c r="AB380" s="207"/>
      <c r="AC380" s="207"/>
      <c r="AD380" s="207">
        <v>0</v>
      </c>
    </row>
    <row r="381" spans="1:30" s="216" customFormat="1" ht="23.1" hidden="1" customHeight="1" outlineLevel="2">
      <c r="A381" s="223"/>
      <c r="B381" s="275" t="s">
        <v>886</v>
      </c>
      <c r="C381" s="275" t="s">
        <v>887</v>
      </c>
      <c r="D381" s="275" t="s">
        <v>247</v>
      </c>
      <c r="E381" s="207">
        <v>389.65</v>
      </c>
      <c r="F381" s="205">
        <v>264.40285915596326</v>
      </c>
      <c r="G381" s="205">
        <v>103024.57407012107</v>
      </c>
      <c r="H381" s="207">
        <v>389.65</v>
      </c>
      <c r="I381" s="207"/>
      <c r="J381" s="207">
        <v>83682.606097621348</v>
      </c>
      <c r="K381" s="123"/>
      <c r="L381" s="267">
        <v>264.40285915596326</v>
      </c>
      <c r="M381" s="205">
        <f t="shared" ref="M381:M444" si="57">+L381*K381</f>
        <v>0</v>
      </c>
      <c r="N381" s="207"/>
      <c r="O381" s="207"/>
      <c r="P381" s="207">
        <f t="shared" si="56"/>
        <v>0</v>
      </c>
      <c r="Q381" s="123"/>
      <c r="R381" s="267">
        <v>264.40285915596326</v>
      </c>
      <c r="S381" s="207">
        <f t="shared" si="55"/>
        <v>0</v>
      </c>
      <c r="T381" s="207"/>
      <c r="U381" s="207"/>
      <c r="V381" s="207">
        <f t="shared" si="54"/>
        <v>0</v>
      </c>
      <c r="W381" s="123"/>
      <c r="X381" s="268"/>
      <c r="Y381" s="207"/>
      <c r="Z381" s="267">
        <v>264.40285915596326</v>
      </c>
      <c r="AA381" s="207">
        <v>0</v>
      </c>
      <c r="AB381" s="207"/>
      <c r="AC381" s="207"/>
      <c r="AD381" s="207">
        <v>0</v>
      </c>
    </row>
    <row r="382" spans="1:30" s="216" customFormat="1" ht="23.1" hidden="1" customHeight="1" outlineLevel="2">
      <c r="A382" s="223"/>
      <c r="B382" s="275" t="s">
        <v>888</v>
      </c>
      <c r="C382" s="275" t="s">
        <v>889</v>
      </c>
      <c r="D382" s="275" t="s">
        <v>247</v>
      </c>
      <c r="E382" s="207">
        <v>366.64</v>
      </c>
      <c r="F382" s="205">
        <v>184.70356491743118</v>
      </c>
      <c r="G382" s="205">
        <v>67719.71504132697</v>
      </c>
      <c r="H382" s="207">
        <v>366.64</v>
      </c>
      <c r="I382" s="207"/>
      <c r="J382" s="207">
        <v>55287.805572349505</v>
      </c>
      <c r="K382" s="123"/>
      <c r="L382" s="267">
        <v>184.70356491743118</v>
      </c>
      <c r="M382" s="205">
        <f t="shared" si="57"/>
        <v>0</v>
      </c>
      <c r="N382" s="207"/>
      <c r="O382" s="207"/>
      <c r="P382" s="207">
        <f t="shared" si="56"/>
        <v>0</v>
      </c>
      <c r="Q382" s="123"/>
      <c r="R382" s="267">
        <v>184.70356491743118</v>
      </c>
      <c r="S382" s="207">
        <f t="shared" si="55"/>
        <v>0</v>
      </c>
      <c r="T382" s="207"/>
      <c r="U382" s="207"/>
      <c r="V382" s="207">
        <f t="shared" si="54"/>
        <v>0</v>
      </c>
      <c r="W382" s="123"/>
      <c r="X382" s="268"/>
      <c r="Y382" s="207"/>
      <c r="Z382" s="267">
        <v>184.70356491743118</v>
      </c>
      <c r="AA382" s="207">
        <v>0</v>
      </c>
      <c r="AB382" s="207"/>
      <c r="AC382" s="207"/>
      <c r="AD382" s="207">
        <v>0</v>
      </c>
    </row>
    <row r="383" spans="1:30" s="216" customFormat="1" ht="23.1" hidden="1" customHeight="1" outlineLevel="2">
      <c r="A383" s="223"/>
      <c r="B383" s="275" t="s">
        <v>890</v>
      </c>
      <c r="C383" s="275" t="s">
        <v>891</v>
      </c>
      <c r="D383" s="275" t="s">
        <v>247</v>
      </c>
      <c r="E383" s="207">
        <v>1565.31</v>
      </c>
      <c r="F383" s="205">
        <v>136.67342972477064</v>
      </c>
      <c r="G383" s="205">
        <v>213936.28628248072</v>
      </c>
      <c r="H383" s="207">
        <v>1565.31</v>
      </c>
      <c r="I383" s="207"/>
      <c r="J383" s="207">
        <v>187458.62293776704</v>
      </c>
      <c r="K383" s="123"/>
      <c r="L383" s="267">
        <v>136.67342972477064</v>
      </c>
      <c r="M383" s="205">
        <f t="shared" si="57"/>
        <v>0</v>
      </c>
      <c r="N383" s="207"/>
      <c r="O383" s="207"/>
      <c r="P383" s="207">
        <f t="shared" si="56"/>
        <v>0</v>
      </c>
      <c r="Q383" s="123"/>
      <c r="R383" s="267">
        <v>136.67342972477064</v>
      </c>
      <c r="S383" s="207">
        <f t="shared" si="55"/>
        <v>0</v>
      </c>
      <c r="T383" s="207"/>
      <c r="U383" s="207"/>
      <c r="V383" s="207">
        <f t="shared" si="54"/>
        <v>0</v>
      </c>
      <c r="W383" s="123"/>
      <c r="X383" s="268"/>
      <c r="Y383" s="207"/>
      <c r="Z383" s="267">
        <v>136.67342972477064</v>
      </c>
      <c r="AA383" s="207">
        <v>0</v>
      </c>
      <c r="AB383" s="207"/>
      <c r="AC383" s="207"/>
      <c r="AD383" s="207">
        <v>0</v>
      </c>
    </row>
    <row r="384" spans="1:30" s="216" customFormat="1" ht="23.1" hidden="1" customHeight="1" outlineLevel="2">
      <c r="A384" s="223"/>
      <c r="B384" s="275" t="s">
        <v>892</v>
      </c>
      <c r="C384" s="275" t="s">
        <v>893</v>
      </c>
      <c r="D384" s="275" t="s">
        <v>247</v>
      </c>
      <c r="E384" s="207">
        <v>1565.31</v>
      </c>
      <c r="F384" s="205">
        <v>67.483098715596341</v>
      </c>
      <c r="G384" s="205">
        <v>105631.96925051011</v>
      </c>
      <c r="H384" s="207">
        <v>1565.31</v>
      </c>
      <c r="I384" s="207"/>
      <c r="J384" s="207">
        <v>90452.833451533967</v>
      </c>
      <c r="K384" s="123"/>
      <c r="L384" s="267">
        <v>67.483098715596341</v>
      </c>
      <c r="M384" s="205">
        <f t="shared" si="57"/>
        <v>0</v>
      </c>
      <c r="N384" s="207"/>
      <c r="O384" s="207"/>
      <c r="P384" s="207">
        <f t="shared" si="56"/>
        <v>0</v>
      </c>
      <c r="Q384" s="123"/>
      <c r="R384" s="267">
        <v>67.483098715596341</v>
      </c>
      <c r="S384" s="207">
        <f t="shared" si="55"/>
        <v>0</v>
      </c>
      <c r="T384" s="207"/>
      <c r="U384" s="207"/>
      <c r="V384" s="207">
        <f t="shared" si="54"/>
        <v>0</v>
      </c>
      <c r="W384" s="123"/>
      <c r="X384" s="268"/>
      <c r="Y384" s="207"/>
      <c r="Z384" s="267">
        <v>67.483098715596341</v>
      </c>
      <c r="AA384" s="207">
        <v>0</v>
      </c>
      <c r="AB384" s="207"/>
      <c r="AC384" s="207"/>
      <c r="AD384" s="207">
        <v>0</v>
      </c>
    </row>
    <row r="385" spans="1:30" s="216" customFormat="1" ht="23.1" hidden="1" customHeight="1" outlineLevel="2">
      <c r="A385" s="223"/>
      <c r="B385" s="275" t="s">
        <v>894</v>
      </c>
      <c r="C385" s="275" t="s">
        <v>895</v>
      </c>
      <c r="D385" s="275" t="s">
        <v>247</v>
      </c>
      <c r="E385" s="207">
        <v>320.31</v>
      </c>
      <c r="F385" s="205">
        <v>136.29404477064219</v>
      </c>
      <c r="G385" s="205">
        <v>43656.3454804844</v>
      </c>
      <c r="H385" s="207">
        <v>320.31</v>
      </c>
      <c r="I385" s="207"/>
      <c r="J385" s="207">
        <v>38359.731627087393</v>
      </c>
      <c r="K385" s="123"/>
      <c r="L385" s="267">
        <v>136.29404477064219</v>
      </c>
      <c r="M385" s="205">
        <f t="shared" si="57"/>
        <v>0</v>
      </c>
      <c r="N385" s="207"/>
      <c r="O385" s="207"/>
      <c r="P385" s="207">
        <f t="shared" si="56"/>
        <v>0</v>
      </c>
      <c r="Q385" s="123"/>
      <c r="R385" s="267">
        <v>136.29404477064219</v>
      </c>
      <c r="S385" s="207">
        <f t="shared" si="55"/>
        <v>0</v>
      </c>
      <c r="T385" s="207"/>
      <c r="U385" s="207"/>
      <c r="V385" s="207">
        <f t="shared" si="54"/>
        <v>0</v>
      </c>
      <c r="W385" s="123"/>
      <c r="X385" s="268"/>
      <c r="Y385" s="207"/>
      <c r="Z385" s="267">
        <v>136.29404477064219</v>
      </c>
      <c r="AA385" s="207">
        <v>0</v>
      </c>
      <c r="AB385" s="207"/>
      <c r="AC385" s="207"/>
      <c r="AD385" s="207">
        <v>0</v>
      </c>
    </row>
    <row r="386" spans="1:30" s="216" customFormat="1" ht="23.1" hidden="1" customHeight="1" outlineLevel="2">
      <c r="A386" s="223"/>
      <c r="B386" s="275" t="s">
        <v>749</v>
      </c>
      <c r="C386" s="277" t="s">
        <v>896</v>
      </c>
      <c r="D386" s="275" t="s">
        <v>247</v>
      </c>
      <c r="E386" s="207">
        <v>320.31</v>
      </c>
      <c r="F386" s="205">
        <v>67.103713761467887</v>
      </c>
      <c r="G386" s="205">
        <v>21493.990554935779</v>
      </c>
      <c r="H386" s="207">
        <v>320.31</v>
      </c>
      <c r="I386" s="207"/>
      <c r="J386" s="207">
        <v>27475.11642914563</v>
      </c>
      <c r="K386" s="123"/>
      <c r="L386" s="267">
        <v>67.103713761467887</v>
      </c>
      <c r="M386" s="205">
        <f t="shared" si="57"/>
        <v>0</v>
      </c>
      <c r="N386" s="207"/>
      <c r="O386" s="207"/>
      <c r="P386" s="207">
        <f t="shared" si="56"/>
        <v>0</v>
      </c>
      <c r="Q386" s="123"/>
      <c r="R386" s="267">
        <v>67.103713761467887</v>
      </c>
      <c r="S386" s="207">
        <f t="shared" si="55"/>
        <v>0</v>
      </c>
      <c r="T386" s="207"/>
      <c r="U386" s="207"/>
      <c r="V386" s="207">
        <f t="shared" si="54"/>
        <v>0</v>
      </c>
      <c r="W386" s="123"/>
      <c r="X386" s="268"/>
      <c r="Y386" s="207"/>
      <c r="Z386" s="267">
        <v>67.103713761467887</v>
      </c>
      <c r="AA386" s="207">
        <v>0</v>
      </c>
      <c r="AB386" s="207"/>
      <c r="AC386" s="207"/>
      <c r="AD386" s="207">
        <v>0</v>
      </c>
    </row>
    <row r="387" spans="1:30" s="216" customFormat="1" ht="23.1" hidden="1" customHeight="1" outlineLevel="2">
      <c r="A387" s="223"/>
      <c r="B387" s="275" t="s">
        <v>751</v>
      </c>
      <c r="C387" s="275" t="s">
        <v>897</v>
      </c>
      <c r="D387" s="275" t="s">
        <v>247</v>
      </c>
      <c r="E387" s="207">
        <v>681.98</v>
      </c>
      <c r="F387" s="205">
        <v>26.898393247706423</v>
      </c>
      <c r="G387" s="205">
        <v>18344.166227070826</v>
      </c>
      <c r="H387" s="207">
        <v>681.98</v>
      </c>
      <c r="I387" s="207"/>
      <c r="J387" s="207">
        <v>20186.211392213594</v>
      </c>
      <c r="K387" s="123"/>
      <c r="L387" s="267">
        <v>26.898393247706423</v>
      </c>
      <c r="M387" s="205">
        <f t="shared" si="57"/>
        <v>0</v>
      </c>
      <c r="N387" s="207"/>
      <c r="O387" s="207"/>
      <c r="P387" s="207">
        <f t="shared" si="56"/>
        <v>0</v>
      </c>
      <c r="Q387" s="123"/>
      <c r="R387" s="267">
        <v>26.898393247706423</v>
      </c>
      <c r="S387" s="207">
        <f t="shared" si="55"/>
        <v>0</v>
      </c>
      <c r="T387" s="207"/>
      <c r="U387" s="207"/>
      <c r="V387" s="207">
        <f t="shared" si="54"/>
        <v>0</v>
      </c>
      <c r="W387" s="123"/>
      <c r="X387" s="268"/>
      <c r="Y387" s="207"/>
      <c r="Z387" s="267">
        <v>26.898393247706423</v>
      </c>
      <c r="AA387" s="207">
        <v>0</v>
      </c>
      <c r="AB387" s="207"/>
      <c r="AC387" s="207"/>
      <c r="AD387" s="207">
        <v>0</v>
      </c>
    </row>
    <row r="388" spans="1:30" s="216" customFormat="1" ht="23.1" hidden="1" customHeight="1" outlineLevel="2">
      <c r="A388" s="223"/>
      <c r="B388" s="275" t="s">
        <v>753</v>
      </c>
      <c r="C388" s="275" t="s">
        <v>898</v>
      </c>
      <c r="D388" s="275" t="s">
        <v>247</v>
      </c>
      <c r="E388" s="207">
        <v>19.59</v>
      </c>
      <c r="F388" s="205">
        <v>21.188649688073394</v>
      </c>
      <c r="G388" s="205">
        <v>415.0856473893578</v>
      </c>
      <c r="H388" s="207">
        <v>19.59</v>
      </c>
      <c r="I388" s="207"/>
      <c r="J388" s="207">
        <v>506.72420245631071</v>
      </c>
      <c r="K388" s="123"/>
      <c r="L388" s="267">
        <v>21.188649688073394</v>
      </c>
      <c r="M388" s="205">
        <f t="shared" si="57"/>
        <v>0</v>
      </c>
      <c r="N388" s="207"/>
      <c r="O388" s="207"/>
      <c r="P388" s="207">
        <f t="shared" si="56"/>
        <v>0</v>
      </c>
      <c r="Q388" s="123"/>
      <c r="R388" s="267">
        <v>21.188649688073394</v>
      </c>
      <c r="S388" s="207">
        <f t="shared" si="55"/>
        <v>0</v>
      </c>
      <c r="T388" s="207"/>
      <c r="U388" s="207"/>
      <c r="V388" s="207">
        <f t="shared" si="54"/>
        <v>0</v>
      </c>
      <c r="W388" s="123"/>
      <c r="X388" s="268"/>
      <c r="Y388" s="207"/>
      <c r="Z388" s="267">
        <v>21.188649688073394</v>
      </c>
      <c r="AA388" s="207">
        <v>0</v>
      </c>
      <c r="AB388" s="207"/>
      <c r="AC388" s="207"/>
      <c r="AD388" s="207">
        <v>0</v>
      </c>
    </row>
    <row r="389" spans="1:30" s="216" customFormat="1" ht="23.1" hidden="1" customHeight="1" outlineLevel="2">
      <c r="A389" s="223"/>
      <c r="B389" s="275" t="s">
        <v>755</v>
      </c>
      <c r="C389" s="275" t="s">
        <v>899</v>
      </c>
      <c r="D389" s="275" t="s">
        <v>247</v>
      </c>
      <c r="E389" s="207">
        <v>45.72</v>
      </c>
      <c r="F389" s="205">
        <v>13.088780917431194</v>
      </c>
      <c r="G389" s="205">
        <v>598.41906354495416</v>
      </c>
      <c r="H389" s="207">
        <v>45.72</v>
      </c>
      <c r="I389" s="207"/>
      <c r="J389" s="207">
        <v>1182.6151371262135</v>
      </c>
      <c r="K389" s="123"/>
      <c r="L389" s="267">
        <v>13.088780917431194</v>
      </c>
      <c r="M389" s="205">
        <f t="shared" si="57"/>
        <v>0</v>
      </c>
      <c r="N389" s="207"/>
      <c r="O389" s="207"/>
      <c r="P389" s="207">
        <f t="shared" si="56"/>
        <v>0</v>
      </c>
      <c r="Q389" s="123"/>
      <c r="R389" s="267">
        <v>13.088780917431194</v>
      </c>
      <c r="S389" s="207">
        <f t="shared" si="55"/>
        <v>0</v>
      </c>
      <c r="T389" s="207"/>
      <c r="U389" s="207"/>
      <c r="V389" s="207">
        <f t="shared" si="54"/>
        <v>0</v>
      </c>
      <c r="W389" s="123"/>
      <c r="X389" s="268"/>
      <c r="Y389" s="207"/>
      <c r="Z389" s="267">
        <v>13.088780917431194</v>
      </c>
      <c r="AA389" s="207">
        <v>0</v>
      </c>
      <c r="AB389" s="207"/>
      <c r="AC389" s="207"/>
      <c r="AD389" s="207">
        <v>0</v>
      </c>
    </row>
    <row r="390" spans="1:30" s="216" customFormat="1" ht="23.1" hidden="1" customHeight="1" outlineLevel="1" collapsed="1">
      <c r="A390" s="223"/>
      <c r="B390" s="274" t="s">
        <v>900</v>
      </c>
      <c r="C390" s="274"/>
      <c r="D390" s="274"/>
      <c r="E390" s="207"/>
      <c r="F390" s="205">
        <v>0</v>
      </c>
      <c r="G390" s="205">
        <v>0</v>
      </c>
      <c r="H390" s="207"/>
      <c r="I390" s="207"/>
      <c r="J390" s="207">
        <v>0</v>
      </c>
      <c r="K390" s="123"/>
      <c r="L390" s="267">
        <v>0</v>
      </c>
      <c r="M390" s="205">
        <f t="shared" si="57"/>
        <v>0</v>
      </c>
      <c r="N390" s="207"/>
      <c r="O390" s="207"/>
      <c r="P390" s="207">
        <f t="shared" si="56"/>
        <v>0</v>
      </c>
      <c r="Q390" s="123"/>
      <c r="R390" s="267">
        <v>0</v>
      </c>
      <c r="S390" s="207">
        <f t="shared" si="55"/>
        <v>0</v>
      </c>
      <c r="T390" s="207"/>
      <c r="U390" s="207"/>
      <c r="V390" s="207">
        <f t="shared" si="54"/>
        <v>0</v>
      </c>
      <c r="W390" s="123"/>
      <c r="X390" s="268"/>
      <c r="Y390" s="207"/>
      <c r="Z390" s="267">
        <v>0</v>
      </c>
      <c r="AA390" s="207">
        <v>0</v>
      </c>
      <c r="AB390" s="207"/>
      <c r="AC390" s="207"/>
      <c r="AD390" s="207">
        <v>0</v>
      </c>
    </row>
    <row r="391" spans="1:30" s="216" customFormat="1" ht="23.1" hidden="1" customHeight="1" outlineLevel="2">
      <c r="A391" s="223"/>
      <c r="B391" s="275" t="s">
        <v>901</v>
      </c>
      <c r="C391" s="275" t="s">
        <v>902</v>
      </c>
      <c r="D391" s="275" t="s">
        <v>247</v>
      </c>
      <c r="E391" s="207">
        <v>185</v>
      </c>
      <c r="F391" s="205">
        <v>175.32327192660551</v>
      </c>
      <c r="G391" s="205">
        <v>32434.805306422018</v>
      </c>
      <c r="H391" s="207">
        <v>185</v>
      </c>
      <c r="I391" s="207"/>
      <c r="J391" s="207">
        <v>26078.689883495146</v>
      </c>
      <c r="K391" s="123"/>
      <c r="L391" s="267">
        <v>175.32327192660551</v>
      </c>
      <c r="M391" s="205">
        <f t="shared" si="57"/>
        <v>0</v>
      </c>
      <c r="N391" s="207"/>
      <c r="O391" s="207"/>
      <c r="P391" s="207">
        <f t="shared" si="56"/>
        <v>0</v>
      </c>
      <c r="Q391" s="123"/>
      <c r="R391" s="267">
        <v>175.32327192660551</v>
      </c>
      <c r="S391" s="207">
        <f t="shared" si="55"/>
        <v>0</v>
      </c>
      <c r="T391" s="207"/>
      <c r="U391" s="207"/>
      <c r="V391" s="207">
        <f t="shared" si="54"/>
        <v>0</v>
      </c>
      <c r="W391" s="123"/>
      <c r="X391" s="268"/>
      <c r="Y391" s="207"/>
      <c r="Z391" s="267">
        <v>175.32327192660551</v>
      </c>
      <c r="AA391" s="207">
        <v>0</v>
      </c>
      <c r="AB391" s="207"/>
      <c r="AC391" s="207"/>
      <c r="AD391" s="207">
        <v>0</v>
      </c>
    </row>
    <row r="392" spans="1:30" s="216" customFormat="1" ht="23.1" hidden="1" customHeight="1" outlineLevel="2">
      <c r="A392" s="223"/>
      <c r="B392" s="275" t="s">
        <v>903</v>
      </c>
      <c r="C392" s="275" t="s">
        <v>904</v>
      </c>
      <c r="D392" s="275" t="s">
        <v>247</v>
      </c>
      <c r="E392" s="207">
        <v>123.33</v>
      </c>
      <c r="F392" s="205">
        <v>105.7914944587156</v>
      </c>
      <c r="G392" s="205">
        <v>13047.265011593396</v>
      </c>
      <c r="H392" s="207">
        <v>123.33</v>
      </c>
      <c r="I392" s="207"/>
      <c r="J392" s="207">
        <v>7087.2683693592226</v>
      </c>
      <c r="K392" s="123"/>
      <c r="L392" s="267">
        <v>105.7914944587156</v>
      </c>
      <c r="M392" s="205">
        <f t="shared" si="57"/>
        <v>0</v>
      </c>
      <c r="N392" s="207"/>
      <c r="O392" s="207"/>
      <c r="P392" s="207">
        <f t="shared" si="56"/>
        <v>0</v>
      </c>
      <c r="Q392" s="123"/>
      <c r="R392" s="267">
        <v>105.7914944587156</v>
      </c>
      <c r="S392" s="207">
        <f t="shared" si="55"/>
        <v>0</v>
      </c>
      <c r="T392" s="207"/>
      <c r="U392" s="207"/>
      <c r="V392" s="207">
        <f t="shared" si="54"/>
        <v>0</v>
      </c>
      <c r="W392" s="123"/>
      <c r="X392" s="268"/>
      <c r="Y392" s="207"/>
      <c r="Z392" s="267">
        <v>105.7914944587156</v>
      </c>
      <c r="AA392" s="207">
        <v>0</v>
      </c>
      <c r="AB392" s="207"/>
      <c r="AC392" s="207"/>
      <c r="AD392" s="207">
        <v>0</v>
      </c>
    </row>
    <row r="393" spans="1:30" s="216" customFormat="1" ht="23.1" hidden="1" customHeight="1" outlineLevel="1" collapsed="1">
      <c r="A393" s="223"/>
      <c r="B393" s="274" t="s">
        <v>905</v>
      </c>
      <c r="C393" s="274"/>
      <c r="D393" s="274"/>
      <c r="E393" s="207"/>
      <c r="F393" s="205">
        <v>0</v>
      </c>
      <c r="G393" s="205">
        <v>0</v>
      </c>
      <c r="H393" s="207"/>
      <c r="I393" s="207"/>
      <c r="J393" s="207">
        <v>0</v>
      </c>
      <c r="K393" s="123"/>
      <c r="L393" s="267">
        <v>0</v>
      </c>
      <c r="M393" s="205">
        <f t="shared" si="57"/>
        <v>0</v>
      </c>
      <c r="N393" s="207"/>
      <c r="O393" s="207"/>
      <c r="P393" s="207">
        <f t="shared" si="56"/>
        <v>0</v>
      </c>
      <c r="Q393" s="123"/>
      <c r="R393" s="267">
        <v>0</v>
      </c>
      <c r="S393" s="207">
        <f t="shared" si="55"/>
        <v>0</v>
      </c>
      <c r="T393" s="207"/>
      <c r="U393" s="207"/>
      <c r="V393" s="207">
        <f t="shared" si="54"/>
        <v>0</v>
      </c>
      <c r="W393" s="123"/>
      <c r="X393" s="268"/>
      <c r="Y393" s="207"/>
      <c r="Z393" s="267">
        <v>0</v>
      </c>
      <c r="AA393" s="207">
        <v>0</v>
      </c>
      <c r="AB393" s="207"/>
      <c r="AC393" s="207"/>
      <c r="AD393" s="207">
        <v>0</v>
      </c>
    </row>
    <row r="394" spans="1:30" s="216" customFormat="1" ht="23.1" hidden="1" customHeight="1" outlineLevel="2">
      <c r="A394" s="223"/>
      <c r="B394" s="275" t="s">
        <v>763</v>
      </c>
      <c r="C394" s="275" t="s">
        <v>906</v>
      </c>
      <c r="D394" s="275" t="s">
        <v>397</v>
      </c>
      <c r="E394" s="207">
        <v>722.15</v>
      </c>
      <c r="F394" s="205">
        <v>6.8573830458715594</v>
      </c>
      <c r="G394" s="205">
        <v>4952.0591665761467</v>
      </c>
      <c r="H394" s="207">
        <v>722.15</v>
      </c>
      <c r="I394" s="207"/>
      <c r="J394" s="207">
        <v>7356.2873343737865</v>
      </c>
      <c r="K394" s="123"/>
      <c r="L394" s="267">
        <v>6.8573830458715594</v>
      </c>
      <c r="M394" s="205">
        <f t="shared" si="57"/>
        <v>0</v>
      </c>
      <c r="N394" s="207"/>
      <c r="O394" s="207"/>
      <c r="P394" s="207">
        <f t="shared" si="56"/>
        <v>0</v>
      </c>
      <c r="Q394" s="123"/>
      <c r="R394" s="267">
        <v>6.8573830458715594</v>
      </c>
      <c r="S394" s="207">
        <f t="shared" si="55"/>
        <v>0</v>
      </c>
      <c r="T394" s="207"/>
      <c r="U394" s="207"/>
      <c r="V394" s="207">
        <f t="shared" si="54"/>
        <v>0</v>
      </c>
      <c r="W394" s="123"/>
      <c r="X394" s="268"/>
      <c r="Y394" s="207"/>
      <c r="Z394" s="267">
        <v>6.8573830458715594</v>
      </c>
      <c r="AA394" s="207">
        <v>0</v>
      </c>
      <c r="AB394" s="207"/>
      <c r="AC394" s="207"/>
      <c r="AD394" s="207">
        <v>0</v>
      </c>
    </row>
    <row r="395" spans="1:30" s="216" customFormat="1" ht="23.1" hidden="1" customHeight="1" outlineLevel="2">
      <c r="A395" s="223"/>
      <c r="B395" s="275" t="s">
        <v>765</v>
      </c>
      <c r="C395" s="275" t="s">
        <v>907</v>
      </c>
      <c r="D395" s="275" t="s">
        <v>397</v>
      </c>
      <c r="E395" s="207">
        <v>285.29000000000002</v>
      </c>
      <c r="F395" s="205">
        <v>17.802638972477066</v>
      </c>
      <c r="G395" s="205">
        <v>5078.9148724579827</v>
      </c>
      <c r="H395" s="207">
        <v>285.29000000000002</v>
      </c>
      <c r="I395" s="207"/>
      <c r="J395" s="207">
        <v>5361.7402600000005</v>
      </c>
      <c r="K395" s="123"/>
      <c r="L395" s="267">
        <v>17.802638972477066</v>
      </c>
      <c r="M395" s="205">
        <f t="shared" si="57"/>
        <v>0</v>
      </c>
      <c r="N395" s="207"/>
      <c r="O395" s="207"/>
      <c r="P395" s="207">
        <f t="shared" si="56"/>
        <v>0</v>
      </c>
      <c r="Q395" s="123"/>
      <c r="R395" s="267">
        <v>17.802638972477066</v>
      </c>
      <c r="S395" s="207">
        <f t="shared" si="55"/>
        <v>0</v>
      </c>
      <c r="T395" s="207"/>
      <c r="U395" s="207"/>
      <c r="V395" s="207">
        <f t="shared" si="54"/>
        <v>0</v>
      </c>
      <c r="W395" s="123"/>
      <c r="X395" s="268"/>
      <c r="Y395" s="207"/>
      <c r="Z395" s="267">
        <v>17.802638972477066</v>
      </c>
      <c r="AA395" s="207">
        <v>0</v>
      </c>
      <c r="AB395" s="207"/>
      <c r="AC395" s="207"/>
      <c r="AD395" s="207">
        <v>0</v>
      </c>
    </row>
    <row r="396" spans="1:30" s="216" customFormat="1" ht="23.1" hidden="1" customHeight="1" outlineLevel="2">
      <c r="A396" s="223"/>
      <c r="B396" s="275" t="s">
        <v>767</v>
      </c>
      <c r="C396" s="275" t="s">
        <v>908</v>
      </c>
      <c r="D396" s="275" t="s">
        <v>397</v>
      </c>
      <c r="E396" s="207">
        <v>26</v>
      </c>
      <c r="F396" s="205">
        <v>5.3303586055045873</v>
      </c>
      <c r="G396" s="205">
        <v>138.58932374311928</v>
      </c>
      <c r="H396" s="207">
        <v>26</v>
      </c>
      <c r="I396" s="207"/>
      <c r="J396" s="207">
        <v>453.375</v>
      </c>
      <c r="K396" s="123"/>
      <c r="L396" s="267">
        <v>5.3303586055045873</v>
      </c>
      <c r="M396" s="205">
        <f t="shared" si="57"/>
        <v>0</v>
      </c>
      <c r="N396" s="207"/>
      <c r="O396" s="207"/>
      <c r="P396" s="207">
        <f t="shared" si="56"/>
        <v>0</v>
      </c>
      <c r="Q396" s="123"/>
      <c r="R396" s="267">
        <v>5.3303586055045873</v>
      </c>
      <c r="S396" s="207">
        <f t="shared" si="55"/>
        <v>0</v>
      </c>
      <c r="T396" s="207"/>
      <c r="U396" s="207"/>
      <c r="V396" s="207">
        <f t="shared" si="54"/>
        <v>0</v>
      </c>
      <c r="W396" s="123"/>
      <c r="X396" s="268"/>
      <c r="Y396" s="207"/>
      <c r="Z396" s="267">
        <v>5.3303586055045873</v>
      </c>
      <c r="AA396" s="207">
        <v>0</v>
      </c>
      <c r="AB396" s="207"/>
      <c r="AC396" s="207"/>
      <c r="AD396" s="207">
        <v>0</v>
      </c>
    </row>
    <row r="397" spans="1:30" s="216" customFormat="1" ht="23.1" hidden="1" customHeight="1" outlineLevel="2">
      <c r="A397" s="223"/>
      <c r="B397" s="275" t="s">
        <v>909</v>
      </c>
      <c r="C397" s="275" t="s">
        <v>910</v>
      </c>
      <c r="D397" s="275" t="s">
        <v>397</v>
      </c>
      <c r="E397" s="207">
        <v>56.69</v>
      </c>
      <c r="F397" s="205">
        <v>59.80055339449541</v>
      </c>
      <c r="G397" s="205">
        <v>3390.0933719339446</v>
      </c>
      <c r="H397" s="207">
        <v>56.69</v>
      </c>
      <c r="I397" s="207"/>
      <c r="J397" s="207">
        <v>1814.08</v>
      </c>
      <c r="K397" s="123"/>
      <c r="L397" s="267">
        <v>59.80055339449541</v>
      </c>
      <c r="M397" s="205">
        <f t="shared" si="57"/>
        <v>0</v>
      </c>
      <c r="N397" s="207"/>
      <c r="O397" s="207"/>
      <c r="P397" s="207">
        <f t="shared" si="56"/>
        <v>0</v>
      </c>
      <c r="Q397" s="123"/>
      <c r="R397" s="267">
        <v>59.80055339449541</v>
      </c>
      <c r="S397" s="207">
        <f t="shared" si="55"/>
        <v>0</v>
      </c>
      <c r="T397" s="207"/>
      <c r="U397" s="207"/>
      <c r="V397" s="207">
        <f t="shared" si="54"/>
        <v>0</v>
      </c>
      <c r="W397" s="123"/>
      <c r="X397" s="268"/>
      <c r="Y397" s="207"/>
      <c r="Z397" s="267">
        <v>59.80055339449541</v>
      </c>
      <c r="AA397" s="207">
        <v>0</v>
      </c>
      <c r="AB397" s="207"/>
      <c r="AC397" s="207"/>
      <c r="AD397" s="207">
        <v>0</v>
      </c>
    </row>
    <row r="398" spans="1:30" s="216" customFormat="1" ht="23.1" hidden="1" customHeight="1" outlineLevel="1" collapsed="1">
      <c r="A398" s="223"/>
      <c r="B398" s="274" t="s">
        <v>911</v>
      </c>
      <c r="C398" s="274"/>
      <c r="D398" s="274"/>
      <c r="E398" s="207"/>
      <c r="F398" s="205">
        <v>0</v>
      </c>
      <c r="G398" s="205">
        <v>0</v>
      </c>
      <c r="H398" s="207"/>
      <c r="I398" s="207"/>
      <c r="J398" s="207">
        <v>0</v>
      </c>
      <c r="K398" s="123"/>
      <c r="L398" s="267">
        <v>0</v>
      </c>
      <c r="M398" s="205">
        <f t="shared" si="57"/>
        <v>0</v>
      </c>
      <c r="N398" s="207"/>
      <c r="O398" s="207"/>
      <c r="P398" s="207">
        <f t="shared" si="56"/>
        <v>0</v>
      </c>
      <c r="Q398" s="123"/>
      <c r="R398" s="267">
        <v>0</v>
      </c>
      <c r="S398" s="207">
        <f t="shared" si="55"/>
        <v>0</v>
      </c>
      <c r="T398" s="207"/>
      <c r="U398" s="207"/>
      <c r="V398" s="207">
        <f t="shared" si="54"/>
        <v>0</v>
      </c>
      <c r="W398" s="123"/>
      <c r="X398" s="268"/>
      <c r="Y398" s="207"/>
      <c r="Z398" s="267">
        <v>0</v>
      </c>
      <c r="AA398" s="207">
        <v>0</v>
      </c>
      <c r="AB398" s="207"/>
      <c r="AC398" s="207"/>
      <c r="AD398" s="207">
        <v>0</v>
      </c>
    </row>
    <row r="399" spans="1:30" s="216" customFormat="1" ht="23.1" hidden="1" customHeight="1" outlineLevel="2">
      <c r="A399" s="223"/>
      <c r="B399" s="275" t="s">
        <v>912</v>
      </c>
      <c r="C399" s="275" t="s">
        <v>913</v>
      </c>
      <c r="D399" s="275" t="s">
        <v>247</v>
      </c>
      <c r="E399" s="207">
        <v>106.15</v>
      </c>
      <c r="F399" s="205">
        <v>150.91933475229357</v>
      </c>
      <c r="G399" s="205">
        <v>16020.087383955963</v>
      </c>
      <c r="H399" s="207">
        <v>106.15</v>
      </c>
      <c r="I399" s="207"/>
      <c r="J399" s="207">
        <v>17514.75</v>
      </c>
      <c r="K399" s="123"/>
      <c r="L399" s="267">
        <v>150.91933475229357</v>
      </c>
      <c r="M399" s="205">
        <f t="shared" si="57"/>
        <v>0</v>
      </c>
      <c r="N399" s="207"/>
      <c r="O399" s="207"/>
      <c r="P399" s="207">
        <f t="shared" si="56"/>
        <v>0</v>
      </c>
      <c r="Q399" s="123"/>
      <c r="R399" s="267">
        <v>150.91933475229357</v>
      </c>
      <c r="S399" s="207">
        <f t="shared" si="55"/>
        <v>0</v>
      </c>
      <c r="T399" s="207"/>
      <c r="U399" s="207"/>
      <c r="V399" s="207">
        <f t="shared" si="54"/>
        <v>0</v>
      </c>
      <c r="W399" s="123"/>
      <c r="X399" s="268"/>
      <c r="Y399" s="207"/>
      <c r="Z399" s="267">
        <v>150.91933475229357</v>
      </c>
      <c r="AA399" s="207">
        <v>0</v>
      </c>
      <c r="AB399" s="207"/>
      <c r="AC399" s="207"/>
      <c r="AD399" s="207">
        <v>0</v>
      </c>
    </row>
    <row r="400" spans="1:30" s="216" customFormat="1" ht="23.1" hidden="1" customHeight="1" outlineLevel="2">
      <c r="A400" s="223"/>
      <c r="B400" s="275" t="s">
        <v>914</v>
      </c>
      <c r="C400" s="275" t="s">
        <v>915</v>
      </c>
      <c r="D400" s="275" t="s">
        <v>247</v>
      </c>
      <c r="E400" s="207">
        <v>424.6</v>
      </c>
      <c r="F400" s="205">
        <v>247.91858289908259</v>
      </c>
      <c r="G400" s="205">
        <v>105266.23029895047</v>
      </c>
      <c r="H400" s="207">
        <v>424.6</v>
      </c>
      <c r="I400" s="207"/>
      <c r="J400" s="207">
        <v>93412</v>
      </c>
      <c r="K400" s="123"/>
      <c r="L400" s="267">
        <v>247.91858289908259</v>
      </c>
      <c r="M400" s="205">
        <f t="shared" si="57"/>
        <v>0</v>
      </c>
      <c r="N400" s="207"/>
      <c r="O400" s="207"/>
      <c r="P400" s="207">
        <f t="shared" si="56"/>
        <v>0</v>
      </c>
      <c r="Q400" s="123"/>
      <c r="R400" s="267">
        <v>247.91858289908259</v>
      </c>
      <c r="S400" s="207">
        <f t="shared" si="55"/>
        <v>0</v>
      </c>
      <c r="T400" s="207"/>
      <c r="U400" s="207"/>
      <c r="V400" s="207">
        <f t="shared" si="54"/>
        <v>0</v>
      </c>
      <c r="W400" s="123"/>
      <c r="X400" s="268"/>
      <c r="Y400" s="207"/>
      <c r="Z400" s="267">
        <v>247.91858289908259</v>
      </c>
      <c r="AA400" s="207">
        <v>0</v>
      </c>
      <c r="AB400" s="207"/>
      <c r="AC400" s="207"/>
      <c r="AD400" s="207">
        <v>0</v>
      </c>
    </row>
    <row r="401" spans="1:30" s="216" customFormat="1" ht="23.1" hidden="1" customHeight="1" outlineLevel="2">
      <c r="A401" s="223"/>
      <c r="B401" s="275" t="s">
        <v>770</v>
      </c>
      <c r="C401" s="275" t="s">
        <v>916</v>
      </c>
      <c r="D401" s="275" t="s">
        <v>247</v>
      </c>
      <c r="E401" s="207">
        <v>146.99</v>
      </c>
      <c r="F401" s="205">
        <v>49.073443816513766</v>
      </c>
      <c r="G401" s="205">
        <v>7213.3055065893586</v>
      </c>
      <c r="H401" s="207">
        <v>146.99</v>
      </c>
      <c r="I401" s="207"/>
      <c r="J401" s="207">
        <v>3924.6330000000003</v>
      </c>
      <c r="K401" s="123"/>
      <c r="L401" s="267">
        <v>49.073443816513766</v>
      </c>
      <c r="M401" s="205">
        <f t="shared" si="57"/>
        <v>0</v>
      </c>
      <c r="N401" s="207"/>
      <c r="O401" s="207"/>
      <c r="P401" s="207">
        <f t="shared" si="56"/>
        <v>0</v>
      </c>
      <c r="Q401" s="123"/>
      <c r="R401" s="267">
        <v>49.073443816513766</v>
      </c>
      <c r="S401" s="207">
        <f t="shared" si="55"/>
        <v>0</v>
      </c>
      <c r="T401" s="207"/>
      <c r="U401" s="207"/>
      <c r="V401" s="207">
        <f t="shared" si="54"/>
        <v>0</v>
      </c>
      <c r="W401" s="123"/>
      <c r="X401" s="268"/>
      <c r="Y401" s="207"/>
      <c r="Z401" s="267">
        <v>49.073443816513766</v>
      </c>
      <c r="AA401" s="207">
        <v>0</v>
      </c>
      <c r="AB401" s="207"/>
      <c r="AC401" s="207"/>
      <c r="AD401" s="207">
        <v>0</v>
      </c>
    </row>
    <row r="402" spans="1:30" s="216" customFormat="1" ht="23.1" hidden="1" customHeight="1" outlineLevel="2">
      <c r="A402" s="223"/>
      <c r="B402" s="275" t="s">
        <v>917</v>
      </c>
      <c r="C402" s="275" t="s">
        <v>918</v>
      </c>
      <c r="D402" s="275" t="s">
        <v>247</v>
      </c>
      <c r="E402" s="207">
        <v>527.5</v>
      </c>
      <c r="F402" s="205">
        <v>49.490767266055045</v>
      </c>
      <c r="G402" s="205">
        <v>26106.379732844038</v>
      </c>
      <c r="H402" s="207">
        <v>527.5</v>
      </c>
      <c r="I402" s="207"/>
      <c r="J402" s="207">
        <v>14011.71875</v>
      </c>
      <c r="K402" s="123"/>
      <c r="L402" s="267">
        <v>49.490767266055045</v>
      </c>
      <c r="M402" s="205">
        <f t="shared" si="57"/>
        <v>0</v>
      </c>
      <c r="N402" s="207"/>
      <c r="O402" s="207"/>
      <c r="P402" s="207">
        <f t="shared" si="56"/>
        <v>0</v>
      </c>
      <c r="Q402" s="123"/>
      <c r="R402" s="267">
        <v>49.490767266055045</v>
      </c>
      <c r="S402" s="207">
        <f t="shared" si="55"/>
        <v>0</v>
      </c>
      <c r="T402" s="207"/>
      <c r="U402" s="207"/>
      <c r="V402" s="207">
        <f t="shared" si="54"/>
        <v>0</v>
      </c>
      <c r="W402" s="123"/>
      <c r="X402" s="268"/>
      <c r="Y402" s="207"/>
      <c r="Z402" s="267">
        <v>49.490767266055045</v>
      </c>
      <c r="AA402" s="207">
        <v>0</v>
      </c>
      <c r="AB402" s="207"/>
      <c r="AC402" s="207"/>
      <c r="AD402" s="207">
        <v>0</v>
      </c>
    </row>
    <row r="403" spans="1:30" s="216" customFormat="1" ht="23.1" hidden="1" customHeight="1" outlineLevel="2">
      <c r="A403" s="223"/>
      <c r="B403" s="275" t="s">
        <v>774</v>
      </c>
      <c r="C403" s="275" t="s">
        <v>919</v>
      </c>
      <c r="D403" s="275" t="s">
        <v>247</v>
      </c>
      <c r="E403" s="207">
        <v>1183.27</v>
      </c>
      <c r="F403" s="205">
        <v>281.28548961467891</v>
      </c>
      <c r="G403" s="205">
        <v>332836.68129636109</v>
      </c>
      <c r="H403" s="207">
        <v>1183.27</v>
      </c>
      <c r="I403" s="207"/>
      <c r="J403" s="207">
        <v>218904.95</v>
      </c>
      <c r="K403" s="123"/>
      <c r="L403" s="267">
        <v>281.28548961467891</v>
      </c>
      <c r="M403" s="205">
        <f t="shared" si="57"/>
        <v>0</v>
      </c>
      <c r="N403" s="207"/>
      <c r="O403" s="207"/>
      <c r="P403" s="207">
        <f t="shared" si="56"/>
        <v>0</v>
      </c>
      <c r="Q403" s="123"/>
      <c r="R403" s="267">
        <v>281.28548961467891</v>
      </c>
      <c r="S403" s="207">
        <f t="shared" si="55"/>
        <v>0</v>
      </c>
      <c r="T403" s="207"/>
      <c r="U403" s="207"/>
      <c r="V403" s="207">
        <f t="shared" si="54"/>
        <v>0</v>
      </c>
      <c r="W403" s="123"/>
      <c r="X403" s="268"/>
      <c r="Y403" s="207"/>
      <c r="Z403" s="267">
        <v>281.28548961467891</v>
      </c>
      <c r="AA403" s="207">
        <v>0</v>
      </c>
      <c r="AB403" s="207"/>
      <c r="AC403" s="207"/>
      <c r="AD403" s="207">
        <v>0</v>
      </c>
    </row>
    <row r="404" spans="1:30" s="216" customFormat="1" ht="23.1" hidden="1" customHeight="1" outlineLevel="1" collapsed="1">
      <c r="A404" s="223"/>
      <c r="B404" s="274" t="s">
        <v>920</v>
      </c>
      <c r="C404" s="274"/>
      <c r="D404" s="274"/>
      <c r="E404" s="207"/>
      <c r="F404" s="205">
        <v>0</v>
      </c>
      <c r="G404" s="205">
        <v>0</v>
      </c>
      <c r="H404" s="207"/>
      <c r="I404" s="207"/>
      <c r="J404" s="207">
        <v>0</v>
      </c>
      <c r="K404" s="123"/>
      <c r="L404" s="267">
        <v>0</v>
      </c>
      <c r="M404" s="205">
        <f t="shared" si="57"/>
        <v>0</v>
      </c>
      <c r="N404" s="207"/>
      <c r="O404" s="207"/>
      <c r="P404" s="207">
        <f t="shared" si="56"/>
        <v>0</v>
      </c>
      <c r="Q404" s="123"/>
      <c r="R404" s="267">
        <v>0</v>
      </c>
      <c r="S404" s="207">
        <f t="shared" si="55"/>
        <v>0</v>
      </c>
      <c r="T404" s="207"/>
      <c r="U404" s="207"/>
      <c r="V404" s="207">
        <f t="shared" si="54"/>
        <v>0</v>
      </c>
      <c r="W404" s="123"/>
      <c r="X404" s="268"/>
      <c r="Y404" s="207"/>
      <c r="Z404" s="267">
        <v>0</v>
      </c>
      <c r="AA404" s="207">
        <v>0</v>
      </c>
      <c r="AB404" s="207"/>
      <c r="AC404" s="207"/>
      <c r="AD404" s="207">
        <v>0</v>
      </c>
    </row>
    <row r="405" spans="1:30" s="216" customFormat="1" ht="23.1" hidden="1" customHeight="1" outlineLevel="2">
      <c r="A405" s="223"/>
      <c r="B405" s="275" t="s">
        <v>921</v>
      </c>
      <c r="C405" s="275" t="s">
        <v>922</v>
      </c>
      <c r="D405" s="275" t="s">
        <v>247</v>
      </c>
      <c r="E405" s="207">
        <v>100</v>
      </c>
      <c r="F405" s="205">
        <v>25.380853431192662</v>
      </c>
      <c r="G405" s="205">
        <v>2538.0853431192663</v>
      </c>
      <c r="H405" s="207">
        <v>100</v>
      </c>
      <c r="I405" s="207"/>
      <c r="J405" s="207">
        <v>2346.589126213592</v>
      </c>
      <c r="K405" s="123"/>
      <c r="L405" s="267">
        <v>25.380853431192662</v>
      </c>
      <c r="M405" s="205">
        <f t="shared" si="57"/>
        <v>0</v>
      </c>
      <c r="N405" s="207"/>
      <c r="O405" s="207"/>
      <c r="P405" s="207">
        <f t="shared" si="56"/>
        <v>0</v>
      </c>
      <c r="Q405" s="123"/>
      <c r="R405" s="267">
        <v>25.380853431192662</v>
      </c>
      <c r="S405" s="207">
        <f t="shared" si="55"/>
        <v>0</v>
      </c>
      <c r="T405" s="207"/>
      <c r="U405" s="207"/>
      <c r="V405" s="207">
        <f t="shared" si="54"/>
        <v>0</v>
      </c>
      <c r="W405" s="123"/>
      <c r="X405" s="268"/>
      <c r="Y405" s="207"/>
      <c r="Z405" s="267">
        <v>25.380853431192662</v>
      </c>
      <c r="AA405" s="207">
        <v>0</v>
      </c>
      <c r="AB405" s="207"/>
      <c r="AC405" s="207"/>
      <c r="AD405" s="207">
        <v>0</v>
      </c>
    </row>
    <row r="406" spans="1:30" s="216" customFormat="1" ht="23.1" hidden="1" customHeight="1" outlineLevel="2">
      <c r="A406" s="223"/>
      <c r="B406" s="275" t="s">
        <v>923</v>
      </c>
      <c r="C406" s="275" t="s">
        <v>924</v>
      </c>
      <c r="D406" s="275" t="s">
        <v>247</v>
      </c>
      <c r="E406" s="207">
        <v>100</v>
      </c>
      <c r="F406" s="205">
        <v>160.84025130275231</v>
      </c>
      <c r="G406" s="205">
        <v>16084.025130275231</v>
      </c>
      <c r="H406" s="207">
        <v>100</v>
      </c>
      <c r="I406" s="207"/>
      <c r="J406" s="207">
        <v>11326.137864077669</v>
      </c>
      <c r="K406" s="123"/>
      <c r="L406" s="267">
        <v>160.84025130275231</v>
      </c>
      <c r="M406" s="205">
        <f t="shared" si="57"/>
        <v>0</v>
      </c>
      <c r="N406" s="207"/>
      <c r="O406" s="207"/>
      <c r="P406" s="207">
        <f t="shared" si="56"/>
        <v>0</v>
      </c>
      <c r="Q406" s="123"/>
      <c r="R406" s="267">
        <v>160.84025130275231</v>
      </c>
      <c r="S406" s="207">
        <f t="shared" si="55"/>
        <v>0</v>
      </c>
      <c r="T406" s="207"/>
      <c r="U406" s="207"/>
      <c r="V406" s="207">
        <f t="shared" si="54"/>
        <v>0</v>
      </c>
      <c r="W406" s="123"/>
      <c r="X406" s="268"/>
      <c r="Y406" s="207"/>
      <c r="Z406" s="267">
        <v>160.84025130275231</v>
      </c>
      <c r="AA406" s="207">
        <v>0</v>
      </c>
      <c r="AB406" s="207"/>
      <c r="AC406" s="207"/>
      <c r="AD406" s="207">
        <v>0</v>
      </c>
    </row>
    <row r="407" spans="1:30" s="216" customFormat="1" ht="23.1" hidden="1" customHeight="1" outlineLevel="2">
      <c r="A407" s="223"/>
      <c r="B407" s="275" t="s">
        <v>925</v>
      </c>
      <c r="C407" s="275" t="s">
        <v>926</v>
      </c>
      <c r="D407" s="275" t="s">
        <v>247</v>
      </c>
      <c r="E407" s="207">
        <v>460.39</v>
      </c>
      <c r="F407" s="205">
        <v>84.327790678899078</v>
      </c>
      <c r="G407" s="205">
        <v>38823.671550658342</v>
      </c>
      <c r="H407" s="207">
        <v>460.39</v>
      </c>
      <c r="I407" s="207"/>
      <c r="J407" s="207">
        <v>13269.75571083495</v>
      </c>
      <c r="K407" s="123"/>
      <c r="L407" s="267">
        <v>84.327790678899078</v>
      </c>
      <c r="M407" s="205">
        <f t="shared" si="57"/>
        <v>0</v>
      </c>
      <c r="N407" s="207"/>
      <c r="O407" s="207"/>
      <c r="P407" s="207">
        <f t="shared" si="56"/>
        <v>0</v>
      </c>
      <c r="Q407" s="123"/>
      <c r="R407" s="267">
        <v>84.327790678899078</v>
      </c>
      <c r="S407" s="207">
        <f t="shared" si="55"/>
        <v>0</v>
      </c>
      <c r="T407" s="207"/>
      <c r="U407" s="207"/>
      <c r="V407" s="207">
        <f t="shared" si="54"/>
        <v>0</v>
      </c>
      <c r="W407" s="123"/>
      <c r="X407" s="268"/>
      <c r="Y407" s="207"/>
      <c r="Z407" s="267">
        <v>84.327790678899078</v>
      </c>
      <c r="AA407" s="207">
        <v>0</v>
      </c>
      <c r="AB407" s="207"/>
      <c r="AC407" s="207"/>
      <c r="AD407" s="207">
        <v>0</v>
      </c>
    </row>
    <row r="408" spans="1:30" s="216" customFormat="1" ht="23.1" hidden="1" customHeight="1" outlineLevel="1" collapsed="1">
      <c r="A408" s="223"/>
      <c r="B408" s="274" t="s">
        <v>927</v>
      </c>
      <c r="C408" s="274"/>
      <c r="D408" s="274"/>
      <c r="E408" s="207"/>
      <c r="F408" s="205">
        <v>0</v>
      </c>
      <c r="G408" s="205">
        <v>0</v>
      </c>
      <c r="H408" s="207"/>
      <c r="I408" s="207"/>
      <c r="J408" s="207">
        <v>0</v>
      </c>
      <c r="K408" s="123"/>
      <c r="L408" s="267">
        <v>0</v>
      </c>
      <c r="M408" s="205">
        <f t="shared" si="57"/>
        <v>0</v>
      </c>
      <c r="N408" s="207"/>
      <c r="O408" s="207"/>
      <c r="P408" s="207">
        <f t="shared" si="56"/>
        <v>0</v>
      </c>
      <c r="Q408" s="123"/>
      <c r="R408" s="267">
        <v>0</v>
      </c>
      <c r="S408" s="207">
        <f t="shared" si="55"/>
        <v>0</v>
      </c>
      <c r="T408" s="207"/>
      <c r="U408" s="207"/>
      <c r="V408" s="207">
        <f t="shared" si="54"/>
        <v>0</v>
      </c>
      <c r="W408" s="123"/>
      <c r="X408" s="268"/>
      <c r="Y408" s="207"/>
      <c r="Z408" s="267">
        <v>0</v>
      </c>
      <c r="AA408" s="207">
        <v>0</v>
      </c>
      <c r="AB408" s="207"/>
      <c r="AC408" s="207"/>
      <c r="AD408" s="207">
        <v>0</v>
      </c>
    </row>
    <row r="409" spans="1:30" s="216" customFormat="1" ht="23.1" hidden="1" customHeight="1" outlineLevel="2">
      <c r="A409" s="223"/>
      <c r="B409" s="275" t="s">
        <v>928</v>
      </c>
      <c r="C409" s="275" t="s">
        <v>929</v>
      </c>
      <c r="D409" s="275" t="s">
        <v>247</v>
      </c>
      <c r="E409" s="207">
        <v>191.84</v>
      </c>
      <c r="F409" s="205">
        <v>511.52473365137621</v>
      </c>
      <c r="G409" s="205">
        <v>98130.904903680013</v>
      </c>
      <c r="H409" s="207">
        <v>191.84</v>
      </c>
      <c r="I409" s="207"/>
      <c r="J409" s="207">
        <v>58408.53114330097</v>
      </c>
      <c r="K409" s="123"/>
      <c r="L409" s="267">
        <v>511.52473365137621</v>
      </c>
      <c r="M409" s="205">
        <f t="shared" si="57"/>
        <v>0</v>
      </c>
      <c r="N409" s="207"/>
      <c r="O409" s="207"/>
      <c r="P409" s="207">
        <f t="shared" si="56"/>
        <v>0</v>
      </c>
      <c r="Q409" s="123"/>
      <c r="R409" s="267">
        <v>511.52473365137621</v>
      </c>
      <c r="S409" s="207">
        <f t="shared" si="55"/>
        <v>0</v>
      </c>
      <c r="T409" s="207"/>
      <c r="U409" s="207"/>
      <c r="V409" s="207">
        <f t="shared" si="54"/>
        <v>0</v>
      </c>
      <c r="W409" s="123"/>
      <c r="X409" s="268"/>
      <c r="Y409" s="207"/>
      <c r="Z409" s="267">
        <v>511.52473365137621</v>
      </c>
      <c r="AA409" s="207">
        <v>0</v>
      </c>
      <c r="AB409" s="207"/>
      <c r="AC409" s="207"/>
      <c r="AD409" s="207">
        <v>0</v>
      </c>
    </row>
    <row r="410" spans="1:30" s="216" customFormat="1" ht="23.1" hidden="1" customHeight="1" outlineLevel="2">
      <c r="A410" s="223"/>
      <c r="B410" s="275" t="s">
        <v>930</v>
      </c>
      <c r="C410" s="275" t="s">
        <v>931</v>
      </c>
      <c r="D410" s="275" t="s">
        <v>247</v>
      </c>
      <c r="E410" s="207">
        <v>36.97</v>
      </c>
      <c r="F410" s="205">
        <v>364.37079456880736</v>
      </c>
      <c r="G410" s="205">
        <v>13470.788275208808</v>
      </c>
      <c r="H410" s="207">
        <v>36.97</v>
      </c>
      <c r="I410" s="207"/>
      <c r="J410" s="207">
        <v>7999.1272930582518</v>
      </c>
      <c r="K410" s="123"/>
      <c r="L410" s="267">
        <v>364.37079456880736</v>
      </c>
      <c r="M410" s="205">
        <f t="shared" si="57"/>
        <v>0</v>
      </c>
      <c r="N410" s="207"/>
      <c r="O410" s="207"/>
      <c r="P410" s="207">
        <f t="shared" si="56"/>
        <v>0</v>
      </c>
      <c r="Q410" s="123"/>
      <c r="R410" s="267">
        <v>364.37079456880736</v>
      </c>
      <c r="S410" s="207">
        <f t="shared" si="55"/>
        <v>0</v>
      </c>
      <c r="T410" s="207"/>
      <c r="U410" s="207"/>
      <c r="V410" s="207">
        <f t="shared" si="54"/>
        <v>0</v>
      </c>
      <c r="W410" s="123"/>
      <c r="X410" s="268"/>
      <c r="Y410" s="207"/>
      <c r="Z410" s="267">
        <v>364.37079456880736</v>
      </c>
      <c r="AA410" s="207">
        <v>0</v>
      </c>
      <c r="AB410" s="207"/>
      <c r="AC410" s="207"/>
      <c r="AD410" s="207">
        <v>0</v>
      </c>
    </row>
    <row r="411" spans="1:30" s="216" customFormat="1" ht="23.1" hidden="1" customHeight="1" outlineLevel="2">
      <c r="A411" s="223"/>
      <c r="B411" s="275" t="s">
        <v>932</v>
      </c>
      <c r="C411" s="275" t="s">
        <v>933</v>
      </c>
      <c r="D411" s="275" t="s">
        <v>247</v>
      </c>
      <c r="E411" s="207">
        <v>749.99</v>
      </c>
      <c r="F411" s="205">
        <v>499.38441511926607</v>
      </c>
      <c r="G411" s="205">
        <v>374533.31749529834</v>
      </c>
      <c r="H411" s="207">
        <v>749.99</v>
      </c>
      <c r="I411" s="207"/>
      <c r="J411" s="207">
        <v>218377.8067036893</v>
      </c>
      <c r="K411" s="123"/>
      <c r="L411" s="267">
        <v>499.38441511926607</v>
      </c>
      <c r="M411" s="205">
        <f t="shared" si="57"/>
        <v>0</v>
      </c>
      <c r="N411" s="207"/>
      <c r="O411" s="207"/>
      <c r="P411" s="207">
        <f t="shared" si="56"/>
        <v>0</v>
      </c>
      <c r="Q411" s="123"/>
      <c r="R411" s="267">
        <v>499.38441511926607</v>
      </c>
      <c r="S411" s="207">
        <f t="shared" si="55"/>
        <v>0</v>
      </c>
      <c r="T411" s="207"/>
      <c r="U411" s="207"/>
      <c r="V411" s="207">
        <f t="shared" si="54"/>
        <v>0</v>
      </c>
      <c r="W411" s="123"/>
      <c r="X411" s="268"/>
      <c r="Y411" s="207"/>
      <c r="Z411" s="267">
        <v>499.38441511926607</v>
      </c>
      <c r="AA411" s="207">
        <v>0</v>
      </c>
      <c r="AB411" s="207"/>
      <c r="AC411" s="207"/>
      <c r="AD411" s="207">
        <v>0</v>
      </c>
    </row>
    <row r="412" spans="1:30" s="216" customFormat="1" ht="23.1" hidden="1" customHeight="1" outlineLevel="2">
      <c r="A412" s="223"/>
      <c r="B412" s="275" t="s">
        <v>934</v>
      </c>
      <c r="C412" s="275" t="s">
        <v>935</v>
      </c>
      <c r="D412" s="275" t="s">
        <v>247</v>
      </c>
      <c r="E412" s="207">
        <v>201.91</v>
      </c>
      <c r="F412" s="205">
        <v>66.29752073394495</v>
      </c>
      <c r="G412" s="205">
        <v>13386.132411390825</v>
      </c>
      <c r="H412" s="207">
        <v>201.91</v>
      </c>
      <c r="I412" s="207"/>
      <c r="J412" s="207">
        <v>11341.148459757293</v>
      </c>
      <c r="K412" s="123"/>
      <c r="L412" s="267">
        <v>66.29752073394495</v>
      </c>
      <c r="M412" s="205">
        <f t="shared" si="57"/>
        <v>0</v>
      </c>
      <c r="N412" s="207"/>
      <c r="O412" s="207"/>
      <c r="P412" s="207">
        <f t="shared" si="56"/>
        <v>0</v>
      </c>
      <c r="Q412" s="123"/>
      <c r="R412" s="267">
        <v>66.29752073394495</v>
      </c>
      <c r="S412" s="207">
        <f t="shared" si="55"/>
        <v>0</v>
      </c>
      <c r="T412" s="207"/>
      <c r="U412" s="207"/>
      <c r="V412" s="207">
        <f t="shared" si="54"/>
        <v>0</v>
      </c>
      <c r="W412" s="123"/>
      <c r="X412" s="268"/>
      <c r="Y412" s="207"/>
      <c r="Z412" s="267">
        <v>66.29752073394495</v>
      </c>
      <c r="AA412" s="207">
        <v>0</v>
      </c>
      <c r="AB412" s="207"/>
      <c r="AC412" s="207"/>
      <c r="AD412" s="207">
        <v>0</v>
      </c>
    </row>
    <row r="413" spans="1:30" s="216" customFormat="1" ht="23.1" hidden="1" customHeight="1" outlineLevel="2">
      <c r="A413" s="223"/>
      <c r="B413" s="275" t="s">
        <v>936</v>
      </c>
      <c r="C413" s="275" t="s">
        <v>937</v>
      </c>
      <c r="D413" s="275" t="s">
        <v>247</v>
      </c>
      <c r="E413" s="207">
        <v>200.56</v>
      </c>
      <c r="F413" s="205">
        <v>277.53906319266054</v>
      </c>
      <c r="G413" s="205">
        <v>55663.234513919997</v>
      </c>
      <c r="H413" s="207">
        <v>200.56</v>
      </c>
      <c r="I413" s="207"/>
      <c r="J413" s="207">
        <v>37130.377680776706</v>
      </c>
      <c r="K413" s="123"/>
      <c r="L413" s="267">
        <v>277.53906319266054</v>
      </c>
      <c r="M413" s="205">
        <f t="shared" si="57"/>
        <v>0</v>
      </c>
      <c r="N413" s="207"/>
      <c r="O413" s="207"/>
      <c r="P413" s="207">
        <f t="shared" si="56"/>
        <v>0</v>
      </c>
      <c r="Q413" s="123"/>
      <c r="R413" s="267">
        <v>277.53906319266054</v>
      </c>
      <c r="S413" s="207">
        <f t="shared" si="55"/>
        <v>0</v>
      </c>
      <c r="T413" s="207"/>
      <c r="U413" s="207"/>
      <c r="V413" s="207">
        <f t="shared" si="54"/>
        <v>0</v>
      </c>
      <c r="W413" s="123"/>
      <c r="X413" s="268"/>
      <c r="Y413" s="207"/>
      <c r="Z413" s="267">
        <v>277.53906319266054</v>
      </c>
      <c r="AA413" s="207">
        <v>0</v>
      </c>
      <c r="AB413" s="207"/>
      <c r="AC413" s="207"/>
      <c r="AD413" s="207">
        <v>0</v>
      </c>
    </row>
    <row r="414" spans="1:30" s="216" customFormat="1" ht="23.1" hidden="1" customHeight="1" outlineLevel="1" collapsed="1">
      <c r="A414" s="223"/>
      <c r="B414" s="274" t="s">
        <v>938</v>
      </c>
      <c r="C414" s="274"/>
      <c r="D414" s="274"/>
      <c r="E414" s="207"/>
      <c r="F414" s="205">
        <v>0</v>
      </c>
      <c r="G414" s="205">
        <v>0</v>
      </c>
      <c r="H414" s="207"/>
      <c r="I414" s="207"/>
      <c r="J414" s="207">
        <v>0</v>
      </c>
      <c r="K414" s="123"/>
      <c r="L414" s="267">
        <v>0</v>
      </c>
      <c r="M414" s="205">
        <f t="shared" si="57"/>
        <v>0</v>
      </c>
      <c r="N414" s="207"/>
      <c r="O414" s="207"/>
      <c r="P414" s="207">
        <f t="shared" si="56"/>
        <v>0</v>
      </c>
      <c r="Q414" s="123"/>
      <c r="R414" s="267">
        <v>0</v>
      </c>
      <c r="S414" s="207">
        <f t="shared" si="55"/>
        <v>0</v>
      </c>
      <c r="T414" s="207"/>
      <c r="U414" s="207"/>
      <c r="V414" s="207">
        <f t="shared" si="54"/>
        <v>0</v>
      </c>
      <c r="W414" s="123"/>
      <c r="X414" s="268"/>
      <c r="Y414" s="207"/>
      <c r="Z414" s="267">
        <v>0</v>
      </c>
      <c r="AA414" s="207">
        <v>0</v>
      </c>
      <c r="AB414" s="207"/>
      <c r="AC414" s="207"/>
      <c r="AD414" s="207">
        <v>0</v>
      </c>
    </row>
    <row r="415" spans="1:30" s="216" customFormat="1" ht="23.1" hidden="1" customHeight="1" outlineLevel="2">
      <c r="A415" s="223"/>
      <c r="B415" s="275" t="s">
        <v>939</v>
      </c>
      <c r="C415" s="275" t="s">
        <v>940</v>
      </c>
      <c r="D415" s="275" t="s">
        <v>247</v>
      </c>
      <c r="E415" s="207">
        <v>321.70999999999998</v>
      </c>
      <c r="F415" s="205">
        <v>924.92154891743121</v>
      </c>
      <c r="G415" s="205">
        <v>297556.51150222676</v>
      </c>
      <c r="H415" s="207">
        <v>321.70999999999998</v>
      </c>
      <c r="I415" s="207"/>
      <c r="J415" s="207">
        <v>337152.07999999996</v>
      </c>
      <c r="K415" s="123"/>
      <c r="L415" s="267">
        <v>924.92154891743121</v>
      </c>
      <c r="M415" s="205">
        <f t="shared" si="57"/>
        <v>0</v>
      </c>
      <c r="N415" s="207"/>
      <c r="O415" s="207"/>
      <c r="P415" s="207">
        <f t="shared" si="56"/>
        <v>0</v>
      </c>
      <c r="Q415" s="123"/>
      <c r="R415" s="267">
        <v>924.92154891743121</v>
      </c>
      <c r="S415" s="207">
        <f t="shared" si="55"/>
        <v>0</v>
      </c>
      <c r="T415" s="207"/>
      <c r="U415" s="207"/>
      <c r="V415" s="207">
        <f t="shared" si="54"/>
        <v>0</v>
      </c>
      <c r="W415" s="123"/>
      <c r="X415" s="268"/>
      <c r="Y415" s="207"/>
      <c r="Z415" s="267">
        <v>924.92154891743121</v>
      </c>
      <c r="AA415" s="207">
        <v>0</v>
      </c>
      <c r="AB415" s="207"/>
      <c r="AC415" s="207"/>
      <c r="AD415" s="207">
        <v>0</v>
      </c>
    </row>
    <row r="416" spans="1:30" s="216" customFormat="1" ht="23.1" hidden="1" customHeight="1" outlineLevel="1" collapsed="1">
      <c r="A416" s="223"/>
      <c r="B416" s="274" t="s">
        <v>941</v>
      </c>
      <c r="C416" s="274"/>
      <c r="D416" s="274"/>
      <c r="E416" s="207"/>
      <c r="F416" s="205">
        <v>0</v>
      </c>
      <c r="G416" s="205">
        <v>0</v>
      </c>
      <c r="H416" s="207"/>
      <c r="I416" s="207"/>
      <c r="J416" s="207">
        <v>0</v>
      </c>
      <c r="K416" s="123"/>
      <c r="L416" s="267">
        <v>0</v>
      </c>
      <c r="M416" s="205">
        <f t="shared" si="57"/>
        <v>0</v>
      </c>
      <c r="N416" s="207"/>
      <c r="O416" s="207"/>
      <c r="P416" s="207">
        <f t="shared" si="56"/>
        <v>0</v>
      </c>
      <c r="Q416" s="123"/>
      <c r="R416" s="267">
        <v>0</v>
      </c>
      <c r="S416" s="207">
        <f t="shared" si="55"/>
        <v>0</v>
      </c>
      <c r="T416" s="207"/>
      <c r="U416" s="207"/>
      <c r="V416" s="207">
        <f t="shared" si="54"/>
        <v>0</v>
      </c>
      <c r="W416" s="123"/>
      <c r="X416" s="268"/>
      <c r="Y416" s="207"/>
      <c r="Z416" s="267">
        <v>0</v>
      </c>
      <c r="AA416" s="207">
        <v>0</v>
      </c>
      <c r="AB416" s="207"/>
      <c r="AC416" s="207"/>
      <c r="AD416" s="207">
        <v>0</v>
      </c>
    </row>
    <row r="417" spans="1:30" s="216" customFormat="1" ht="23.1" hidden="1" customHeight="1" outlineLevel="2">
      <c r="A417" s="223"/>
      <c r="B417" s="275" t="s">
        <v>803</v>
      </c>
      <c r="C417" s="275" t="s">
        <v>942</v>
      </c>
      <c r="D417" s="275" t="s">
        <v>397</v>
      </c>
      <c r="E417" s="207">
        <v>88.8</v>
      </c>
      <c r="F417" s="205">
        <v>188.73453005504587</v>
      </c>
      <c r="G417" s="205">
        <v>16759.626268888071</v>
      </c>
      <c r="H417" s="207">
        <v>88.8</v>
      </c>
      <c r="I417" s="207"/>
      <c r="J417" s="207">
        <v>16428</v>
      </c>
      <c r="K417" s="123"/>
      <c r="L417" s="267">
        <v>188.73453005504587</v>
      </c>
      <c r="M417" s="205">
        <f t="shared" si="57"/>
        <v>0</v>
      </c>
      <c r="N417" s="207"/>
      <c r="O417" s="207"/>
      <c r="P417" s="207">
        <f t="shared" si="56"/>
        <v>0</v>
      </c>
      <c r="Q417" s="123"/>
      <c r="R417" s="267">
        <v>188.73453005504587</v>
      </c>
      <c r="S417" s="207">
        <f t="shared" si="55"/>
        <v>0</v>
      </c>
      <c r="T417" s="207"/>
      <c r="U417" s="207"/>
      <c r="V417" s="207">
        <f t="shared" si="54"/>
        <v>0</v>
      </c>
      <c r="W417" s="123"/>
      <c r="X417" s="268"/>
      <c r="Y417" s="207"/>
      <c r="Z417" s="267">
        <v>188.73453005504587</v>
      </c>
      <c r="AA417" s="207">
        <v>0</v>
      </c>
      <c r="AB417" s="207"/>
      <c r="AC417" s="207"/>
      <c r="AD417" s="207">
        <v>0</v>
      </c>
    </row>
    <row r="418" spans="1:30" s="216" customFormat="1" ht="23.1" hidden="1" customHeight="1" outlineLevel="2">
      <c r="A418" s="223"/>
      <c r="B418" s="275" t="s">
        <v>943</v>
      </c>
      <c r="C418" s="275" t="s">
        <v>944</v>
      </c>
      <c r="D418" s="275" t="s">
        <v>397</v>
      </c>
      <c r="E418" s="207">
        <v>13.93</v>
      </c>
      <c r="F418" s="205">
        <v>291.64269886238532</v>
      </c>
      <c r="G418" s="205">
        <v>4062.5827951530273</v>
      </c>
      <c r="H418" s="207">
        <v>13.93</v>
      </c>
      <c r="I418" s="207"/>
      <c r="J418" s="207">
        <v>2577.0499999999997</v>
      </c>
      <c r="K418" s="123"/>
      <c r="L418" s="267">
        <v>291.64269886238532</v>
      </c>
      <c r="M418" s="205">
        <f t="shared" si="57"/>
        <v>0</v>
      </c>
      <c r="N418" s="207"/>
      <c r="O418" s="207"/>
      <c r="P418" s="207">
        <f t="shared" si="56"/>
        <v>0</v>
      </c>
      <c r="Q418" s="123"/>
      <c r="R418" s="267">
        <v>291.64269886238532</v>
      </c>
      <c r="S418" s="207">
        <f t="shared" si="55"/>
        <v>0</v>
      </c>
      <c r="T418" s="207"/>
      <c r="U418" s="207"/>
      <c r="V418" s="207">
        <f t="shared" si="54"/>
        <v>0</v>
      </c>
      <c r="W418" s="123"/>
      <c r="X418" s="268"/>
      <c r="Y418" s="207"/>
      <c r="Z418" s="267">
        <v>291.64269886238532</v>
      </c>
      <c r="AA418" s="207">
        <v>0</v>
      </c>
      <c r="AB418" s="207"/>
      <c r="AC418" s="207"/>
      <c r="AD418" s="207">
        <v>0</v>
      </c>
    </row>
    <row r="419" spans="1:30" s="216" customFormat="1" ht="23.1" hidden="1" customHeight="1" outlineLevel="2">
      <c r="A419" s="223"/>
      <c r="B419" s="275" t="s">
        <v>945</v>
      </c>
      <c r="C419" s="275" t="s">
        <v>946</v>
      </c>
      <c r="D419" s="275" t="s">
        <v>397</v>
      </c>
      <c r="E419" s="207">
        <v>79.5</v>
      </c>
      <c r="F419" s="205">
        <v>227.43179537614679</v>
      </c>
      <c r="G419" s="205">
        <v>18080.827732403672</v>
      </c>
      <c r="H419" s="207">
        <v>79.5</v>
      </c>
      <c r="I419" s="207"/>
      <c r="J419" s="207">
        <v>7552.5</v>
      </c>
      <c r="K419" s="123"/>
      <c r="L419" s="267">
        <v>227.43179537614679</v>
      </c>
      <c r="M419" s="205">
        <f t="shared" si="57"/>
        <v>0</v>
      </c>
      <c r="N419" s="207"/>
      <c r="O419" s="207"/>
      <c r="P419" s="207">
        <f t="shared" si="56"/>
        <v>0</v>
      </c>
      <c r="Q419" s="123"/>
      <c r="R419" s="267">
        <v>227.43179537614679</v>
      </c>
      <c r="S419" s="207">
        <f t="shared" si="55"/>
        <v>0</v>
      </c>
      <c r="T419" s="207"/>
      <c r="U419" s="207"/>
      <c r="V419" s="207">
        <f t="shared" si="54"/>
        <v>0</v>
      </c>
      <c r="W419" s="123"/>
      <c r="X419" s="268"/>
      <c r="Y419" s="207"/>
      <c r="Z419" s="267">
        <v>227.43179537614679</v>
      </c>
      <c r="AA419" s="207">
        <v>0</v>
      </c>
      <c r="AB419" s="207"/>
      <c r="AC419" s="207"/>
      <c r="AD419" s="207">
        <v>0</v>
      </c>
    </row>
    <row r="420" spans="1:30" s="216" customFormat="1" ht="23.1" hidden="1" customHeight="1" outlineLevel="1" collapsed="1">
      <c r="A420" s="223"/>
      <c r="B420" s="274" t="s">
        <v>947</v>
      </c>
      <c r="C420" s="274"/>
      <c r="D420" s="274"/>
      <c r="E420" s="207"/>
      <c r="F420" s="205">
        <v>0</v>
      </c>
      <c r="G420" s="205">
        <v>0</v>
      </c>
      <c r="H420" s="207"/>
      <c r="I420" s="207"/>
      <c r="J420" s="207">
        <v>0</v>
      </c>
      <c r="K420" s="123"/>
      <c r="L420" s="267">
        <v>0</v>
      </c>
      <c r="M420" s="205">
        <f t="shared" si="57"/>
        <v>0</v>
      </c>
      <c r="N420" s="207"/>
      <c r="O420" s="207"/>
      <c r="P420" s="207">
        <f t="shared" si="56"/>
        <v>0</v>
      </c>
      <c r="Q420" s="123"/>
      <c r="R420" s="267">
        <v>0</v>
      </c>
      <c r="S420" s="207">
        <f t="shared" si="55"/>
        <v>0</v>
      </c>
      <c r="T420" s="207"/>
      <c r="U420" s="207"/>
      <c r="V420" s="207">
        <f t="shared" si="54"/>
        <v>0</v>
      </c>
      <c r="W420" s="123"/>
      <c r="X420" s="268"/>
      <c r="Y420" s="207"/>
      <c r="Z420" s="267">
        <v>0</v>
      </c>
      <c r="AA420" s="207">
        <v>0</v>
      </c>
      <c r="AB420" s="207"/>
      <c r="AC420" s="207"/>
      <c r="AD420" s="207">
        <v>0</v>
      </c>
    </row>
    <row r="421" spans="1:30" s="216" customFormat="1" ht="23.1" hidden="1" customHeight="1" outlineLevel="2">
      <c r="A421" s="223"/>
      <c r="B421" s="275" t="s">
        <v>948</v>
      </c>
      <c r="C421" s="275" t="s">
        <v>949</v>
      </c>
      <c r="D421" s="275" t="s">
        <v>247</v>
      </c>
      <c r="E421" s="207">
        <v>32</v>
      </c>
      <c r="F421" s="205">
        <v>539.95015133944946</v>
      </c>
      <c r="G421" s="205">
        <v>17278.404842862383</v>
      </c>
      <c r="H421" s="207">
        <v>32</v>
      </c>
      <c r="I421" s="207"/>
      <c r="J421" s="207">
        <v>18218.88</v>
      </c>
      <c r="K421" s="123"/>
      <c r="L421" s="267">
        <v>539.95015133944946</v>
      </c>
      <c r="M421" s="205">
        <f t="shared" si="57"/>
        <v>0</v>
      </c>
      <c r="N421" s="207"/>
      <c r="O421" s="207"/>
      <c r="P421" s="207">
        <f t="shared" si="56"/>
        <v>0</v>
      </c>
      <c r="Q421" s="123"/>
      <c r="R421" s="267">
        <v>539.95015133944946</v>
      </c>
      <c r="S421" s="207">
        <f t="shared" si="55"/>
        <v>0</v>
      </c>
      <c r="T421" s="207"/>
      <c r="U421" s="207"/>
      <c r="V421" s="207">
        <f t="shared" si="54"/>
        <v>0</v>
      </c>
      <c r="W421" s="123"/>
      <c r="X421" s="268"/>
      <c r="Y421" s="207"/>
      <c r="Z421" s="267">
        <v>539.95015133944946</v>
      </c>
      <c r="AA421" s="207">
        <v>0</v>
      </c>
      <c r="AB421" s="207"/>
      <c r="AC421" s="207"/>
      <c r="AD421" s="207">
        <v>0</v>
      </c>
    </row>
    <row r="422" spans="1:30" s="216" customFormat="1" ht="23.1" hidden="1" customHeight="1" outlineLevel="2">
      <c r="A422" s="223"/>
      <c r="B422" s="275" t="s">
        <v>950</v>
      </c>
      <c r="C422" s="275" t="s">
        <v>951</v>
      </c>
      <c r="D422" s="275" t="s">
        <v>247</v>
      </c>
      <c r="E422" s="207">
        <v>136</v>
      </c>
      <c r="F422" s="205">
        <v>371.0764236330275</v>
      </c>
      <c r="G422" s="205">
        <v>50466.393614091743</v>
      </c>
      <c r="H422" s="207">
        <v>136</v>
      </c>
      <c r="I422" s="207"/>
      <c r="J422" s="207">
        <v>53208.639999999999</v>
      </c>
      <c r="K422" s="123"/>
      <c r="L422" s="267">
        <v>371.0764236330275</v>
      </c>
      <c r="M422" s="205">
        <f t="shared" si="57"/>
        <v>0</v>
      </c>
      <c r="N422" s="207"/>
      <c r="O422" s="207"/>
      <c r="P422" s="207">
        <f t="shared" si="56"/>
        <v>0</v>
      </c>
      <c r="Q422" s="123"/>
      <c r="R422" s="267">
        <v>371.0764236330275</v>
      </c>
      <c r="S422" s="207">
        <f t="shared" si="55"/>
        <v>0</v>
      </c>
      <c r="T422" s="207"/>
      <c r="U422" s="207"/>
      <c r="V422" s="207">
        <f t="shared" si="54"/>
        <v>0</v>
      </c>
      <c r="W422" s="123"/>
      <c r="X422" s="268"/>
      <c r="Y422" s="207"/>
      <c r="Z422" s="267">
        <v>371.0764236330275</v>
      </c>
      <c r="AA422" s="207">
        <v>0</v>
      </c>
      <c r="AB422" s="207"/>
      <c r="AC422" s="207"/>
      <c r="AD422" s="207">
        <v>0</v>
      </c>
    </row>
    <row r="423" spans="1:30" s="216" customFormat="1" ht="23.1" hidden="1" customHeight="1" outlineLevel="1" collapsed="1">
      <c r="A423" s="223"/>
      <c r="B423" s="274" t="s">
        <v>952</v>
      </c>
      <c r="C423" s="274"/>
      <c r="D423" s="274"/>
      <c r="E423" s="207"/>
      <c r="F423" s="205">
        <v>0</v>
      </c>
      <c r="G423" s="205">
        <v>0</v>
      </c>
      <c r="H423" s="207"/>
      <c r="I423" s="207"/>
      <c r="J423" s="207">
        <v>0</v>
      </c>
      <c r="K423" s="123"/>
      <c r="L423" s="267">
        <v>0</v>
      </c>
      <c r="M423" s="205">
        <f t="shared" si="57"/>
        <v>0</v>
      </c>
      <c r="N423" s="207"/>
      <c r="O423" s="207"/>
      <c r="P423" s="207">
        <f t="shared" si="56"/>
        <v>0</v>
      </c>
      <c r="Q423" s="123"/>
      <c r="R423" s="267">
        <v>0</v>
      </c>
      <c r="S423" s="207">
        <f t="shared" si="55"/>
        <v>0</v>
      </c>
      <c r="T423" s="207"/>
      <c r="U423" s="207"/>
      <c r="V423" s="207">
        <f t="shared" si="54"/>
        <v>0</v>
      </c>
      <c r="W423" s="123"/>
      <c r="X423" s="268"/>
      <c r="Y423" s="207"/>
      <c r="Z423" s="267">
        <v>0</v>
      </c>
      <c r="AA423" s="207">
        <v>0</v>
      </c>
      <c r="AB423" s="207"/>
      <c r="AC423" s="207"/>
      <c r="AD423" s="207">
        <v>0</v>
      </c>
    </row>
    <row r="424" spans="1:30" s="216" customFormat="1" ht="23.1" hidden="1" customHeight="1" outlineLevel="2">
      <c r="A424" s="223"/>
      <c r="B424" s="275" t="s">
        <v>953</v>
      </c>
      <c r="C424" s="275" t="s">
        <v>954</v>
      </c>
      <c r="D424" s="275" t="s">
        <v>247</v>
      </c>
      <c r="E424" s="207">
        <v>8.4</v>
      </c>
      <c r="F424" s="205">
        <v>1385.5138524770641</v>
      </c>
      <c r="G424" s="205">
        <v>11638.316360807339</v>
      </c>
      <c r="H424" s="207">
        <v>8.4</v>
      </c>
      <c r="I424" s="207"/>
      <c r="J424" s="207">
        <v>12270.72</v>
      </c>
      <c r="K424" s="123"/>
      <c r="L424" s="281">
        <v>1385.5138524770641</v>
      </c>
      <c r="M424" s="205">
        <f t="shared" si="57"/>
        <v>0</v>
      </c>
      <c r="N424" s="207"/>
      <c r="O424" s="207"/>
      <c r="P424" s="207">
        <f t="shared" si="56"/>
        <v>0</v>
      </c>
      <c r="Q424" s="123"/>
      <c r="R424" s="281">
        <v>1385.5138524770641</v>
      </c>
      <c r="S424" s="207">
        <f t="shared" si="55"/>
        <v>0</v>
      </c>
      <c r="T424" s="207"/>
      <c r="U424" s="207"/>
      <c r="V424" s="207">
        <f t="shared" si="54"/>
        <v>0</v>
      </c>
      <c r="W424" s="123"/>
      <c r="X424" s="268"/>
      <c r="Y424" s="207"/>
      <c r="Z424" s="281">
        <v>1385.5138524770641</v>
      </c>
      <c r="AA424" s="207">
        <v>0</v>
      </c>
      <c r="AB424" s="207"/>
      <c r="AC424" s="207"/>
      <c r="AD424" s="207">
        <v>0</v>
      </c>
    </row>
    <row r="425" spans="1:30" s="216" customFormat="1" ht="23.1" hidden="1" customHeight="1" outlineLevel="1">
      <c r="A425" s="223"/>
      <c r="B425" s="275" t="s">
        <v>376</v>
      </c>
      <c r="C425" s="275"/>
      <c r="D425" s="275" t="s">
        <v>143</v>
      </c>
      <c r="E425" s="207">
        <v>1</v>
      </c>
      <c r="F425" s="205">
        <v>-206621.37351809174</v>
      </c>
      <c r="G425" s="205">
        <v>-206621.37351809174</v>
      </c>
      <c r="H425" s="207">
        <v>1</v>
      </c>
      <c r="I425" s="207"/>
      <c r="J425" s="207">
        <v>0</v>
      </c>
      <c r="K425" s="123">
        <v>1</v>
      </c>
      <c r="L425" s="281">
        <v>-206621.37351809174</v>
      </c>
      <c r="M425" s="205">
        <f t="shared" si="57"/>
        <v>-206621.37351809174</v>
      </c>
      <c r="N425" s="207"/>
      <c r="O425" s="207"/>
      <c r="P425" s="207">
        <f t="shared" si="56"/>
        <v>0</v>
      </c>
      <c r="Q425" s="123">
        <v>1</v>
      </c>
      <c r="R425" s="281">
        <v>-206621.37351809174</v>
      </c>
      <c r="S425" s="207">
        <f t="shared" si="55"/>
        <v>-206621.37351809174</v>
      </c>
      <c r="T425" s="207"/>
      <c r="U425" s="207"/>
      <c r="V425" s="207">
        <f t="shared" si="54"/>
        <v>0</v>
      </c>
      <c r="W425" s="123"/>
      <c r="X425" s="268"/>
      <c r="Y425" s="207"/>
      <c r="Z425" s="281">
        <v>-206621.37351809174</v>
      </c>
      <c r="AA425" s="207">
        <v>0</v>
      </c>
      <c r="AB425" s="207"/>
      <c r="AC425" s="207"/>
      <c r="AD425" s="207">
        <v>0</v>
      </c>
    </row>
    <row r="426" spans="1:30" s="216" customFormat="1" ht="23.1" hidden="1" customHeight="1" outlineLevel="1">
      <c r="A426" s="223"/>
      <c r="B426" s="275" t="s">
        <v>377</v>
      </c>
      <c r="C426" s="275"/>
      <c r="D426" s="275" t="s">
        <v>143</v>
      </c>
      <c r="E426" s="207">
        <v>1</v>
      </c>
      <c r="F426" s="205">
        <v>-169086.09791911926</v>
      </c>
      <c r="G426" s="205">
        <v>-169086.09791911926</v>
      </c>
      <c r="H426" s="207">
        <v>1</v>
      </c>
      <c r="I426" s="207"/>
      <c r="J426" s="207">
        <v>0</v>
      </c>
      <c r="K426" s="123">
        <v>1</v>
      </c>
      <c r="L426" s="281">
        <v>-169086.09791911926</v>
      </c>
      <c r="M426" s="205">
        <f t="shared" si="57"/>
        <v>-169086.09791911926</v>
      </c>
      <c r="N426" s="207"/>
      <c r="O426" s="207"/>
      <c r="P426" s="207">
        <f t="shared" si="56"/>
        <v>0</v>
      </c>
      <c r="Q426" s="123">
        <v>1</v>
      </c>
      <c r="R426" s="281">
        <v>-169086.09791911926</v>
      </c>
      <c r="S426" s="207">
        <f t="shared" si="55"/>
        <v>-169086.09791911926</v>
      </c>
      <c r="T426" s="207"/>
      <c r="U426" s="207"/>
      <c r="V426" s="207">
        <f t="shared" ref="V426:V489" si="58">+U426*T426</f>
        <v>0</v>
      </c>
      <c r="W426" s="123"/>
      <c r="X426" s="268"/>
      <c r="Y426" s="207"/>
      <c r="Z426" s="281">
        <v>-169086.09791911926</v>
      </c>
      <c r="AA426" s="207">
        <v>0</v>
      </c>
      <c r="AB426" s="207"/>
      <c r="AC426" s="207"/>
      <c r="AD426" s="207">
        <v>0</v>
      </c>
    </row>
    <row r="427" spans="1:30" s="215" customFormat="1" ht="23.1" customHeight="1" collapsed="1">
      <c r="A427" s="220" t="s">
        <v>955</v>
      </c>
      <c r="B427" s="278" t="s">
        <v>285</v>
      </c>
      <c r="C427" s="279"/>
      <c r="D427" s="280"/>
      <c r="E427" s="229"/>
      <c r="F427" s="222"/>
      <c r="G427" s="222">
        <v>5630669.5388995418</v>
      </c>
      <c r="H427" s="229"/>
      <c r="I427" s="229"/>
      <c r="J427" s="229">
        <v>5998161.2408963805</v>
      </c>
      <c r="K427" s="137"/>
      <c r="L427" s="282"/>
      <c r="M427" s="229">
        <f>+M428+M446+M471+M475+M480+M483+M490+M494</f>
        <v>0</v>
      </c>
      <c r="N427" s="229"/>
      <c r="O427" s="229"/>
      <c r="P427" s="229">
        <f>+P428+P446+P471+P475+P480+P483+P490+P494</f>
        <v>-87245.068499999994</v>
      </c>
      <c r="Q427" s="137"/>
      <c r="R427" s="282"/>
      <c r="S427" s="229">
        <f>+S428+S446+S471+S475+S480+S483+S490+S494</f>
        <v>0</v>
      </c>
      <c r="T427" s="229"/>
      <c r="U427" s="229"/>
      <c r="V427" s="229">
        <f>+V428+V446+V471+V475+V480+V483+V490+V494</f>
        <v>0</v>
      </c>
      <c r="W427" s="137"/>
      <c r="X427" s="271"/>
      <c r="Y427" s="229"/>
      <c r="Z427" s="282"/>
      <c r="AA427" s="229">
        <v>0</v>
      </c>
      <c r="AB427" s="229"/>
      <c r="AC427" s="229"/>
      <c r="AD427" s="229">
        <v>87245.068499999994</v>
      </c>
    </row>
    <row r="428" spans="1:30" s="215" customFormat="1" ht="23.1" hidden="1" customHeight="1" outlineLevel="1" collapsed="1">
      <c r="A428" s="220"/>
      <c r="B428" s="274" t="s">
        <v>250</v>
      </c>
      <c r="C428" s="274"/>
      <c r="D428" s="274"/>
      <c r="E428" s="229"/>
      <c r="F428" s="222">
        <v>0</v>
      </c>
      <c r="G428" s="222"/>
      <c r="H428" s="229"/>
      <c r="I428" s="229"/>
      <c r="J428" s="229"/>
      <c r="K428" s="137"/>
      <c r="L428" s="266"/>
      <c r="M428" s="222">
        <f t="shared" si="57"/>
        <v>0</v>
      </c>
      <c r="N428" s="229"/>
      <c r="O428" s="229"/>
      <c r="P428" s="229">
        <f t="shared" si="56"/>
        <v>0</v>
      </c>
      <c r="Q428" s="137"/>
      <c r="R428" s="266"/>
      <c r="S428" s="229">
        <f t="shared" si="55"/>
        <v>0</v>
      </c>
      <c r="T428" s="229"/>
      <c r="U428" s="229"/>
      <c r="V428" s="229">
        <f t="shared" si="58"/>
        <v>0</v>
      </c>
      <c r="W428" s="137"/>
      <c r="X428" s="271"/>
      <c r="Y428" s="229"/>
      <c r="Z428" s="266">
        <v>0</v>
      </c>
      <c r="AA428" s="229">
        <v>0</v>
      </c>
      <c r="AB428" s="229"/>
      <c r="AC428" s="229"/>
      <c r="AD428" s="229">
        <v>0</v>
      </c>
    </row>
    <row r="429" spans="1:30" s="216" customFormat="1" ht="23.1" hidden="1" customHeight="1" outlineLevel="2">
      <c r="A429" s="223"/>
      <c r="B429" s="275" t="s">
        <v>853</v>
      </c>
      <c r="C429" s="275" t="s">
        <v>854</v>
      </c>
      <c r="D429" s="275" t="s">
        <v>247</v>
      </c>
      <c r="E429" s="207">
        <v>7.07</v>
      </c>
      <c r="F429" s="205">
        <v>214.07744499082571</v>
      </c>
      <c r="G429" s="205">
        <v>1513.5275360851379</v>
      </c>
      <c r="H429" s="207">
        <v>7.07</v>
      </c>
      <c r="I429" s="207"/>
      <c r="J429" s="207">
        <v>1116.6358</v>
      </c>
      <c r="K429" s="123"/>
      <c r="L429" s="267">
        <v>214.07744499082571</v>
      </c>
      <c r="M429" s="205">
        <f t="shared" si="57"/>
        <v>0</v>
      </c>
      <c r="N429" s="207"/>
      <c r="O429" s="207"/>
      <c r="P429" s="207">
        <f t="shared" si="56"/>
        <v>0</v>
      </c>
      <c r="Q429" s="123"/>
      <c r="R429" s="267">
        <v>214.07744499082571</v>
      </c>
      <c r="S429" s="207">
        <f t="shared" si="55"/>
        <v>0</v>
      </c>
      <c r="T429" s="207"/>
      <c r="U429" s="207"/>
      <c r="V429" s="207">
        <f t="shared" si="58"/>
        <v>0</v>
      </c>
      <c r="W429" s="123"/>
      <c r="X429" s="268"/>
      <c r="Y429" s="207"/>
      <c r="Z429" s="267">
        <v>214.07744499082571</v>
      </c>
      <c r="AA429" s="207">
        <v>0</v>
      </c>
      <c r="AB429" s="207"/>
      <c r="AC429" s="207"/>
      <c r="AD429" s="207">
        <v>0</v>
      </c>
    </row>
    <row r="430" spans="1:30" s="216" customFormat="1" ht="23.1" hidden="1" customHeight="1" outlineLevel="2">
      <c r="A430" s="223"/>
      <c r="B430" s="275" t="s">
        <v>260</v>
      </c>
      <c r="C430" s="275" t="s">
        <v>855</v>
      </c>
      <c r="D430" s="275" t="s">
        <v>103</v>
      </c>
      <c r="E430" s="207">
        <v>1.77</v>
      </c>
      <c r="F430" s="205">
        <v>546.29536469724769</v>
      </c>
      <c r="G430" s="205">
        <v>966.94279551412842</v>
      </c>
      <c r="H430" s="207">
        <v>1.77</v>
      </c>
      <c r="I430" s="207"/>
      <c r="J430" s="207">
        <v>828.7384019417475</v>
      </c>
      <c r="K430" s="123"/>
      <c r="L430" s="267">
        <v>546.29536469724769</v>
      </c>
      <c r="M430" s="205">
        <f t="shared" si="57"/>
        <v>0</v>
      </c>
      <c r="N430" s="207"/>
      <c r="O430" s="207"/>
      <c r="P430" s="207">
        <f t="shared" si="56"/>
        <v>0</v>
      </c>
      <c r="Q430" s="123"/>
      <c r="R430" s="267">
        <v>546.29536469724769</v>
      </c>
      <c r="S430" s="207">
        <f t="shared" si="55"/>
        <v>0</v>
      </c>
      <c r="T430" s="207"/>
      <c r="U430" s="207"/>
      <c r="V430" s="207">
        <f t="shared" si="58"/>
        <v>0</v>
      </c>
      <c r="W430" s="123"/>
      <c r="X430" s="268"/>
      <c r="Y430" s="207"/>
      <c r="Z430" s="267">
        <v>546.29536469724769</v>
      </c>
      <c r="AA430" s="207">
        <v>0</v>
      </c>
      <c r="AB430" s="207"/>
      <c r="AC430" s="207"/>
      <c r="AD430" s="207">
        <v>0</v>
      </c>
    </row>
    <row r="431" spans="1:30" s="216" customFormat="1" ht="23.1" hidden="1" customHeight="1" outlineLevel="2">
      <c r="A431" s="223"/>
      <c r="B431" s="275" t="s">
        <v>956</v>
      </c>
      <c r="C431" s="275" t="s">
        <v>957</v>
      </c>
      <c r="D431" s="275" t="s">
        <v>247</v>
      </c>
      <c r="E431" s="207">
        <v>357.79</v>
      </c>
      <c r="F431" s="205">
        <v>397.70924741284404</v>
      </c>
      <c r="G431" s="205">
        <v>142296.39163184148</v>
      </c>
      <c r="H431" s="207">
        <v>357.79</v>
      </c>
      <c r="I431" s="207"/>
      <c r="J431" s="207">
        <v>67879.097272475716</v>
      </c>
      <c r="K431" s="123"/>
      <c r="L431" s="267">
        <v>397.70924741284404</v>
      </c>
      <c r="M431" s="205">
        <f t="shared" si="57"/>
        <v>0</v>
      </c>
      <c r="N431" s="207"/>
      <c r="O431" s="207"/>
      <c r="P431" s="207">
        <f t="shared" si="56"/>
        <v>0</v>
      </c>
      <c r="Q431" s="123"/>
      <c r="R431" s="267">
        <v>397.70924741284404</v>
      </c>
      <c r="S431" s="207">
        <f t="shared" ref="S431:S494" si="59">+R431*Q431</f>
        <v>0</v>
      </c>
      <c r="T431" s="207"/>
      <c r="U431" s="207"/>
      <c r="V431" s="207">
        <f t="shared" si="58"/>
        <v>0</v>
      </c>
      <c r="W431" s="123"/>
      <c r="X431" s="268"/>
      <c r="Y431" s="207"/>
      <c r="Z431" s="267">
        <v>397.70924741284404</v>
      </c>
      <c r="AA431" s="207">
        <v>0</v>
      </c>
      <c r="AB431" s="207"/>
      <c r="AC431" s="207"/>
      <c r="AD431" s="207">
        <v>0</v>
      </c>
    </row>
    <row r="432" spans="1:30" s="216" customFormat="1" ht="23.1" hidden="1" customHeight="1" outlineLevel="2">
      <c r="A432" s="223"/>
      <c r="B432" s="275" t="s">
        <v>958</v>
      </c>
      <c r="C432" s="275" t="s">
        <v>959</v>
      </c>
      <c r="D432" s="275" t="s">
        <v>247</v>
      </c>
      <c r="E432" s="207">
        <v>357.79</v>
      </c>
      <c r="F432" s="205">
        <v>123.4518640733945</v>
      </c>
      <c r="G432" s="205">
        <v>44169.842446819821</v>
      </c>
      <c r="H432" s="207">
        <v>357.79</v>
      </c>
      <c r="I432" s="207"/>
      <c r="J432" s="207">
        <v>19355.278787766994</v>
      </c>
      <c r="K432" s="123"/>
      <c r="L432" s="267">
        <v>123.4518640733945</v>
      </c>
      <c r="M432" s="205">
        <f t="shared" si="57"/>
        <v>0</v>
      </c>
      <c r="N432" s="207"/>
      <c r="O432" s="207"/>
      <c r="P432" s="207">
        <f t="shared" si="56"/>
        <v>0</v>
      </c>
      <c r="Q432" s="123"/>
      <c r="R432" s="267">
        <v>123.4518640733945</v>
      </c>
      <c r="S432" s="207">
        <f t="shared" si="59"/>
        <v>0</v>
      </c>
      <c r="T432" s="207"/>
      <c r="U432" s="207"/>
      <c r="V432" s="207">
        <f t="shared" si="58"/>
        <v>0</v>
      </c>
      <c r="W432" s="123"/>
      <c r="X432" s="268"/>
      <c r="Y432" s="207"/>
      <c r="Z432" s="267">
        <v>123.4518640733945</v>
      </c>
      <c r="AA432" s="207">
        <v>0</v>
      </c>
      <c r="AB432" s="207"/>
      <c r="AC432" s="207"/>
      <c r="AD432" s="207">
        <v>0</v>
      </c>
    </row>
    <row r="433" spans="1:30" s="216" customFormat="1" ht="23.1" hidden="1" customHeight="1" outlineLevel="2">
      <c r="A433" s="223"/>
      <c r="B433" s="275" t="s">
        <v>960</v>
      </c>
      <c r="C433" s="275" t="s">
        <v>961</v>
      </c>
      <c r="D433" s="275" t="s">
        <v>247</v>
      </c>
      <c r="E433" s="207">
        <v>899.12</v>
      </c>
      <c r="F433" s="205">
        <v>110.04060594495414</v>
      </c>
      <c r="G433" s="205">
        <v>98939.70961722717</v>
      </c>
      <c r="H433" s="207">
        <v>899.12</v>
      </c>
      <c r="I433" s="207"/>
      <c r="J433" s="207">
        <v>48639.476406990296</v>
      </c>
      <c r="K433" s="123"/>
      <c r="L433" s="267">
        <v>110.04060594495414</v>
      </c>
      <c r="M433" s="205">
        <f t="shared" si="57"/>
        <v>0</v>
      </c>
      <c r="N433" s="207"/>
      <c r="O433" s="207"/>
      <c r="P433" s="207">
        <f t="shared" si="56"/>
        <v>0</v>
      </c>
      <c r="Q433" s="123"/>
      <c r="R433" s="267">
        <v>110.04060594495414</v>
      </c>
      <c r="S433" s="207">
        <f t="shared" si="59"/>
        <v>0</v>
      </c>
      <c r="T433" s="207"/>
      <c r="U433" s="207"/>
      <c r="V433" s="207">
        <f t="shared" si="58"/>
        <v>0</v>
      </c>
      <c r="W433" s="123"/>
      <c r="X433" s="268"/>
      <c r="Y433" s="207"/>
      <c r="Z433" s="267">
        <v>110.04060594495414</v>
      </c>
      <c r="AA433" s="207">
        <v>0</v>
      </c>
      <c r="AB433" s="207"/>
      <c r="AC433" s="207"/>
      <c r="AD433" s="207">
        <v>0</v>
      </c>
    </row>
    <row r="434" spans="1:30" s="216" customFormat="1" ht="23.1" hidden="1" customHeight="1" outlineLevel="2">
      <c r="A434" s="223"/>
      <c r="B434" s="275" t="s">
        <v>862</v>
      </c>
      <c r="C434" s="275" t="s">
        <v>962</v>
      </c>
      <c r="D434" s="275" t="s">
        <v>247</v>
      </c>
      <c r="E434" s="207">
        <v>1021.77</v>
      </c>
      <c r="F434" s="205">
        <v>89.383095192660548</v>
      </c>
      <c r="G434" s="205">
        <v>91328.965175004763</v>
      </c>
      <c r="H434" s="207">
        <v>1021.77</v>
      </c>
      <c r="I434" s="207"/>
      <c r="J434" s="207">
        <v>53206.187765679613</v>
      </c>
      <c r="K434" s="123"/>
      <c r="L434" s="267">
        <v>89.383095192660548</v>
      </c>
      <c r="M434" s="205">
        <f t="shared" si="57"/>
        <v>0</v>
      </c>
      <c r="N434" s="207"/>
      <c r="O434" s="207"/>
      <c r="P434" s="207">
        <f t="shared" si="56"/>
        <v>0</v>
      </c>
      <c r="Q434" s="123"/>
      <c r="R434" s="267">
        <v>89.383095192660548</v>
      </c>
      <c r="S434" s="207">
        <f t="shared" si="59"/>
        <v>0</v>
      </c>
      <c r="T434" s="207"/>
      <c r="U434" s="207"/>
      <c r="V434" s="207">
        <f t="shared" si="58"/>
        <v>0</v>
      </c>
      <c r="W434" s="123"/>
      <c r="X434" s="268"/>
      <c r="Y434" s="207"/>
      <c r="Z434" s="267">
        <v>89.383095192660548</v>
      </c>
      <c r="AA434" s="207">
        <v>0</v>
      </c>
      <c r="AB434" s="207"/>
      <c r="AC434" s="207"/>
      <c r="AD434" s="207">
        <v>0</v>
      </c>
    </row>
    <row r="435" spans="1:30" s="216" customFormat="1" ht="23.1" hidden="1" customHeight="1" outlineLevel="2">
      <c r="A435" s="223"/>
      <c r="B435" s="275" t="s">
        <v>963</v>
      </c>
      <c r="C435" s="275" t="s">
        <v>964</v>
      </c>
      <c r="D435" s="275" t="s">
        <v>247</v>
      </c>
      <c r="E435" s="207">
        <v>722.15</v>
      </c>
      <c r="F435" s="205">
        <v>117.10665071559633</v>
      </c>
      <c r="G435" s="205">
        <v>84568.567814267881</v>
      </c>
      <c r="H435" s="207">
        <v>722.15</v>
      </c>
      <c r="I435" s="207"/>
      <c r="J435" s="207">
        <v>37262.94</v>
      </c>
      <c r="K435" s="123"/>
      <c r="L435" s="267">
        <v>117.10665071559633</v>
      </c>
      <c r="M435" s="205">
        <f t="shared" si="57"/>
        <v>0</v>
      </c>
      <c r="N435" s="207"/>
      <c r="O435" s="207"/>
      <c r="P435" s="207">
        <f t="shared" si="56"/>
        <v>0</v>
      </c>
      <c r="Q435" s="123"/>
      <c r="R435" s="267">
        <v>117.10665071559633</v>
      </c>
      <c r="S435" s="207">
        <f t="shared" si="59"/>
        <v>0</v>
      </c>
      <c r="T435" s="207"/>
      <c r="U435" s="207"/>
      <c r="V435" s="207">
        <f t="shared" si="58"/>
        <v>0</v>
      </c>
      <c r="W435" s="123"/>
      <c r="X435" s="268"/>
      <c r="Y435" s="207"/>
      <c r="Z435" s="267">
        <v>117.10665071559633</v>
      </c>
      <c r="AA435" s="207">
        <v>0</v>
      </c>
      <c r="AB435" s="207"/>
      <c r="AC435" s="207"/>
      <c r="AD435" s="207">
        <v>0</v>
      </c>
    </row>
    <row r="436" spans="1:30" s="216" customFormat="1" ht="23.1" hidden="1" customHeight="1" outlineLevel="2">
      <c r="A436" s="223"/>
      <c r="B436" s="275" t="s">
        <v>965</v>
      </c>
      <c r="C436" s="275" t="s">
        <v>966</v>
      </c>
      <c r="D436" s="275" t="s">
        <v>247</v>
      </c>
      <c r="E436" s="207">
        <v>132.35</v>
      </c>
      <c r="F436" s="205">
        <v>581.68249629357797</v>
      </c>
      <c r="G436" s="205">
        <v>76985.678384455037</v>
      </c>
      <c r="H436" s="207">
        <v>132.35</v>
      </c>
      <c r="I436" s="207"/>
      <c r="J436" s="207">
        <v>28065.76322427185</v>
      </c>
      <c r="K436" s="123"/>
      <c r="L436" s="267">
        <v>581.68249629357797</v>
      </c>
      <c r="M436" s="205">
        <f t="shared" si="57"/>
        <v>0</v>
      </c>
      <c r="N436" s="207"/>
      <c r="O436" s="207"/>
      <c r="P436" s="207">
        <f t="shared" ref="P436:P499" si="60">+O436*N436</f>
        <v>0</v>
      </c>
      <c r="Q436" s="123"/>
      <c r="R436" s="267">
        <v>581.68249629357797</v>
      </c>
      <c r="S436" s="207">
        <f t="shared" si="59"/>
        <v>0</v>
      </c>
      <c r="T436" s="207"/>
      <c r="U436" s="207"/>
      <c r="V436" s="207">
        <f t="shared" si="58"/>
        <v>0</v>
      </c>
      <c r="W436" s="123"/>
      <c r="X436" s="268"/>
      <c r="Y436" s="207"/>
      <c r="Z436" s="267">
        <v>581.68249629357797</v>
      </c>
      <c r="AA436" s="207">
        <v>0</v>
      </c>
      <c r="AB436" s="207"/>
      <c r="AC436" s="207"/>
      <c r="AD436" s="207">
        <v>0</v>
      </c>
    </row>
    <row r="437" spans="1:30" s="216" customFormat="1" ht="23.1" hidden="1" customHeight="1" outlineLevel="2">
      <c r="A437" s="223"/>
      <c r="B437" s="275" t="s">
        <v>864</v>
      </c>
      <c r="C437" s="275" t="s">
        <v>967</v>
      </c>
      <c r="D437" s="275" t="s">
        <v>247</v>
      </c>
      <c r="E437" s="207">
        <v>32.380000000000003</v>
      </c>
      <c r="F437" s="205">
        <v>149.03189460550459</v>
      </c>
      <c r="G437" s="205">
        <v>4825.6527473262386</v>
      </c>
      <c r="H437" s="207">
        <v>32.380000000000003</v>
      </c>
      <c r="I437" s="207"/>
      <c r="J437" s="207">
        <v>4340.1102007766995</v>
      </c>
      <c r="K437" s="123"/>
      <c r="L437" s="267">
        <v>149.03189460550459</v>
      </c>
      <c r="M437" s="205">
        <f t="shared" si="57"/>
        <v>0</v>
      </c>
      <c r="N437" s="207"/>
      <c r="O437" s="207"/>
      <c r="P437" s="207">
        <f t="shared" si="60"/>
        <v>0</v>
      </c>
      <c r="Q437" s="123"/>
      <c r="R437" s="267">
        <v>149.03189460550459</v>
      </c>
      <c r="S437" s="207">
        <f t="shared" si="59"/>
        <v>0</v>
      </c>
      <c r="T437" s="207"/>
      <c r="U437" s="207"/>
      <c r="V437" s="207">
        <f t="shared" si="58"/>
        <v>0</v>
      </c>
      <c r="W437" s="123"/>
      <c r="X437" s="268"/>
      <c r="Y437" s="207"/>
      <c r="Z437" s="267">
        <v>149.03189460550459</v>
      </c>
      <c r="AA437" s="207">
        <v>0</v>
      </c>
      <c r="AB437" s="207"/>
      <c r="AC437" s="207"/>
      <c r="AD437" s="207">
        <v>0</v>
      </c>
    </row>
    <row r="438" spans="1:30" s="216" customFormat="1" ht="23.1" hidden="1" customHeight="1" outlineLevel="2">
      <c r="A438" s="223"/>
      <c r="B438" s="275" t="s">
        <v>968</v>
      </c>
      <c r="C438" s="275" t="s">
        <v>969</v>
      </c>
      <c r="D438" s="275" t="s">
        <v>247</v>
      </c>
      <c r="E438" s="207">
        <v>905.94</v>
      </c>
      <c r="F438" s="205">
        <v>21.805150238532107</v>
      </c>
      <c r="G438" s="205">
        <v>19754.157807095777</v>
      </c>
      <c r="H438" s="207">
        <v>905.94</v>
      </c>
      <c r="I438" s="207"/>
      <c r="J438" s="207">
        <v>25453.976291650491</v>
      </c>
      <c r="K438" s="123"/>
      <c r="L438" s="267">
        <v>21.805150238532107</v>
      </c>
      <c r="M438" s="205">
        <f t="shared" si="57"/>
        <v>0</v>
      </c>
      <c r="N438" s="207"/>
      <c r="O438" s="207"/>
      <c r="P438" s="207">
        <f t="shared" si="60"/>
        <v>0</v>
      </c>
      <c r="Q438" s="123"/>
      <c r="R438" s="267">
        <v>21.805150238532107</v>
      </c>
      <c r="S438" s="207">
        <f t="shared" si="59"/>
        <v>0</v>
      </c>
      <c r="T438" s="207"/>
      <c r="U438" s="207"/>
      <c r="V438" s="207">
        <f t="shared" si="58"/>
        <v>0</v>
      </c>
      <c r="W438" s="123"/>
      <c r="X438" s="268"/>
      <c r="Y438" s="207"/>
      <c r="Z438" s="267">
        <v>21.805150238532107</v>
      </c>
      <c r="AA438" s="207">
        <v>0</v>
      </c>
      <c r="AB438" s="207"/>
      <c r="AC438" s="207"/>
      <c r="AD438" s="207">
        <v>0</v>
      </c>
    </row>
    <row r="439" spans="1:30" s="216" customFormat="1" ht="23.1" hidden="1" customHeight="1" outlineLevel="2">
      <c r="A439" s="223"/>
      <c r="B439" s="275" t="s">
        <v>970</v>
      </c>
      <c r="C439" s="275" t="s">
        <v>971</v>
      </c>
      <c r="D439" s="275" t="s">
        <v>247</v>
      </c>
      <c r="E439" s="207">
        <v>8135.24</v>
      </c>
      <c r="F439" s="205">
        <v>148.75684051376149</v>
      </c>
      <c r="G439" s="205">
        <v>1210172.599221173</v>
      </c>
      <c r="H439" s="207">
        <v>8135.24</v>
      </c>
      <c r="I439" s="207"/>
      <c r="J439" s="207">
        <v>985151.18370718451</v>
      </c>
      <c r="K439" s="123"/>
      <c r="L439" s="267">
        <v>148.75684051376149</v>
      </c>
      <c r="M439" s="205">
        <f t="shared" si="57"/>
        <v>0</v>
      </c>
      <c r="N439" s="207"/>
      <c r="O439" s="207"/>
      <c r="P439" s="207">
        <f t="shared" si="60"/>
        <v>0</v>
      </c>
      <c r="Q439" s="123"/>
      <c r="R439" s="267">
        <v>148.75684051376149</v>
      </c>
      <c r="S439" s="207">
        <f t="shared" si="59"/>
        <v>0</v>
      </c>
      <c r="T439" s="207"/>
      <c r="U439" s="207"/>
      <c r="V439" s="207">
        <f t="shared" si="58"/>
        <v>0</v>
      </c>
      <c r="W439" s="123"/>
      <c r="X439" s="268"/>
      <c r="Y439" s="207"/>
      <c r="Z439" s="267">
        <v>148.75684051376149</v>
      </c>
      <c r="AA439" s="207">
        <v>0</v>
      </c>
      <c r="AB439" s="207"/>
      <c r="AC439" s="207"/>
      <c r="AD439" s="207">
        <v>0</v>
      </c>
    </row>
    <row r="440" spans="1:30" s="216" customFormat="1" ht="23.1" hidden="1" customHeight="1" outlineLevel="2">
      <c r="A440" s="223"/>
      <c r="B440" s="275" t="s">
        <v>729</v>
      </c>
      <c r="C440" s="275" t="s">
        <v>868</v>
      </c>
      <c r="D440" s="275" t="s">
        <v>247</v>
      </c>
      <c r="E440" s="207">
        <v>113.22</v>
      </c>
      <c r="F440" s="205">
        <v>29.610995669724769</v>
      </c>
      <c r="G440" s="205">
        <v>3352.5569297262382</v>
      </c>
      <c r="H440" s="207">
        <v>113.22</v>
      </c>
      <c r="I440" s="207"/>
      <c r="J440" s="207">
        <v>3181.1148594174761</v>
      </c>
      <c r="K440" s="123"/>
      <c r="L440" s="267">
        <v>29.610995669724769</v>
      </c>
      <c r="M440" s="205">
        <f t="shared" si="57"/>
        <v>0</v>
      </c>
      <c r="N440" s="207"/>
      <c r="O440" s="207"/>
      <c r="P440" s="207">
        <f t="shared" si="60"/>
        <v>0</v>
      </c>
      <c r="Q440" s="123"/>
      <c r="R440" s="267">
        <v>29.610995669724769</v>
      </c>
      <c r="S440" s="207">
        <f t="shared" si="59"/>
        <v>0</v>
      </c>
      <c r="T440" s="207"/>
      <c r="U440" s="207"/>
      <c r="V440" s="207">
        <f t="shared" si="58"/>
        <v>0</v>
      </c>
      <c r="W440" s="123"/>
      <c r="X440" s="268"/>
      <c r="Y440" s="207"/>
      <c r="Z440" s="267">
        <v>29.610995669724769</v>
      </c>
      <c r="AA440" s="207">
        <v>0</v>
      </c>
      <c r="AB440" s="207"/>
      <c r="AC440" s="207"/>
      <c r="AD440" s="207">
        <v>0</v>
      </c>
    </row>
    <row r="441" spans="1:30" s="216" customFormat="1" ht="23.1" hidden="1" customHeight="1" outlineLevel="2">
      <c r="A441" s="223"/>
      <c r="B441" s="275" t="s">
        <v>869</v>
      </c>
      <c r="C441" s="275" t="s">
        <v>870</v>
      </c>
      <c r="D441" s="275" t="s">
        <v>247</v>
      </c>
      <c r="E441" s="207">
        <v>7.2</v>
      </c>
      <c r="F441" s="205">
        <v>74.046458422018347</v>
      </c>
      <c r="G441" s="205">
        <v>533.13450063853213</v>
      </c>
      <c r="H441" s="207">
        <v>7.2</v>
      </c>
      <c r="I441" s="207"/>
      <c r="J441" s="207">
        <v>403.89665242718451</v>
      </c>
      <c r="K441" s="123"/>
      <c r="L441" s="267">
        <v>74.046458422018347</v>
      </c>
      <c r="M441" s="205">
        <f t="shared" si="57"/>
        <v>0</v>
      </c>
      <c r="N441" s="207"/>
      <c r="O441" s="207"/>
      <c r="P441" s="207">
        <f t="shared" si="60"/>
        <v>0</v>
      </c>
      <c r="Q441" s="123"/>
      <c r="R441" s="267">
        <v>74.046458422018347</v>
      </c>
      <c r="S441" s="207">
        <f t="shared" si="59"/>
        <v>0</v>
      </c>
      <c r="T441" s="207"/>
      <c r="U441" s="207"/>
      <c r="V441" s="207">
        <f t="shared" si="58"/>
        <v>0</v>
      </c>
      <c r="W441" s="123"/>
      <c r="X441" s="268"/>
      <c r="Y441" s="207"/>
      <c r="Z441" s="267">
        <v>74.046458422018347</v>
      </c>
      <c r="AA441" s="207">
        <v>0</v>
      </c>
      <c r="AB441" s="207"/>
      <c r="AC441" s="207"/>
      <c r="AD441" s="207">
        <v>0</v>
      </c>
    </row>
    <row r="442" spans="1:30" s="216" customFormat="1" ht="23.1" hidden="1" customHeight="1" outlineLevel="2">
      <c r="A442" s="223"/>
      <c r="B442" s="275" t="s">
        <v>733</v>
      </c>
      <c r="C442" s="275" t="s">
        <v>871</v>
      </c>
      <c r="D442" s="275" t="s">
        <v>247</v>
      </c>
      <c r="E442" s="207">
        <v>16.72</v>
      </c>
      <c r="F442" s="205">
        <v>42.149668403669722</v>
      </c>
      <c r="G442" s="205">
        <v>704.74245570935773</v>
      </c>
      <c r="H442" s="207">
        <v>16.72</v>
      </c>
      <c r="I442" s="207"/>
      <c r="J442" s="207">
        <v>537.46667262135918</v>
      </c>
      <c r="K442" s="123"/>
      <c r="L442" s="267">
        <v>42.149668403669722</v>
      </c>
      <c r="M442" s="205">
        <f t="shared" si="57"/>
        <v>0</v>
      </c>
      <c r="N442" s="207"/>
      <c r="O442" s="207"/>
      <c r="P442" s="207">
        <f t="shared" si="60"/>
        <v>0</v>
      </c>
      <c r="Q442" s="123"/>
      <c r="R442" s="267">
        <v>42.149668403669722</v>
      </c>
      <c r="S442" s="207">
        <f t="shared" si="59"/>
        <v>0</v>
      </c>
      <c r="T442" s="207"/>
      <c r="U442" s="207"/>
      <c r="V442" s="207">
        <f t="shared" si="58"/>
        <v>0</v>
      </c>
      <c r="W442" s="123"/>
      <c r="X442" s="268"/>
      <c r="Y442" s="207"/>
      <c r="Z442" s="267">
        <v>42.149668403669722</v>
      </c>
      <c r="AA442" s="207">
        <v>0</v>
      </c>
      <c r="AB442" s="207"/>
      <c r="AC442" s="207"/>
      <c r="AD442" s="207">
        <v>0</v>
      </c>
    </row>
    <row r="443" spans="1:30" s="216" customFormat="1" ht="23.1" hidden="1" customHeight="1" outlineLevel="2">
      <c r="A443" s="223"/>
      <c r="B443" s="275" t="s">
        <v>972</v>
      </c>
      <c r="C443" s="275" t="s">
        <v>973</v>
      </c>
      <c r="D443" s="275" t="s">
        <v>247</v>
      </c>
      <c r="E443" s="207">
        <v>10.119999999999999</v>
      </c>
      <c r="F443" s="205">
        <v>123.34753321100919</v>
      </c>
      <c r="G443" s="205">
        <v>1248.277036095413</v>
      </c>
      <c r="H443" s="207">
        <v>10.119999999999999</v>
      </c>
      <c r="I443" s="207"/>
      <c r="J443" s="207">
        <v>509.38298827184485</v>
      </c>
      <c r="K443" s="123"/>
      <c r="L443" s="267">
        <v>123.34753321100919</v>
      </c>
      <c r="M443" s="205">
        <f t="shared" si="57"/>
        <v>0</v>
      </c>
      <c r="N443" s="207"/>
      <c r="O443" s="207"/>
      <c r="P443" s="207">
        <f t="shared" si="60"/>
        <v>0</v>
      </c>
      <c r="Q443" s="123"/>
      <c r="R443" s="267">
        <v>123.34753321100919</v>
      </c>
      <c r="S443" s="207">
        <f t="shared" si="59"/>
        <v>0</v>
      </c>
      <c r="T443" s="207"/>
      <c r="U443" s="207"/>
      <c r="V443" s="207">
        <f t="shared" si="58"/>
        <v>0</v>
      </c>
      <c r="W443" s="123"/>
      <c r="X443" s="268"/>
      <c r="Y443" s="207"/>
      <c r="Z443" s="267">
        <v>123.34753321100919</v>
      </c>
      <c r="AA443" s="207">
        <v>0</v>
      </c>
      <c r="AB443" s="207"/>
      <c r="AC443" s="207"/>
      <c r="AD443" s="207">
        <v>0</v>
      </c>
    </row>
    <row r="444" spans="1:30" s="216" customFormat="1" ht="23.1" hidden="1" customHeight="1" outlineLevel="2">
      <c r="A444" s="223"/>
      <c r="B444" s="275" t="s">
        <v>874</v>
      </c>
      <c r="C444" s="275" t="s">
        <v>974</v>
      </c>
      <c r="D444" s="275" t="s">
        <v>247</v>
      </c>
      <c r="E444" s="207">
        <v>74.91</v>
      </c>
      <c r="F444" s="205">
        <v>416.84921834862382</v>
      </c>
      <c r="G444" s="205">
        <v>31226.174946495408</v>
      </c>
      <c r="H444" s="207">
        <v>74.91</v>
      </c>
      <c r="I444" s="207"/>
      <c r="J444" s="207">
        <v>22513.627765776699</v>
      </c>
      <c r="K444" s="123"/>
      <c r="L444" s="267">
        <v>416.84921834862382</v>
      </c>
      <c r="M444" s="205">
        <f t="shared" si="57"/>
        <v>0</v>
      </c>
      <c r="N444" s="207"/>
      <c r="O444" s="207"/>
      <c r="P444" s="207">
        <f t="shared" si="60"/>
        <v>0</v>
      </c>
      <c r="Q444" s="123"/>
      <c r="R444" s="267">
        <v>416.84921834862382</v>
      </c>
      <c r="S444" s="207">
        <f t="shared" si="59"/>
        <v>0</v>
      </c>
      <c r="T444" s="207"/>
      <c r="U444" s="207"/>
      <c r="V444" s="207">
        <f t="shared" si="58"/>
        <v>0</v>
      </c>
      <c r="W444" s="123"/>
      <c r="X444" s="268"/>
      <c r="Y444" s="207"/>
      <c r="Z444" s="267">
        <v>416.84921834862382</v>
      </c>
      <c r="AA444" s="207">
        <v>0</v>
      </c>
      <c r="AB444" s="207"/>
      <c r="AC444" s="207"/>
      <c r="AD444" s="207">
        <v>0</v>
      </c>
    </row>
    <row r="445" spans="1:30" s="216" customFormat="1" ht="23.1" hidden="1" customHeight="1" outlineLevel="2">
      <c r="A445" s="223"/>
      <c r="B445" s="275" t="s">
        <v>876</v>
      </c>
      <c r="C445" s="275" t="s">
        <v>877</v>
      </c>
      <c r="D445" s="275" t="s">
        <v>247</v>
      </c>
      <c r="E445" s="207">
        <v>74.91</v>
      </c>
      <c r="F445" s="205">
        <v>501.82196344954127</v>
      </c>
      <c r="G445" s="205">
        <v>37591.483282005138</v>
      </c>
      <c r="H445" s="207">
        <v>74.91</v>
      </c>
      <c r="I445" s="207"/>
      <c r="J445" s="207">
        <v>26820.952765776696</v>
      </c>
      <c r="K445" s="123"/>
      <c r="L445" s="267">
        <v>501.82196344954127</v>
      </c>
      <c r="M445" s="205">
        <f t="shared" ref="M445:M508" si="61">+L445*K445</f>
        <v>0</v>
      </c>
      <c r="N445" s="207"/>
      <c r="O445" s="207"/>
      <c r="P445" s="207">
        <f t="shared" si="60"/>
        <v>0</v>
      </c>
      <c r="Q445" s="123"/>
      <c r="R445" s="267">
        <v>501.82196344954127</v>
      </c>
      <c r="S445" s="207">
        <f t="shared" si="59"/>
        <v>0</v>
      </c>
      <c r="T445" s="207"/>
      <c r="U445" s="207"/>
      <c r="V445" s="207">
        <f t="shared" si="58"/>
        <v>0</v>
      </c>
      <c r="W445" s="123"/>
      <c r="X445" s="268"/>
      <c r="Y445" s="207"/>
      <c r="Z445" s="267">
        <v>501.82196344954127</v>
      </c>
      <c r="AA445" s="207">
        <v>0</v>
      </c>
      <c r="AB445" s="207"/>
      <c r="AC445" s="207"/>
      <c r="AD445" s="207">
        <v>0</v>
      </c>
    </row>
    <row r="446" spans="1:30" s="215" customFormat="1" ht="23.1" hidden="1" customHeight="1" outlineLevel="1" collapsed="1">
      <c r="A446" s="220"/>
      <c r="B446" s="274" t="s">
        <v>743</v>
      </c>
      <c r="C446" s="274"/>
      <c r="D446" s="274"/>
      <c r="E446" s="229"/>
      <c r="F446" s="222">
        <v>0</v>
      </c>
      <c r="G446" s="229">
        <f>+G447+G466</f>
        <v>1759972.4790337496</v>
      </c>
      <c r="H446" s="229"/>
      <c r="I446" s="229"/>
      <c r="J446" s="229">
        <f>+J447+J466</f>
        <v>1463572.8471824853</v>
      </c>
      <c r="K446" s="137"/>
      <c r="L446" s="266"/>
      <c r="M446" s="229">
        <f>+M447+M466</f>
        <v>0</v>
      </c>
      <c r="N446" s="229"/>
      <c r="O446" s="229"/>
      <c r="P446" s="229">
        <f>+P447+P466</f>
        <v>-87245.068499999994</v>
      </c>
      <c r="Q446" s="137"/>
      <c r="R446" s="266"/>
      <c r="S446" s="229">
        <f>+S447+S466</f>
        <v>0</v>
      </c>
      <c r="T446" s="229"/>
      <c r="U446" s="229"/>
      <c r="V446" s="229">
        <f>+V447+V466</f>
        <v>0</v>
      </c>
      <c r="W446" s="137"/>
      <c r="X446" s="271"/>
      <c r="Y446" s="229"/>
      <c r="Z446" s="266">
        <v>0</v>
      </c>
      <c r="AA446" s="229">
        <v>0</v>
      </c>
      <c r="AB446" s="229"/>
      <c r="AC446" s="229"/>
      <c r="AD446" s="229">
        <v>87245.068499999994</v>
      </c>
    </row>
    <row r="447" spans="1:30" s="215" customFormat="1" ht="23.1" hidden="1" customHeight="1" outlineLevel="2" collapsed="1">
      <c r="A447" s="220"/>
      <c r="B447" s="274" t="s">
        <v>744</v>
      </c>
      <c r="C447" s="274"/>
      <c r="D447" s="274"/>
      <c r="E447" s="229"/>
      <c r="F447" s="222">
        <v>0</v>
      </c>
      <c r="G447" s="222">
        <v>0</v>
      </c>
      <c r="H447" s="229"/>
      <c r="I447" s="229"/>
      <c r="J447" s="229">
        <v>0</v>
      </c>
      <c r="K447" s="137"/>
      <c r="L447" s="266"/>
      <c r="M447" s="222">
        <f t="shared" si="61"/>
        <v>0</v>
      </c>
      <c r="N447" s="229"/>
      <c r="O447" s="229"/>
      <c r="P447" s="229">
        <f t="shared" si="60"/>
        <v>0</v>
      </c>
      <c r="Q447" s="137"/>
      <c r="R447" s="266"/>
      <c r="S447" s="229">
        <f t="shared" si="59"/>
        <v>0</v>
      </c>
      <c r="T447" s="229"/>
      <c r="U447" s="229"/>
      <c r="V447" s="229">
        <f>SUM(V448:V465)</f>
        <v>0</v>
      </c>
      <c r="W447" s="137"/>
      <c r="X447" s="271"/>
      <c r="Y447" s="229"/>
      <c r="Z447" s="266">
        <v>0</v>
      </c>
      <c r="AA447" s="229">
        <v>0</v>
      </c>
      <c r="AB447" s="229"/>
      <c r="AC447" s="229"/>
      <c r="AD447" s="229">
        <v>0</v>
      </c>
    </row>
    <row r="448" spans="1:30" s="216" customFormat="1" ht="23.1" hidden="1" customHeight="1" outlineLevel="3">
      <c r="A448" s="223"/>
      <c r="B448" s="275" t="s">
        <v>880</v>
      </c>
      <c r="C448" s="275" t="s">
        <v>975</v>
      </c>
      <c r="D448" s="275" t="s">
        <v>247</v>
      </c>
      <c r="E448" s="207">
        <v>164.78</v>
      </c>
      <c r="F448" s="205">
        <v>242.6641012844037</v>
      </c>
      <c r="G448" s="205">
        <v>39986.190609644043</v>
      </c>
      <c r="H448" s="207">
        <v>164.78</v>
      </c>
      <c r="I448" s="207"/>
      <c r="J448" s="207">
        <v>14078.497637087385</v>
      </c>
      <c r="K448" s="123"/>
      <c r="L448" s="267">
        <v>242.6641012844037</v>
      </c>
      <c r="M448" s="205">
        <f t="shared" si="61"/>
        <v>0</v>
      </c>
      <c r="N448" s="207"/>
      <c r="O448" s="207"/>
      <c r="P448" s="207">
        <f t="shared" si="60"/>
        <v>0</v>
      </c>
      <c r="Q448" s="123"/>
      <c r="R448" s="267">
        <v>242.6641012844037</v>
      </c>
      <c r="S448" s="207">
        <f t="shared" si="59"/>
        <v>0</v>
      </c>
      <c r="T448" s="207"/>
      <c r="U448" s="207"/>
      <c r="V448" s="207">
        <f t="shared" si="58"/>
        <v>0</v>
      </c>
      <c r="W448" s="123"/>
      <c r="X448" s="268"/>
      <c r="Y448" s="207"/>
      <c r="Z448" s="267">
        <v>242.6641012844037</v>
      </c>
      <c r="AA448" s="207">
        <v>0</v>
      </c>
      <c r="AB448" s="207"/>
      <c r="AC448" s="207"/>
      <c r="AD448" s="207">
        <v>0</v>
      </c>
    </row>
    <row r="449" spans="1:30" s="216" customFormat="1" ht="23.1" hidden="1" customHeight="1" outlineLevel="3">
      <c r="A449" s="223"/>
      <c r="B449" s="275" t="s">
        <v>976</v>
      </c>
      <c r="C449" s="275" t="s">
        <v>977</v>
      </c>
      <c r="D449" s="275" t="s">
        <v>247</v>
      </c>
      <c r="E449" s="207">
        <v>55.83</v>
      </c>
      <c r="F449" s="205">
        <v>100.40422811009174</v>
      </c>
      <c r="G449" s="205">
        <v>5605.5680553864213</v>
      </c>
      <c r="H449" s="207">
        <v>55.83</v>
      </c>
      <c r="I449" s="207"/>
      <c r="J449" s="207">
        <v>4770.0116705825258</v>
      </c>
      <c r="K449" s="123"/>
      <c r="L449" s="267">
        <v>100.40422811009174</v>
      </c>
      <c r="M449" s="205">
        <f t="shared" si="61"/>
        <v>0</v>
      </c>
      <c r="N449" s="207"/>
      <c r="O449" s="207"/>
      <c r="P449" s="207">
        <f t="shared" si="60"/>
        <v>0</v>
      </c>
      <c r="Q449" s="123"/>
      <c r="R449" s="267">
        <v>100.40422811009174</v>
      </c>
      <c r="S449" s="207">
        <f t="shared" si="59"/>
        <v>0</v>
      </c>
      <c r="T449" s="207"/>
      <c r="U449" s="207"/>
      <c r="V449" s="207">
        <f t="shared" si="58"/>
        <v>0</v>
      </c>
      <c r="W449" s="123"/>
      <c r="X449" s="268"/>
      <c r="Y449" s="207"/>
      <c r="Z449" s="267">
        <v>100.40422811009174</v>
      </c>
      <c r="AA449" s="207">
        <v>0</v>
      </c>
      <c r="AB449" s="207"/>
      <c r="AC449" s="207"/>
      <c r="AD449" s="207">
        <v>0</v>
      </c>
    </row>
    <row r="450" spans="1:30" s="216" customFormat="1" ht="23.1" hidden="1" customHeight="1" outlineLevel="3">
      <c r="A450" s="223"/>
      <c r="B450" s="275" t="s">
        <v>978</v>
      </c>
      <c r="C450" s="275" t="s">
        <v>979</v>
      </c>
      <c r="D450" s="275" t="s">
        <v>247</v>
      </c>
      <c r="E450" s="207">
        <v>58.2</v>
      </c>
      <c r="F450" s="205">
        <v>73.041088293577985</v>
      </c>
      <c r="G450" s="205">
        <v>4250.991338686239</v>
      </c>
      <c r="H450" s="207">
        <v>58.2</v>
      </c>
      <c r="I450" s="207"/>
      <c r="J450" s="207">
        <v>3606.7852042718423</v>
      </c>
      <c r="K450" s="123"/>
      <c r="L450" s="267">
        <v>73.041088293577985</v>
      </c>
      <c r="M450" s="205">
        <f t="shared" si="61"/>
        <v>0</v>
      </c>
      <c r="N450" s="207"/>
      <c r="O450" s="207"/>
      <c r="P450" s="207">
        <f t="shared" si="60"/>
        <v>0</v>
      </c>
      <c r="Q450" s="123"/>
      <c r="R450" s="267">
        <v>73.041088293577985</v>
      </c>
      <c r="S450" s="207">
        <f t="shared" si="59"/>
        <v>0</v>
      </c>
      <c r="T450" s="207"/>
      <c r="U450" s="207"/>
      <c r="V450" s="207">
        <f t="shared" si="58"/>
        <v>0</v>
      </c>
      <c r="W450" s="123"/>
      <c r="X450" s="268"/>
      <c r="Y450" s="207"/>
      <c r="Z450" s="267">
        <v>73.041088293577985</v>
      </c>
      <c r="AA450" s="207">
        <v>0</v>
      </c>
      <c r="AB450" s="207"/>
      <c r="AC450" s="207"/>
      <c r="AD450" s="207">
        <v>0</v>
      </c>
    </row>
    <row r="451" spans="1:30" s="216" customFormat="1" ht="23.1" hidden="1" customHeight="1" outlineLevel="3">
      <c r="A451" s="223"/>
      <c r="B451" s="275" t="s">
        <v>882</v>
      </c>
      <c r="C451" s="275" t="s">
        <v>980</v>
      </c>
      <c r="D451" s="275" t="s">
        <v>247</v>
      </c>
      <c r="E451" s="207">
        <v>140.63999999999999</v>
      </c>
      <c r="F451" s="205">
        <v>173.47377027522936</v>
      </c>
      <c r="G451" s="205">
        <v>24397.351051508253</v>
      </c>
      <c r="H451" s="207">
        <v>140.63999999999999</v>
      </c>
      <c r="I451" s="207"/>
      <c r="J451" s="207">
        <v>3300.2429471067953</v>
      </c>
      <c r="K451" s="123"/>
      <c r="L451" s="267">
        <v>173.47377027522936</v>
      </c>
      <c r="M451" s="205">
        <f t="shared" si="61"/>
        <v>0</v>
      </c>
      <c r="N451" s="207"/>
      <c r="O451" s="207"/>
      <c r="P451" s="207">
        <f t="shared" si="60"/>
        <v>0</v>
      </c>
      <c r="Q451" s="123"/>
      <c r="R451" s="267">
        <v>173.47377027522936</v>
      </c>
      <c r="S451" s="207">
        <f t="shared" si="59"/>
        <v>0</v>
      </c>
      <c r="T451" s="207"/>
      <c r="U451" s="207"/>
      <c r="V451" s="207">
        <f t="shared" si="58"/>
        <v>0</v>
      </c>
      <c r="W451" s="123"/>
      <c r="X451" s="268"/>
      <c r="Y451" s="207"/>
      <c r="Z451" s="267">
        <v>173.47377027522936</v>
      </c>
      <c r="AA451" s="207">
        <v>0</v>
      </c>
      <c r="AB451" s="207"/>
      <c r="AC451" s="207"/>
      <c r="AD451" s="207">
        <v>0</v>
      </c>
    </row>
    <row r="452" spans="1:30" s="216" customFormat="1" ht="23.1" hidden="1" customHeight="1" outlineLevel="3">
      <c r="A452" s="223"/>
      <c r="B452" s="275" t="s">
        <v>884</v>
      </c>
      <c r="C452" s="275" t="s">
        <v>885</v>
      </c>
      <c r="D452" s="275" t="s">
        <v>247</v>
      </c>
      <c r="E452" s="207">
        <v>7123.55</v>
      </c>
      <c r="F452" s="205">
        <v>31.232866348623851</v>
      </c>
      <c r="G452" s="205">
        <v>222488.88507773945</v>
      </c>
      <c r="H452" s="207">
        <v>7123.55</v>
      </c>
      <c r="I452" s="207"/>
      <c r="J452" s="207">
        <v>224148.84970038832</v>
      </c>
      <c r="K452" s="123"/>
      <c r="L452" s="267">
        <v>31.232866348623851</v>
      </c>
      <c r="M452" s="205">
        <f t="shared" si="61"/>
        <v>0</v>
      </c>
      <c r="N452" s="207"/>
      <c r="O452" s="207"/>
      <c r="P452" s="207">
        <f t="shared" si="60"/>
        <v>0</v>
      </c>
      <c r="Q452" s="123"/>
      <c r="R452" s="267">
        <v>31.232866348623851</v>
      </c>
      <c r="S452" s="207">
        <f t="shared" si="59"/>
        <v>0</v>
      </c>
      <c r="T452" s="207"/>
      <c r="U452" s="207"/>
      <c r="V452" s="207">
        <f t="shared" si="58"/>
        <v>0</v>
      </c>
      <c r="W452" s="123"/>
      <c r="X452" s="268"/>
      <c r="Y452" s="207"/>
      <c r="Z452" s="267">
        <v>31.232866348623851</v>
      </c>
      <c r="AA452" s="207">
        <v>0</v>
      </c>
      <c r="AB452" s="207"/>
      <c r="AC452" s="207"/>
      <c r="AD452" s="207">
        <v>0</v>
      </c>
    </row>
    <row r="453" spans="1:30" s="216" customFormat="1" ht="23.1" hidden="1" customHeight="1" outlineLevel="3">
      <c r="A453" s="223"/>
      <c r="B453" s="275" t="s">
        <v>981</v>
      </c>
      <c r="C453" s="275" t="s">
        <v>982</v>
      </c>
      <c r="D453" s="275" t="s">
        <v>247</v>
      </c>
      <c r="E453" s="207">
        <v>16847.77</v>
      </c>
      <c r="F453" s="205">
        <v>3.8507572844036697</v>
      </c>
      <c r="G453" s="205">
        <v>64876.673053457613</v>
      </c>
      <c r="H453" s="207">
        <v>16847.77</v>
      </c>
      <c r="I453" s="207"/>
      <c r="J453" s="207">
        <v>0</v>
      </c>
      <c r="K453" s="123"/>
      <c r="L453" s="267">
        <v>3.8507572844036697</v>
      </c>
      <c r="M453" s="205">
        <f t="shared" si="61"/>
        <v>0</v>
      </c>
      <c r="N453" s="207"/>
      <c r="O453" s="207"/>
      <c r="P453" s="207">
        <f t="shared" si="60"/>
        <v>0</v>
      </c>
      <c r="Q453" s="123"/>
      <c r="R453" s="267">
        <v>3.8507572844036697</v>
      </c>
      <c r="S453" s="207">
        <f t="shared" si="59"/>
        <v>0</v>
      </c>
      <c r="T453" s="207"/>
      <c r="U453" s="207"/>
      <c r="V453" s="207">
        <f t="shared" si="58"/>
        <v>0</v>
      </c>
      <c r="W453" s="123"/>
      <c r="X453" s="268"/>
      <c r="Y453" s="207"/>
      <c r="Z453" s="267">
        <v>3.8507572844036697</v>
      </c>
      <c r="AA453" s="207">
        <v>0</v>
      </c>
      <c r="AB453" s="207"/>
      <c r="AC453" s="207"/>
      <c r="AD453" s="207">
        <v>0</v>
      </c>
    </row>
    <row r="454" spans="1:30" s="216" customFormat="1" ht="23.1" hidden="1" customHeight="1" outlineLevel="3">
      <c r="A454" s="223"/>
      <c r="B454" s="275" t="s">
        <v>983</v>
      </c>
      <c r="C454" s="275" t="s">
        <v>984</v>
      </c>
      <c r="D454" s="275" t="s">
        <v>247</v>
      </c>
      <c r="E454" s="207">
        <v>1719.89</v>
      </c>
      <c r="F454" s="205">
        <v>132.65194921100917</v>
      </c>
      <c r="G454" s="205">
        <v>228146.76092852256</v>
      </c>
      <c r="H454" s="207">
        <v>1719.89</v>
      </c>
      <c r="I454" s="207"/>
      <c r="J454" s="207">
        <v>184781.79228941756</v>
      </c>
      <c r="K454" s="123"/>
      <c r="L454" s="267">
        <v>132.65194921100917</v>
      </c>
      <c r="M454" s="205">
        <f t="shared" si="61"/>
        <v>0</v>
      </c>
      <c r="N454" s="207"/>
      <c r="O454" s="207"/>
      <c r="P454" s="207">
        <f t="shared" si="60"/>
        <v>0</v>
      </c>
      <c r="Q454" s="123"/>
      <c r="R454" s="267">
        <v>132.65194921100917</v>
      </c>
      <c r="S454" s="207">
        <f t="shared" si="59"/>
        <v>0</v>
      </c>
      <c r="T454" s="207"/>
      <c r="U454" s="207"/>
      <c r="V454" s="207">
        <f t="shared" si="58"/>
        <v>0</v>
      </c>
      <c r="W454" s="123"/>
      <c r="X454" s="268"/>
      <c r="Y454" s="207"/>
      <c r="Z454" s="267">
        <v>132.65194921100917</v>
      </c>
      <c r="AA454" s="207">
        <v>0</v>
      </c>
      <c r="AB454" s="207"/>
      <c r="AC454" s="207"/>
      <c r="AD454" s="207">
        <v>0</v>
      </c>
    </row>
    <row r="455" spans="1:30" s="216" customFormat="1" ht="23.1" hidden="1" customHeight="1" outlineLevel="3">
      <c r="A455" s="223"/>
      <c r="B455" s="275" t="s">
        <v>985</v>
      </c>
      <c r="C455" s="275" t="s">
        <v>986</v>
      </c>
      <c r="D455" s="275" t="s">
        <v>247</v>
      </c>
      <c r="E455" s="207">
        <v>301.05</v>
      </c>
      <c r="F455" s="205">
        <v>105.28880939449542</v>
      </c>
      <c r="G455" s="205">
        <v>31697.196068212845</v>
      </c>
      <c r="H455" s="207">
        <v>301.05</v>
      </c>
      <c r="I455" s="207"/>
      <c r="J455" s="207">
        <v>25279.84717776698</v>
      </c>
      <c r="K455" s="123"/>
      <c r="L455" s="267">
        <v>105.28880939449542</v>
      </c>
      <c r="M455" s="205">
        <f t="shared" si="61"/>
        <v>0</v>
      </c>
      <c r="N455" s="207"/>
      <c r="O455" s="207"/>
      <c r="P455" s="207">
        <f t="shared" si="60"/>
        <v>0</v>
      </c>
      <c r="Q455" s="123"/>
      <c r="R455" s="267">
        <v>105.28880939449542</v>
      </c>
      <c r="S455" s="207">
        <f t="shared" si="59"/>
        <v>0</v>
      </c>
      <c r="T455" s="207"/>
      <c r="U455" s="207"/>
      <c r="V455" s="207">
        <f t="shared" si="58"/>
        <v>0</v>
      </c>
      <c r="W455" s="123"/>
      <c r="X455" s="268"/>
      <c r="Y455" s="207"/>
      <c r="Z455" s="267">
        <v>105.28880939449542</v>
      </c>
      <c r="AA455" s="207">
        <v>0</v>
      </c>
      <c r="AB455" s="207"/>
      <c r="AC455" s="207"/>
      <c r="AD455" s="207">
        <v>0</v>
      </c>
    </row>
    <row r="456" spans="1:30" s="216" customFormat="1" ht="23.1" hidden="1" customHeight="1" outlineLevel="3">
      <c r="A456" s="223"/>
      <c r="B456" s="275" t="s">
        <v>892</v>
      </c>
      <c r="C456" s="275" t="s">
        <v>987</v>
      </c>
      <c r="D456" s="275" t="s">
        <v>247</v>
      </c>
      <c r="E456" s="207">
        <v>5.1100000000000003</v>
      </c>
      <c r="F456" s="205">
        <v>67.483098715596341</v>
      </c>
      <c r="G456" s="205">
        <v>344.8386344366973</v>
      </c>
      <c r="H456" s="207">
        <v>5.1100000000000003</v>
      </c>
      <c r="I456" s="207"/>
      <c r="J456" s="207">
        <v>164.98090434951456</v>
      </c>
      <c r="K456" s="123"/>
      <c r="L456" s="267">
        <v>67.483098715596341</v>
      </c>
      <c r="M456" s="205">
        <f t="shared" si="61"/>
        <v>0</v>
      </c>
      <c r="N456" s="207"/>
      <c r="O456" s="207"/>
      <c r="P456" s="207">
        <f t="shared" si="60"/>
        <v>0</v>
      </c>
      <c r="Q456" s="123"/>
      <c r="R456" s="267">
        <v>67.483098715596341</v>
      </c>
      <c r="S456" s="207">
        <f t="shared" si="59"/>
        <v>0</v>
      </c>
      <c r="T456" s="207"/>
      <c r="U456" s="207"/>
      <c r="V456" s="207">
        <f t="shared" si="58"/>
        <v>0</v>
      </c>
      <c r="W456" s="123"/>
      <c r="X456" s="268"/>
      <c r="Y456" s="207"/>
      <c r="Z456" s="267">
        <v>67.483098715596341</v>
      </c>
      <c r="AA456" s="207">
        <v>0</v>
      </c>
      <c r="AB456" s="207"/>
      <c r="AC456" s="207"/>
      <c r="AD456" s="207">
        <v>0</v>
      </c>
    </row>
    <row r="457" spans="1:30" s="216" customFormat="1" ht="23.1" hidden="1" customHeight="1" outlineLevel="3">
      <c r="A457" s="223"/>
      <c r="B457" s="275" t="s">
        <v>988</v>
      </c>
      <c r="C457" s="275" t="s">
        <v>989</v>
      </c>
      <c r="D457" s="275" t="s">
        <v>247</v>
      </c>
      <c r="E457" s="207">
        <v>4808.0200000000004</v>
      </c>
      <c r="F457" s="205">
        <v>80.059709944954122</v>
      </c>
      <c r="G457" s="205">
        <v>384928.68660953833</v>
      </c>
      <c r="H457" s="207">
        <v>4808.0200000000004</v>
      </c>
      <c r="I457" s="207"/>
      <c r="J457" s="207">
        <v>151288.63450617477</v>
      </c>
      <c r="K457" s="123"/>
      <c r="L457" s="267">
        <v>80.059709944954122</v>
      </c>
      <c r="M457" s="205">
        <f t="shared" si="61"/>
        <v>0</v>
      </c>
      <c r="N457" s="207"/>
      <c r="O457" s="207"/>
      <c r="P457" s="207">
        <f t="shared" si="60"/>
        <v>0</v>
      </c>
      <c r="Q457" s="123"/>
      <c r="R457" s="267">
        <v>80.059709944954122</v>
      </c>
      <c r="S457" s="207">
        <f t="shared" si="59"/>
        <v>0</v>
      </c>
      <c r="T457" s="207"/>
      <c r="U457" s="207"/>
      <c r="V457" s="207">
        <f t="shared" si="58"/>
        <v>0</v>
      </c>
      <c r="W457" s="123"/>
      <c r="X457" s="268"/>
      <c r="Y457" s="207"/>
      <c r="Z457" s="267">
        <v>80.059709944954122</v>
      </c>
      <c r="AA457" s="207">
        <v>0</v>
      </c>
      <c r="AB457" s="207"/>
      <c r="AC457" s="207"/>
      <c r="AD457" s="207">
        <v>0</v>
      </c>
    </row>
    <row r="458" spans="1:30" s="216" customFormat="1" ht="23.1" hidden="1" customHeight="1" outlineLevel="3">
      <c r="A458" s="223"/>
      <c r="B458" s="275" t="s">
        <v>990</v>
      </c>
      <c r="C458" s="275" t="s">
        <v>991</v>
      </c>
      <c r="D458" s="275" t="s">
        <v>247</v>
      </c>
      <c r="E458" s="207">
        <v>1145.24</v>
      </c>
      <c r="F458" s="205">
        <v>52.677600880733948</v>
      </c>
      <c r="G458" s="205">
        <v>60328.495632651749</v>
      </c>
      <c r="H458" s="207">
        <v>1145.24</v>
      </c>
      <c r="I458" s="207"/>
      <c r="J458" s="207">
        <v>18323.84</v>
      </c>
      <c r="K458" s="123"/>
      <c r="L458" s="267">
        <v>52.677600880733948</v>
      </c>
      <c r="M458" s="205">
        <f t="shared" si="61"/>
        <v>0</v>
      </c>
      <c r="N458" s="207"/>
      <c r="O458" s="207"/>
      <c r="P458" s="207">
        <f t="shared" si="60"/>
        <v>0</v>
      </c>
      <c r="Q458" s="123"/>
      <c r="R458" s="267">
        <v>52.677600880733948</v>
      </c>
      <c r="S458" s="207">
        <f t="shared" si="59"/>
        <v>0</v>
      </c>
      <c r="T458" s="207"/>
      <c r="U458" s="207"/>
      <c r="V458" s="207">
        <f t="shared" si="58"/>
        <v>0</v>
      </c>
      <c r="W458" s="123"/>
      <c r="X458" s="268"/>
      <c r="Y458" s="207"/>
      <c r="Z458" s="267">
        <v>52.677600880733948</v>
      </c>
      <c r="AA458" s="207">
        <v>0</v>
      </c>
      <c r="AB458" s="207"/>
      <c r="AC458" s="207"/>
      <c r="AD458" s="207">
        <v>0</v>
      </c>
    </row>
    <row r="459" spans="1:30" s="216" customFormat="1" ht="23.1" hidden="1" customHeight="1" outlineLevel="3">
      <c r="A459" s="223"/>
      <c r="B459" s="275" t="s">
        <v>747</v>
      </c>
      <c r="C459" s="275" t="s">
        <v>992</v>
      </c>
      <c r="D459" s="275" t="s">
        <v>247</v>
      </c>
      <c r="E459" s="207">
        <v>38.29</v>
      </c>
      <c r="F459" s="205">
        <v>92.683744293577973</v>
      </c>
      <c r="G459" s="205">
        <v>3548.8605690011004</v>
      </c>
      <c r="H459" s="207">
        <v>38.29</v>
      </c>
      <c r="I459" s="207"/>
      <c r="J459" s="207">
        <v>2748.6817764271841</v>
      </c>
      <c r="K459" s="123"/>
      <c r="L459" s="267">
        <v>92.683744293577973</v>
      </c>
      <c r="M459" s="205">
        <f t="shared" si="61"/>
        <v>0</v>
      </c>
      <c r="N459" s="207"/>
      <c r="O459" s="207"/>
      <c r="P459" s="207">
        <f t="shared" si="60"/>
        <v>0</v>
      </c>
      <c r="Q459" s="123"/>
      <c r="R459" s="267">
        <v>92.683744293577973</v>
      </c>
      <c r="S459" s="207">
        <f t="shared" si="59"/>
        <v>0</v>
      </c>
      <c r="T459" s="207"/>
      <c r="U459" s="207"/>
      <c r="V459" s="207">
        <f t="shared" si="58"/>
        <v>0</v>
      </c>
      <c r="W459" s="123"/>
      <c r="X459" s="268"/>
      <c r="Y459" s="207"/>
      <c r="Z459" s="267">
        <v>92.683744293577973</v>
      </c>
      <c r="AA459" s="207">
        <v>0</v>
      </c>
      <c r="AB459" s="207"/>
      <c r="AC459" s="207"/>
      <c r="AD459" s="207">
        <v>0</v>
      </c>
    </row>
    <row r="460" spans="1:30" s="216" customFormat="1" ht="23.1" hidden="1" customHeight="1" outlineLevel="3">
      <c r="A460" s="223"/>
      <c r="B460" s="275" t="s">
        <v>894</v>
      </c>
      <c r="C460" s="275" t="s">
        <v>895</v>
      </c>
      <c r="D460" s="275" t="s">
        <v>247</v>
      </c>
      <c r="E460" s="207">
        <v>434.14</v>
      </c>
      <c r="F460" s="205">
        <v>136.29404477064219</v>
      </c>
      <c r="G460" s="205">
        <v>59170.696596726601</v>
      </c>
      <c r="H460" s="207">
        <v>434.14</v>
      </c>
      <c r="I460" s="207"/>
      <c r="J460" s="207">
        <v>51991.801344271858</v>
      </c>
      <c r="K460" s="123"/>
      <c r="L460" s="267">
        <v>136.29404477064219</v>
      </c>
      <c r="M460" s="205">
        <f t="shared" si="61"/>
        <v>0</v>
      </c>
      <c r="N460" s="207"/>
      <c r="O460" s="207"/>
      <c r="P460" s="207">
        <f t="shared" si="60"/>
        <v>0</v>
      </c>
      <c r="Q460" s="123"/>
      <c r="R460" s="267">
        <v>136.29404477064219</v>
      </c>
      <c r="S460" s="207">
        <f t="shared" si="59"/>
        <v>0</v>
      </c>
      <c r="T460" s="207"/>
      <c r="U460" s="207"/>
      <c r="V460" s="207">
        <f t="shared" si="58"/>
        <v>0</v>
      </c>
      <c r="W460" s="123"/>
      <c r="X460" s="268"/>
      <c r="Y460" s="207"/>
      <c r="Z460" s="267">
        <v>136.29404477064219</v>
      </c>
      <c r="AA460" s="207">
        <v>0</v>
      </c>
      <c r="AB460" s="207"/>
      <c r="AC460" s="207"/>
      <c r="AD460" s="207">
        <v>0</v>
      </c>
    </row>
    <row r="461" spans="1:30" s="216" customFormat="1" ht="23.1" hidden="1" customHeight="1" outlineLevel="3">
      <c r="A461" s="223"/>
      <c r="B461" s="275" t="s">
        <v>993</v>
      </c>
      <c r="C461" s="275" t="s">
        <v>994</v>
      </c>
      <c r="D461" s="275" t="s">
        <v>247</v>
      </c>
      <c r="E461" s="207">
        <v>1025.93</v>
      </c>
      <c r="F461" s="205">
        <v>108.91193570642201</v>
      </c>
      <c r="G461" s="205">
        <v>111736.02219928954</v>
      </c>
      <c r="H461" s="207">
        <v>1025.93</v>
      </c>
      <c r="I461" s="207"/>
      <c r="J461" s="207">
        <v>98241.154347281597</v>
      </c>
      <c r="K461" s="123"/>
      <c r="L461" s="267">
        <v>108.91193570642201</v>
      </c>
      <c r="M461" s="205">
        <f t="shared" si="61"/>
        <v>0</v>
      </c>
      <c r="N461" s="207"/>
      <c r="O461" s="207"/>
      <c r="P461" s="207">
        <f t="shared" si="60"/>
        <v>0</v>
      </c>
      <c r="Q461" s="123"/>
      <c r="R461" s="267">
        <v>108.91193570642201</v>
      </c>
      <c r="S461" s="207">
        <f t="shared" si="59"/>
        <v>0</v>
      </c>
      <c r="T461" s="207"/>
      <c r="U461" s="207"/>
      <c r="V461" s="207">
        <f t="shared" si="58"/>
        <v>0</v>
      </c>
      <c r="W461" s="123"/>
      <c r="X461" s="268"/>
      <c r="Y461" s="207"/>
      <c r="Z461" s="267">
        <v>108.91193570642201</v>
      </c>
      <c r="AA461" s="207">
        <v>0</v>
      </c>
      <c r="AB461" s="207"/>
      <c r="AC461" s="207"/>
      <c r="AD461" s="207">
        <v>0</v>
      </c>
    </row>
    <row r="462" spans="1:30" s="216" customFormat="1" ht="23.1" hidden="1" customHeight="1" outlineLevel="3">
      <c r="A462" s="223"/>
      <c r="B462" s="275" t="s">
        <v>749</v>
      </c>
      <c r="C462" s="275" t="s">
        <v>895</v>
      </c>
      <c r="D462" s="275" t="s">
        <v>247</v>
      </c>
      <c r="E462" s="207">
        <v>2694.03</v>
      </c>
      <c r="F462" s="205">
        <v>67.103713761467887</v>
      </c>
      <c r="G462" s="205">
        <v>180779.41798480734</v>
      </c>
      <c r="H462" s="207">
        <v>2694.03</v>
      </c>
      <c r="I462" s="207"/>
      <c r="J462" s="207">
        <v>322632.03707446618</v>
      </c>
      <c r="K462" s="123"/>
      <c r="L462" s="267">
        <v>67.103713761467887</v>
      </c>
      <c r="M462" s="205">
        <f t="shared" si="61"/>
        <v>0</v>
      </c>
      <c r="N462" s="207"/>
      <c r="O462" s="207"/>
      <c r="P462" s="207">
        <f t="shared" si="60"/>
        <v>0</v>
      </c>
      <c r="Q462" s="123"/>
      <c r="R462" s="267">
        <v>67.103713761467887</v>
      </c>
      <c r="S462" s="207">
        <f t="shared" si="59"/>
        <v>0</v>
      </c>
      <c r="T462" s="207"/>
      <c r="U462" s="207"/>
      <c r="V462" s="207">
        <f t="shared" si="58"/>
        <v>0</v>
      </c>
      <c r="W462" s="123"/>
      <c r="X462" s="268"/>
      <c r="Y462" s="207"/>
      <c r="Z462" s="267">
        <v>67.103713761467887</v>
      </c>
      <c r="AA462" s="207">
        <v>0</v>
      </c>
      <c r="AB462" s="207"/>
      <c r="AC462" s="207"/>
      <c r="AD462" s="207">
        <v>0</v>
      </c>
    </row>
    <row r="463" spans="1:30" s="216" customFormat="1" ht="23.1" hidden="1" customHeight="1" outlineLevel="3">
      <c r="A463" s="223"/>
      <c r="B463" s="275" t="s">
        <v>995</v>
      </c>
      <c r="C463" s="275" t="s">
        <v>994</v>
      </c>
      <c r="D463" s="275" t="s">
        <v>247</v>
      </c>
      <c r="E463" s="207">
        <v>4.68</v>
      </c>
      <c r="F463" s="205">
        <v>39.740573944954129</v>
      </c>
      <c r="G463" s="205">
        <v>185.9858860623853</v>
      </c>
      <c r="H463" s="207">
        <v>4.68</v>
      </c>
      <c r="I463" s="207"/>
      <c r="J463" s="207">
        <v>448.14812155339825</v>
      </c>
      <c r="K463" s="123"/>
      <c r="L463" s="267">
        <v>39.740573944954129</v>
      </c>
      <c r="M463" s="205">
        <f t="shared" si="61"/>
        <v>0</v>
      </c>
      <c r="N463" s="207"/>
      <c r="O463" s="207"/>
      <c r="P463" s="207">
        <f t="shared" si="60"/>
        <v>0</v>
      </c>
      <c r="Q463" s="123"/>
      <c r="R463" s="267">
        <v>39.740573944954129</v>
      </c>
      <c r="S463" s="207">
        <f t="shared" si="59"/>
        <v>0</v>
      </c>
      <c r="T463" s="207"/>
      <c r="U463" s="207"/>
      <c r="V463" s="207">
        <f t="shared" si="58"/>
        <v>0</v>
      </c>
      <c r="W463" s="123"/>
      <c r="X463" s="268"/>
      <c r="Y463" s="207"/>
      <c r="Z463" s="267">
        <v>39.740573944954129</v>
      </c>
      <c r="AA463" s="207">
        <v>0</v>
      </c>
      <c r="AB463" s="207"/>
      <c r="AC463" s="207"/>
      <c r="AD463" s="207">
        <v>0</v>
      </c>
    </row>
    <row r="464" spans="1:30" s="216" customFormat="1" ht="23.1" hidden="1" customHeight="1" outlineLevel="3">
      <c r="A464" s="223"/>
      <c r="B464" s="275" t="s">
        <v>751</v>
      </c>
      <c r="C464" s="275" t="s">
        <v>897</v>
      </c>
      <c r="D464" s="275" t="s">
        <v>247</v>
      </c>
      <c r="E464" s="207">
        <v>1275.43</v>
      </c>
      <c r="F464" s="205">
        <v>26.898393247706423</v>
      </c>
      <c r="G464" s="205">
        <v>34307.017699922202</v>
      </c>
      <c r="H464" s="207">
        <v>1275.43</v>
      </c>
      <c r="I464" s="207"/>
      <c r="J464" s="207">
        <v>37751.986269349516</v>
      </c>
      <c r="K464" s="123"/>
      <c r="L464" s="267">
        <v>26.898393247706423</v>
      </c>
      <c r="M464" s="205">
        <f t="shared" si="61"/>
        <v>0</v>
      </c>
      <c r="N464" s="207"/>
      <c r="O464" s="207"/>
      <c r="P464" s="207">
        <f t="shared" si="60"/>
        <v>0</v>
      </c>
      <c r="Q464" s="123"/>
      <c r="R464" s="267">
        <v>26.898393247706423</v>
      </c>
      <c r="S464" s="207">
        <f t="shared" si="59"/>
        <v>0</v>
      </c>
      <c r="T464" s="207"/>
      <c r="U464" s="207"/>
      <c r="V464" s="207">
        <f t="shared" si="58"/>
        <v>0</v>
      </c>
      <c r="W464" s="123"/>
      <c r="X464" s="268"/>
      <c r="Y464" s="207"/>
      <c r="Z464" s="267">
        <v>26.898393247706423</v>
      </c>
      <c r="AA464" s="207">
        <v>0</v>
      </c>
      <c r="AB464" s="207"/>
      <c r="AC464" s="207"/>
      <c r="AD464" s="207">
        <v>0</v>
      </c>
    </row>
    <row r="465" spans="1:30" s="216" customFormat="1" ht="23.1" hidden="1" customHeight="1" outlineLevel="3">
      <c r="A465" s="223"/>
      <c r="B465" s="275" t="s">
        <v>755</v>
      </c>
      <c r="C465" s="275" t="s">
        <v>899</v>
      </c>
      <c r="D465" s="275" t="s">
        <v>247</v>
      </c>
      <c r="E465" s="207">
        <v>524.38</v>
      </c>
      <c r="F465" s="205">
        <v>13.088780917431194</v>
      </c>
      <c r="G465" s="205">
        <v>6863.4949374825692</v>
      </c>
      <c r="H465" s="207">
        <v>524.38</v>
      </c>
      <c r="I465" s="207"/>
      <c r="J465" s="207">
        <v>13563.861015009708</v>
      </c>
      <c r="K465" s="123"/>
      <c r="L465" s="267">
        <v>13.088780917431194</v>
      </c>
      <c r="M465" s="205">
        <f t="shared" si="61"/>
        <v>0</v>
      </c>
      <c r="N465" s="207"/>
      <c r="O465" s="207"/>
      <c r="P465" s="207">
        <f t="shared" si="60"/>
        <v>0</v>
      </c>
      <c r="Q465" s="123"/>
      <c r="R465" s="267">
        <v>13.088780917431194</v>
      </c>
      <c r="S465" s="207">
        <f t="shared" si="59"/>
        <v>0</v>
      </c>
      <c r="T465" s="207"/>
      <c r="U465" s="207"/>
      <c r="V465" s="207">
        <f t="shared" si="58"/>
        <v>0</v>
      </c>
      <c r="W465" s="123"/>
      <c r="X465" s="268"/>
      <c r="Y465" s="207"/>
      <c r="Z465" s="267">
        <v>13.088780917431194</v>
      </c>
      <c r="AA465" s="207">
        <v>0</v>
      </c>
      <c r="AB465" s="207"/>
      <c r="AC465" s="207"/>
      <c r="AD465" s="207">
        <v>0</v>
      </c>
    </row>
    <row r="466" spans="1:30" s="215" customFormat="1" ht="23.1" hidden="1" customHeight="1" outlineLevel="2" collapsed="1">
      <c r="A466" s="220"/>
      <c r="B466" s="274" t="s">
        <v>996</v>
      </c>
      <c r="C466" s="274"/>
      <c r="D466" s="274"/>
      <c r="E466" s="229"/>
      <c r="F466" s="222">
        <v>0</v>
      </c>
      <c r="G466" s="229">
        <f>SUM(G467:G470)</f>
        <v>1759972.4790337496</v>
      </c>
      <c r="H466" s="229"/>
      <c r="I466" s="229"/>
      <c r="J466" s="229">
        <f>SUM(J467:J470)</f>
        <v>1463572.8471824853</v>
      </c>
      <c r="K466" s="137"/>
      <c r="L466" s="266"/>
      <c r="M466" s="229">
        <f>SUM(M467:M470)</f>
        <v>0</v>
      </c>
      <c r="N466" s="229"/>
      <c r="O466" s="229"/>
      <c r="P466" s="229">
        <f>SUM(P467:P470)</f>
        <v>-87245.068499999994</v>
      </c>
      <c r="Q466" s="137"/>
      <c r="R466" s="266"/>
      <c r="S466" s="229">
        <f>SUM(S467:S470)</f>
        <v>0</v>
      </c>
      <c r="T466" s="229"/>
      <c r="U466" s="229"/>
      <c r="V466" s="229">
        <f>SUM(V467:V470)</f>
        <v>0</v>
      </c>
      <c r="W466" s="137"/>
      <c r="X466" s="271"/>
      <c r="Y466" s="229"/>
      <c r="Z466" s="266">
        <v>0</v>
      </c>
      <c r="AA466" s="229">
        <v>0</v>
      </c>
      <c r="AB466" s="229"/>
      <c r="AC466" s="229"/>
      <c r="AD466" s="229">
        <v>87245.068499999994</v>
      </c>
    </row>
    <row r="467" spans="1:30" s="216" customFormat="1" ht="23.1" hidden="1" customHeight="1" outlineLevel="3">
      <c r="A467" s="223"/>
      <c r="B467" s="275" t="s">
        <v>901</v>
      </c>
      <c r="C467" s="275" t="s">
        <v>902</v>
      </c>
      <c r="D467" s="275" t="s">
        <v>247</v>
      </c>
      <c r="E467" s="207">
        <v>736.04</v>
      </c>
      <c r="F467" s="205">
        <v>175.32327192660551</v>
      </c>
      <c r="G467" s="205">
        <v>129044.94106885872</v>
      </c>
      <c r="H467" s="207">
        <v>736.04</v>
      </c>
      <c r="I467" s="207"/>
      <c r="J467" s="207">
        <v>103756.53460458253</v>
      </c>
      <c r="K467" s="207">
        <f>+Q467-Y467</f>
        <v>0</v>
      </c>
      <c r="L467" s="267">
        <v>175.32327192660551</v>
      </c>
      <c r="M467" s="205">
        <f t="shared" si="61"/>
        <v>0</v>
      </c>
      <c r="N467" s="207">
        <f>+T467-AB467</f>
        <v>0</v>
      </c>
      <c r="O467" s="207">
        <f>+U467</f>
        <v>60</v>
      </c>
      <c r="P467" s="207">
        <f t="shared" si="60"/>
        <v>0</v>
      </c>
      <c r="Q467" s="207"/>
      <c r="R467" s="273">
        <v>76.3</v>
      </c>
      <c r="S467" s="207">
        <f t="shared" si="59"/>
        <v>0</v>
      </c>
      <c r="T467" s="207"/>
      <c r="U467" s="206">
        <f>20+40</f>
        <v>60</v>
      </c>
      <c r="V467" s="207">
        <f t="shared" si="58"/>
        <v>0</v>
      </c>
      <c r="W467" s="123"/>
      <c r="X467" s="268"/>
      <c r="Y467" s="207"/>
      <c r="Z467" s="267">
        <v>175.32327192660551</v>
      </c>
      <c r="AA467" s="207">
        <v>0</v>
      </c>
      <c r="AB467" s="207"/>
      <c r="AC467" s="207"/>
      <c r="AD467" s="207">
        <v>0</v>
      </c>
    </row>
    <row r="468" spans="1:30" s="216" customFormat="1" ht="23.1" hidden="1" customHeight="1" outlineLevel="3">
      <c r="A468" s="223"/>
      <c r="B468" s="275" t="s">
        <v>997</v>
      </c>
      <c r="C468" s="275" t="s">
        <v>998</v>
      </c>
      <c r="D468" s="275" t="s">
        <v>247</v>
      </c>
      <c r="E468" s="207">
        <v>11632.01</v>
      </c>
      <c r="F468" s="205">
        <v>134.29278913761468</v>
      </c>
      <c r="G468" s="205">
        <v>1562095.0661766252</v>
      </c>
      <c r="H468" s="207">
        <v>11632.01</v>
      </c>
      <c r="I468" s="207"/>
      <c r="J468" s="207">
        <v>1320233.135</v>
      </c>
      <c r="K468" s="207">
        <f>+Q468-Y468</f>
        <v>0</v>
      </c>
      <c r="L468" s="267">
        <v>134.29278913761468</v>
      </c>
      <c r="M468" s="205">
        <f t="shared" si="61"/>
        <v>0</v>
      </c>
      <c r="N468" s="207">
        <f>+T468-AB468</f>
        <v>-2127.9285</v>
      </c>
      <c r="O468" s="207">
        <f>+U468</f>
        <v>41</v>
      </c>
      <c r="P468" s="207">
        <f t="shared" si="60"/>
        <v>-87245.068499999994</v>
      </c>
      <c r="Q468" s="207"/>
      <c r="R468" s="273">
        <f>76.3+44.94</f>
        <v>121.24</v>
      </c>
      <c r="S468" s="207">
        <f t="shared" si="59"/>
        <v>0</v>
      </c>
      <c r="T468" s="206"/>
      <c r="U468" s="206">
        <f>20+21</f>
        <v>41</v>
      </c>
      <c r="V468" s="207">
        <f t="shared" si="58"/>
        <v>0</v>
      </c>
      <c r="W468" s="123"/>
      <c r="X468" s="268">
        <f>+T468*20</f>
        <v>0</v>
      </c>
      <c r="Y468" s="207"/>
      <c r="Z468" s="267">
        <v>134.29278913761468</v>
      </c>
      <c r="AA468" s="207">
        <v>0</v>
      </c>
      <c r="AB468" s="207">
        <v>2127.9285</v>
      </c>
      <c r="AC468" s="207">
        <v>41</v>
      </c>
      <c r="AD468" s="207">
        <v>87245.068499999994</v>
      </c>
    </row>
    <row r="469" spans="1:30" s="216" customFormat="1" ht="23.1" hidden="1" customHeight="1" outlineLevel="3">
      <c r="A469" s="223"/>
      <c r="B469" s="275" t="s">
        <v>903</v>
      </c>
      <c r="C469" s="275" t="s">
        <v>904</v>
      </c>
      <c r="D469" s="275" t="s">
        <v>247</v>
      </c>
      <c r="E469" s="207">
        <v>384.43</v>
      </c>
      <c r="F469" s="205">
        <v>105.7914944587156</v>
      </c>
      <c r="G469" s="205">
        <v>40669.42421476404</v>
      </c>
      <c r="H469" s="207">
        <v>384.43</v>
      </c>
      <c r="I469" s="207"/>
      <c r="J469" s="207">
        <v>22091.612577902913</v>
      </c>
      <c r="K469" s="207">
        <f>+Q469-Y469</f>
        <v>0</v>
      </c>
      <c r="L469" s="267">
        <v>105.7914944587156</v>
      </c>
      <c r="M469" s="205">
        <f t="shared" si="61"/>
        <v>0</v>
      </c>
      <c r="N469" s="207">
        <f>+T469-AB469</f>
        <v>0</v>
      </c>
      <c r="O469" s="207"/>
      <c r="P469" s="207">
        <f t="shared" si="60"/>
        <v>0</v>
      </c>
      <c r="Q469" s="207"/>
      <c r="R469" s="267">
        <v>105.7914944587156</v>
      </c>
      <c r="S469" s="207">
        <f t="shared" si="59"/>
        <v>0</v>
      </c>
      <c r="T469" s="207"/>
      <c r="U469" s="207"/>
      <c r="V469" s="207">
        <f t="shared" si="58"/>
        <v>0</v>
      </c>
      <c r="W469" s="123"/>
      <c r="X469" s="268"/>
      <c r="Y469" s="207"/>
      <c r="Z469" s="267">
        <v>105.7914944587156</v>
      </c>
      <c r="AA469" s="207">
        <v>0</v>
      </c>
      <c r="AB469" s="207"/>
      <c r="AC469" s="207"/>
      <c r="AD469" s="207">
        <v>0</v>
      </c>
    </row>
    <row r="470" spans="1:30" s="216" customFormat="1" ht="23.1" hidden="1" customHeight="1" outlineLevel="3">
      <c r="A470" s="223"/>
      <c r="B470" s="275" t="s">
        <v>999</v>
      </c>
      <c r="C470" s="275" t="s">
        <v>1000</v>
      </c>
      <c r="D470" s="275" t="s">
        <v>247</v>
      </c>
      <c r="E470" s="207">
        <v>384.43</v>
      </c>
      <c r="F470" s="205">
        <v>73.259234642201832</v>
      </c>
      <c r="G470" s="205">
        <v>28163.047573501652</v>
      </c>
      <c r="H470" s="207">
        <v>384.43</v>
      </c>
      <c r="I470" s="207"/>
      <c r="J470" s="207">
        <v>17491.564999999999</v>
      </c>
      <c r="K470" s="207">
        <f>+Q470-Y470</f>
        <v>0</v>
      </c>
      <c r="L470" s="267">
        <v>73.259234642201832</v>
      </c>
      <c r="M470" s="205">
        <f t="shared" si="61"/>
        <v>0</v>
      </c>
      <c r="N470" s="207">
        <f>+T470-AB470</f>
        <v>0</v>
      </c>
      <c r="O470" s="207"/>
      <c r="P470" s="207">
        <f t="shared" si="60"/>
        <v>0</v>
      </c>
      <c r="Q470" s="207"/>
      <c r="R470" s="267">
        <v>73.259234642201832</v>
      </c>
      <c r="S470" s="207">
        <f t="shared" si="59"/>
        <v>0</v>
      </c>
      <c r="T470" s="207"/>
      <c r="U470" s="207"/>
      <c r="V470" s="207">
        <f t="shared" si="58"/>
        <v>0</v>
      </c>
      <c r="W470" s="123"/>
      <c r="X470" s="268"/>
      <c r="Y470" s="207"/>
      <c r="Z470" s="267">
        <v>73.259234642201832</v>
      </c>
      <c r="AA470" s="207">
        <v>0</v>
      </c>
      <c r="AB470" s="207"/>
      <c r="AC470" s="207"/>
      <c r="AD470" s="207">
        <v>0</v>
      </c>
    </row>
    <row r="471" spans="1:30" s="215" customFormat="1" ht="23.1" hidden="1" customHeight="1" outlineLevel="1" collapsed="1">
      <c r="A471" s="220"/>
      <c r="B471" s="274" t="s">
        <v>762</v>
      </c>
      <c r="C471" s="274"/>
      <c r="D471" s="274"/>
      <c r="E471" s="229"/>
      <c r="F471" s="222">
        <v>0</v>
      </c>
      <c r="G471" s="222">
        <v>0</v>
      </c>
      <c r="H471" s="229"/>
      <c r="I471" s="229"/>
      <c r="J471" s="229">
        <v>0</v>
      </c>
      <c r="K471" s="137"/>
      <c r="L471" s="266">
        <v>0</v>
      </c>
      <c r="M471" s="222">
        <f t="shared" si="61"/>
        <v>0</v>
      </c>
      <c r="N471" s="229"/>
      <c r="O471" s="229"/>
      <c r="P471" s="229">
        <f t="shared" si="60"/>
        <v>0</v>
      </c>
      <c r="Q471" s="229"/>
      <c r="R471" s="266">
        <v>0</v>
      </c>
      <c r="S471" s="229">
        <f t="shared" si="59"/>
        <v>0</v>
      </c>
      <c r="T471" s="229"/>
      <c r="U471" s="229"/>
      <c r="V471" s="229">
        <f t="shared" si="58"/>
        <v>0</v>
      </c>
      <c r="W471" s="137"/>
      <c r="X471" s="271"/>
      <c r="Y471" s="229"/>
      <c r="Z471" s="266">
        <v>0</v>
      </c>
      <c r="AA471" s="229">
        <v>0</v>
      </c>
      <c r="AB471" s="229"/>
      <c r="AC471" s="229"/>
      <c r="AD471" s="229">
        <v>0</v>
      </c>
    </row>
    <row r="472" spans="1:30" s="216" customFormat="1" ht="23.1" hidden="1" customHeight="1" outlineLevel="2">
      <c r="A472" s="223"/>
      <c r="B472" s="275" t="s">
        <v>763</v>
      </c>
      <c r="C472" s="275" t="s">
        <v>906</v>
      </c>
      <c r="D472" s="275" t="s">
        <v>397</v>
      </c>
      <c r="E472" s="207">
        <v>2155.13</v>
      </c>
      <c r="F472" s="205">
        <v>6.8573830458715594</v>
      </c>
      <c r="G472" s="205">
        <v>14778.551923649175</v>
      </c>
      <c r="H472" s="207">
        <v>2155.13</v>
      </c>
      <c r="I472" s="207"/>
      <c r="J472" s="207">
        <v>21953.549155894176</v>
      </c>
      <c r="K472" s="123"/>
      <c r="L472" s="267">
        <v>6.8573830458715603</v>
      </c>
      <c r="M472" s="205">
        <f t="shared" si="61"/>
        <v>0</v>
      </c>
      <c r="N472" s="207"/>
      <c r="O472" s="207"/>
      <c r="P472" s="207">
        <f t="shared" si="60"/>
        <v>0</v>
      </c>
      <c r="Q472" s="207"/>
      <c r="R472" s="267">
        <v>6.8573830458715594</v>
      </c>
      <c r="S472" s="207">
        <f t="shared" si="59"/>
        <v>0</v>
      </c>
      <c r="T472" s="207"/>
      <c r="U472" s="207"/>
      <c r="V472" s="207">
        <f t="shared" si="58"/>
        <v>0</v>
      </c>
      <c r="W472" s="123"/>
      <c r="X472" s="268"/>
      <c r="Y472" s="207"/>
      <c r="Z472" s="267">
        <v>6.8573830458715594</v>
      </c>
      <c r="AA472" s="207">
        <v>0</v>
      </c>
      <c r="AB472" s="207"/>
      <c r="AC472" s="207"/>
      <c r="AD472" s="207">
        <v>0</v>
      </c>
    </row>
    <row r="473" spans="1:30" s="216" customFormat="1" ht="23.1" hidden="1" customHeight="1" outlineLevel="2">
      <c r="A473" s="223"/>
      <c r="B473" s="275" t="s">
        <v>765</v>
      </c>
      <c r="C473" s="275" t="s">
        <v>907</v>
      </c>
      <c r="D473" s="275" t="s">
        <v>397</v>
      </c>
      <c r="E473" s="207">
        <v>185.15</v>
      </c>
      <c r="F473" s="205">
        <v>17.802638972477066</v>
      </c>
      <c r="G473" s="205">
        <v>3296.158605754129</v>
      </c>
      <c r="H473" s="207">
        <v>185.15</v>
      </c>
      <c r="I473" s="207"/>
      <c r="J473" s="207">
        <v>3479.7091</v>
      </c>
      <c r="K473" s="123"/>
      <c r="L473" s="267">
        <v>17.802638972477066</v>
      </c>
      <c r="M473" s="205">
        <f t="shared" si="61"/>
        <v>0</v>
      </c>
      <c r="N473" s="207"/>
      <c r="O473" s="207"/>
      <c r="P473" s="207">
        <f t="shared" si="60"/>
        <v>0</v>
      </c>
      <c r="Q473" s="207"/>
      <c r="R473" s="267">
        <v>17.802638972477066</v>
      </c>
      <c r="S473" s="207">
        <f t="shared" si="59"/>
        <v>0</v>
      </c>
      <c r="T473" s="207"/>
      <c r="U473" s="207"/>
      <c r="V473" s="207">
        <f t="shared" si="58"/>
        <v>0</v>
      </c>
      <c r="W473" s="123"/>
      <c r="X473" s="268"/>
      <c r="Y473" s="207"/>
      <c r="Z473" s="267">
        <v>17.802638972477066</v>
      </c>
      <c r="AA473" s="207">
        <v>0</v>
      </c>
      <c r="AB473" s="207"/>
      <c r="AC473" s="207"/>
      <c r="AD473" s="207">
        <v>0</v>
      </c>
    </row>
    <row r="474" spans="1:30" s="216" customFormat="1" ht="23.1" hidden="1" customHeight="1" outlineLevel="2">
      <c r="A474" s="223"/>
      <c r="B474" s="275" t="s">
        <v>767</v>
      </c>
      <c r="C474" s="275" t="s">
        <v>908</v>
      </c>
      <c r="D474" s="275" t="s">
        <v>397</v>
      </c>
      <c r="E474" s="207">
        <v>18</v>
      </c>
      <c r="F474" s="205">
        <v>5.3303586055045873</v>
      </c>
      <c r="G474" s="205">
        <v>95.946454899082568</v>
      </c>
      <c r="H474" s="207">
        <v>18</v>
      </c>
      <c r="I474" s="207"/>
      <c r="J474" s="207">
        <v>313.875</v>
      </c>
      <c r="K474" s="123"/>
      <c r="L474" s="267">
        <v>5.3303586055045873</v>
      </c>
      <c r="M474" s="205">
        <f t="shared" si="61"/>
        <v>0</v>
      </c>
      <c r="N474" s="207"/>
      <c r="O474" s="207"/>
      <c r="P474" s="207">
        <f t="shared" si="60"/>
        <v>0</v>
      </c>
      <c r="Q474" s="207"/>
      <c r="R474" s="267">
        <v>5.3303586055045873</v>
      </c>
      <c r="S474" s="207">
        <f t="shared" si="59"/>
        <v>0</v>
      </c>
      <c r="T474" s="207"/>
      <c r="U474" s="207"/>
      <c r="V474" s="207">
        <f t="shared" si="58"/>
        <v>0</v>
      </c>
      <c r="W474" s="123"/>
      <c r="X474" s="268"/>
      <c r="Y474" s="207"/>
      <c r="Z474" s="267">
        <v>5.3303586055045873</v>
      </c>
      <c r="AA474" s="207">
        <v>0</v>
      </c>
      <c r="AB474" s="207"/>
      <c r="AC474" s="207"/>
      <c r="AD474" s="207">
        <v>0</v>
      </c>
    </row>
    <row r="475" spans="1:30" s="215" customFormat="1" ht="23.1" hidden="1" customHeight="1" outlineLevel="1" collapsed="1">
      <c r="A475" s="220"/>
      <c r="B475" s="274" t="s">
        <v>769</v>
      </c>
      <c r="C475" s="274"/>
      <c r="D475" s="274"/>
      <c r="E475" s="229"/>
      <c r="F475" s="222">
        <v>0</v>
      </c>
      <c r="G475" s="222">
        <v>0</v>
      </c>
      <c r="H475" s="229"/>
      <c r="I475" s="229"/>
      <c r="J475" s="229">
        <v>0</v>
      </c>
      <c r="K475" s="137"/>
      <c r="L475" s="266">
        <v>0</v>
      </c>
      <c r="M475" s="222">
        <f t="shared" si="61"/>
        <v>0</v>
      </c>
      <c r="N475" s="229"/>
      <c r="O475" s="229"/>
      <c r="P475" s="229">
        <f t="shared" si="60"/>
        <v>0</v>
      </c>
      <c r="Q475" s="229"/>
      <c r="R475" s="266">
        <v>0</v>
      </c>
      <c r="S475" s="229">
        <f t="shared" si="59"/>
        <v>0</v>
      </c>
      <c r="T475" s="229"/>
      <c r="U475" s="229"/>
      <c r="V475" s="229">
        <f t="shared" si="58"/>
        <v>0</v>
      </c>
      <c r="W475" s="137"/>
      <c r="X475" s="271"/>
      <c r="Y475" s="229"/>
      <c r="Z475" s="266">
        <v>0</v>
      </c>
      <c r="AA475" s="229">
        <v>0</v>
      </c>
      <c r="AB475" s="229"/>
      <c r="AC475" s="229"/>
      <c r="AD475" s="229">
        <v>0</v>
      </c>
    </row>
    <row r="476" spans="1:30" s="216" customFormat="1" ht="23.1" hidden="1" customHeight="1" outlineLevel="2">
      <c r="A476" s="223"/>
      <c r="B476" s="275" t="s">
        <v>912</v>
      </c>
      <c r="C476" s="275" t="s">
        <v>1001</v>
      </c>
      <c r="D476" s="275" t="s">
        <v>247</v>
      </c>
      <c r="E476" s="207">
        <v>6.6</v>
      </c>
      <c r="F476" s="205">
        <v>150.92881937614681</v>
      </c>
      <c r="G476" s="205">
        <v>996.13020788256881</v>
      </c>
      <c r="H476" s="207">
        <v>6.6</v>
      </c>
      <c r="I476" s="207"/>
      <c r="J476" s="207">
        <v>1089</v>
      </c>
      <c r="K476" s="123"/>
      <c r="L476" s="267">
        <v>150.92881937614681</v>
      </c>
      <c r="M476" s="205">
        <f t="shared" si="61"/>
        <v>0</v>
      </c>
      <c r="N476" s="207"/>
      <c r="O476" s="207"/>
      <c r="P476" s="207">
        <f t="shared" si="60"/>
        <v>0</v>
      </c>
      <c r="Q476" s="207"/>
      <c r="R476" s="267">
        <v>150.92881937614681</v>
      </c>
      <c r="S476" s="207">
        <f t="shared" si="59"/>
        <v>0</v>
      </c>
      <c r="T476" s="207"/>
      <c r="U476" s="207"/>
      <c r="V476" s="207">
        <f t="shared" si="58"/>
        <v>0</v>
      </c>
      <c r="W476" s="123"/>
      <c r="X476" s="268"/>
      <c r="Y476" s="207"/>
      <c r="Z476" s="267">
        <v>150.92881937614681</v>
      </c>
      <c r="AA476" s="207">
        <v>0</v>
      </c>
      <c r="AB476" s="207"/>
      <c r="AC476" s="207"/>
      <c r="AD476" s="207">
        <v>0</v>
      </c>
    </row>
    <row r="477" spans="1:30" s="216" customFormat="1" ht="23.1" hidden="1" customHeight="1" outlineLevel="2">
      <c r="A477" s="223"/>
      <c r="B477" s="275" t="s">
        <v>914</v>
      </c>
      <c r="C477" s="275" t="s">
        <v>915</v>
      </c>
      <c r="D477" s="275" t="s">
        <v>247</v>
      </c>
      <c r="E477" s="207">
        <v>535.54</v>
      </c>
      <c r="F477" s="205">
        <v>247.91858289908259</v>
      </c>
      <c r="G477" s="205">
        <v>132770.31788577468</v>
      </c>
      <c r="H477" s="207">
        <v>535.54</v>
      </c>
      <c r="I477" s="207"/>
      <c r="J477" s="207">
        <v>117818.79999999999</v>
      </c>
      <c r="K477" s="123"/>
      <c r="L477" s="267">
        <v>247.91858289908259</v>
      </c>
      <c r="M477" s="205">
        <f t="shared" si="61"/>
        <v>0</v>
      </c>
      <c r="N477" s="207"/>
      <c r="O477" s="207"/>
      <c r="P477" s="207">
        <f t="shared" si="60"/>
        <v>0</v>
      </c>
      <c r="Q477" s="207"/>
      <c r="R477" s="267">
        <v>247.91858289908259</v>
      </c>
      <c r="S477" s="207">
        <f t="shared" si="59"/>
        <v>0</v>
      </c>
      <c r="T477" s="207"/>
      <c r="U477" s="207"/>
      <c r="V477" s="207">
        <f t="shared" si="58"/>
        <v>0</v>
      </c>
      <c r="W477" s="123"/>
      <c r="X477" s="268"/>
      <c r="Y477" s="207"/>
      <c r="Z477" s="267">
        <v>247.91858289908259</v>
      </c>
      <c r="AA477" s="207">
        <v>0</v>
      </c>
      <c r="AB477" s="207"/>
      <c r="AC477" s="207"/>
      <c r="AD477" s="207">
        <v>0</v>
      </c>
    </row>
    <row r="478" spans="1:30" s="216" customFormat="1" ht="23.1" hidden="1" customHeight="1" outlineLevel="2">
      <c r="A478" s="223"/>
      <c r="B478" s="275" t="s">
        <v>1002</v>
      </c>
      <c r="C478" s="275" t="s">
        <v>1003</v>
      </c>
      <c r="D478" s="275" t="s">
        <v>247</v>
      </c>
      <c r="E478" s="207">
        <v>4893.3900000000003</v>
      </c>
      <c r="F478" s="205">
        <v>6.3926364770642206</v>
      </c>
      <c r="G478" s="205">
        <v>31281.663410501289</v>
      </c>
      <c r="H478" s="207">
        <v>4893.3900000000003</v>
      </c>
      <c r="I478" s="207"/>
      <c r="J478" s="207">
        <v>1076545.8</v>
      </c>
      <c r="K478" s="123"/>
      <c r="L478" s="267">
        <v>6.3926364770642206</v>
      </c>
      <c r="M478" s="205">
        <f t="shared" si="61"/>
        <v>0</v>
      </c>
      <c r="N478" s="207"/>
      <c r="O478" s="207"/>
      <c r="P478" s="207">
        <f t="shared" si="60"/>
        <v>0</v>
      </c>
      <c r="Q478" s="207"/>
      <c r="R478" s="267">
        <v>6.3926364770642206</v>
      </c>
      <c r="S478" s="207">
        <f t="shared" si="59"/>
        <v>0</v>
      </c>
      <c r="T478" s="207"/>
      <c r="U478" s="207"/>
      <c r="V478" s="207">
        <f t="shared" si="58"/>
        <v>0</v>
      </c>
      <c r="W478" s="123"/>
      <c r="X478" s="268"/>
      <c r="Y478" s="207"/>
      <c r="Z478" s="267">
        <v>6.3926364770642206</v>
      </c>
      <c r="AA478" s="207">
        <v>0</v>
      </c>
      <c r="AB478" s="207"/>
      <c r="AC478" s="207"/>
      <c r="AD478" s="207">
        <v>0</v>
      </c>
    </row>
    <row r="479" spans="1:30" s="216" customFormat="1" ht="23.1" hidden="1" customHeight="1" outlineLevel="2">
      <c r="A479" s="223"/>
      <c r="B479" s="275" t="s">
        <v>770</v>
      </c>
      <c r="C479" s="275" t="s">
        <v>916</v>
      </c>
      <c r="D479" s="275" t="s">
        <v>247</v>
      </c>
      <c r="E479" s="207">
        <v>10474.27</v>
      </c>
      <c r="F479" s="205">
        <v>49.073443816513766</v>
      </c>
      <c r="G479" s="205">
        <v>514008.50036399567</v>
      </c>
      <c r="H479" s="207">
        <v>10474.27</v>
      </c>
      <c r="I479" s="207"/>
      <c r="J479" s="207">
        <v>279663.00900000002</v>
      </c>
      <c r="K479" s="123"/>
      <c r="L479" s="267">
        <v>49.073443816513766</v>
      </c>
      <c r="M479" s="205">
        <f t="shared" si="61"/>
        <v>0</v>
      </c>
      <c r="N479" s="207"/>
      <c r="O479" s="207"/>
      <c r="P479" s="207">
        <f t="shared" si="60"/>
        <v>0</v>
      </c>
      <c r="Q479" s="207"/>
      <c r="R479" s="267">
        <v>49.073443816513766</v>
      </c>
      <c r="S479" s="207">
        <f t="shared" si="59"/>
        <v>0</v>
      </c>
      <c r="T479" s="207"/>
      <c r="U479" s="207"/>
      <c r="V479" s="207">
        <f t="shared" si="58"/>
        <v>0</v>
      </c>
      <c r="W479" s="123"/>
      <c r="X479" s="268"/>
      <c r="Y479" s="207"/>
      <c r="Z479" s="267">
        <v>49.073443816513766</v>
      </c>
      <c r="AA479" s="207">
        <v>0</v>
      </c>
      <c r="AB479" s="207"/>
      <c r="AC479" s="207"/>
      <c r="AD479" s="207">
        <v>0</v>
      </c>
    </row>
    <row r="480" spans="1:30" s="215" customFormat="1" ht="23.1" hidden="1" customHeight="1" outlineLevel="1" collapsed="1">
      <c r="A480" s="220"/>
      <c r="B480" s="274" t="s">
        <v>1004</v>
      </c>
      <c r="C480" s="274"/>
      <c r="D480" s="274"/>
      <c r="E480" s="229"/>
      <c r="F480" s="222">
        <v>0</v>
      </c>
      <c r="G480" s="222">
        <v>0</v>
      </c>
      <c r="H480" s="229"/>
      <c r="I480" s="229"/>
      <c r="J480" s="229">
        <v>0</v>
      </c>
      <c r="K480" s="137"/>
      <c r="L480" s="283">
        <v>0</v>
      </c>
      <c r="M480" s="222">
        <f t="shared" si="61"/>
        <v>0</v>
      </c>
      <c r="N480" s="229"/>
      <c r="O480" s="229"/>
      <c r="P480" s="229">
        <f t="shared" si="60"/>
        <v>0</v>
      </c>
      <c r="Q480" s="229"/>
      <c r="R480" s="283">
        <v>0</v>
      </c>
      <c r="S480" s="229">
        <f t="shared" si="59"/>
        <v>0</v>
      </c>
      <c r="T480" s="229"/>
      <c r="U480" s="229"/>
      <c r="V480" s="229">
        <f t="shared" si="58"/>
        <v>0</v>
      </c>
      <c r="W480" s="137"/>
      <c r="X480" s="271"/>
      <c r="Y480" s="229"/>
      <c r="Z480" s="283">
        <v>0</v>
      </c>
      <c r="AA480" s="229">
        <v>0</v>
      </c>
      <c r="AB480" s="229"/>
      <c r="AC480" s="229"/>
      <c r="AD480" s="229">
        <v>0</v>
      </c>
    </row>
    <row r="481" spans="1:30" s="216" customFormat="1" ht="23.1" hidden="1" customHeight="1" outlineLevel="2">
      <c r="A481" s="223"/>
      <c r="B481" s="275" t="s">
        <v>1005</v>
      </c>
      <c r="C481" s="275" t="s">
        <v>1006</v>
      </c>
      <c r="D481" s="275" t="s">
        <v>247</v>
      </c>
      <c r="E481" s="207">
        <v>493.68</v>
      </c>
      <c r="F481" s="205">
        <v>72.00726429357799</v>
      </c>
      <c r="G481" s="205">
        <v>35548.546236453585</v>
      </c>
      <c r="H481" s="207">
        <v>493.68</v>
      </c>
      <c r="I481" s="207"/>
      <c r="J481" s="207">
        <v>23732.46535106796</v>
      </c>
      <c r="K481" s="123"/>
      <c r="L481" s="267">
        <v>72.00726429357799</v>
      </c>
      <c r="M481" s="205">
        <f t="shared" si="61"/>
        <v>0</v>
      </c>
      <c r="N481" s="207"/>
      <c r="O481" s="207"/>
      <c r="P481" s="207">
        <f t="shared" si="60"/>
        <v>0</v>
      </c>
      <c r="Q481" s="207"/>
      <c r="R481" s="267">
        <v>72.00726429357799</v>
      </c>
      <c r="S481" s="207">
        <f t="shared" si="59"/>
        <v>0</v>
      </c>
      <c r="T481" s="207"/>
      <c r="U481" s="207"/>
      <c r="V481" s="207">
        <f t="shared" si="58"/>
        <v>0</v>
      </c>
      <c r="W481" s="123"/>
      <c r="X481" s="268"/>
      <c r="Y481" s="207"/>
      <c r="Z481" s="267">
        <v>72.00726429357799</v>
      </c>
      <c r="AA481" s="207">
        <v>0</v>
      </c>
      <c r="AB481" s="207"/>
      <c r="AC481" s="207"/>
      <c r="AD481" s="207">
        <v>0</v>
      </c>
    </row>
    <row r="482" spans="1:30" s="216" customFormat="1" ht="23.1" hidden="1" customHeight="1" outlineLevel="2">
      <c r="A482" s="223"/>
      <c r="B482" s="275" t="s">
        <v>1007</v>
      </c>
      <c r="C482" s="275" t="s">
        <v>1008</v>
      </c>
      <c r="D482" s="275" t="s">
        <v>247</v>
      </c>
      <c r="E482" s="207">
        <v>317.25</v>
      </c>
      <c r="F482" s="205">
        <v>69.275692623853217</v>
      </c>
      <c r="G482" s="205">
        <v>21977.713484917433</v>
      </c>
      <c r="H482" s="207">
        <v>317.25</v>
      </c>
      <c r="I482" s="207"/>
      <c r="J482" s="207">
        <v>15251.022185679612</v>
      </c>
      <c r="K482" s="123"/>
      <c r="L482" s="267">
        <v>69.275692623853217</v>
      </c>
      <c r="M482" s="205">
        <f t="shared" si="61"/>
        <v>0</v>
      </c>
      <c r="N482" s="207"/>
      <c r="O482" s="207"/>
      <c r="P482" s="207">
        <f t="shared" si="60"/>
        <v>0</v>
      </c>
      <c r="Q482" s="207"/>
      <c r="R482" s="267">
        <v>69.275692623853217</v>
      </c>
      <c r="S482" s="207">
        <f t="shared" si="59"/>
        <v>0</v>
      </c>
      <c r="T482" s="207"/>
      <c r="U482" s="207"/>
      <c r="V482" s="207">
        <f t="shared" si="58"/>
        <v>0</v>
      </c>
      <c r="W482" s="123"/>
      <c r="X482" s="268"/>
      <c r="Y482" s="207"/>
      <c r="Z482" s="267">
        <v>69.275692623853217</v>
      </c>
      <c r="AA482" s="207">
        <v>0</v>
      </c>
      <c r="AB482" s="207"/>
      <c r="AC482" s="207"/>
      <c r="AD482" s="207">
        <v>0</v>
      </c>
    </row>
    <row r="483" spans="1:30" s="215" customFormat="1" ht="23.1" hidden="1" customHeight="1" outlineLevel="1" collapsed="1">
      <c r="A483" s="220"/>
      <c r="B483" s="274" t="s">
        <v>1009</v>
      </c>
      <c r="C483" s="274"/>
      <c r="D483" s="274"/>
      <c r="E483" s="229"/>
      <c r="F483" s="222">
        <v>0</v>
      </c>
      <c r="G483" s="222">
        <v>0</v>
      </c>
      <c r="H483" s="229"/>
      <c r="I483" s="229"/>
      <c r="J483" s="229">
        <v>0</v>
      </c>
      <c r="K483" s="137"/>
      <c r="L483" s="266">
        <v>0</v>
      </c>
      <c r="M483" s="222">
        <f t="shared" si="61"/>
        <v>0</v>
      </c>
      <c r="N483" s="229"/>
      <c r="O483" s="229"/>
      <c r="P483" s="229">
        <f t="shared" si="60"/>
        <v>0</v>
      </c>
      <c r="Q483" s="229"/>
      <c r="R483" s="266">
        <v>0</v>
      </c>
      <c r="S483" s="229">
        <f t="shared" si="59"/>
        <v>0</v>
      </c>
      <c r="T483" s="229"/>
      <c r="U483" s="229"/>
      <c r="V483" s="229">
        <f t="shared" si="58"/>
        <v>0</v>
      </c>
      <c r="W483" s="137"/>
      <c r="X483" s="271"/>
      <c r="Y483" s="229"/>
      <c r="Z483" s="266">
        <v>0</v>
      </c>
      <c r="AA483" s="229">
        <v>0</v>
      </c>
      <c r="AB483" s="229"/>
      <c r="AC483" s="229"/>
      <c r="AD483" s="229">
        <v>0</v>
      </c>
    </row>
    <row r="484" spans="1:30" s="216" customFormat="1" ht="23.1" hidden="1" customHeight="1" outlineLevel="2">
      <c r="A484" s="223"/>
      <c r="B484" s="275" t="s">
        <v>928</v>
      </c>
      <c r="C484" s="275" t="s">
        <v>1010</v>
      </c>
      <c r="D484" s="275" t="s">
        <v>247</v>
      </c>
      <c r="E484" s="207">
        <v>160.9</v>
      </c>
      <c r="F484" s="205">
        <v>511.53421827522942</v>
      </c>
      <c r="G484" s="205">
        <v>82305.855720484411</v>
      </c>
      <c r="H484" s="207">
        <v>160.9</v>
      </c>
      <c r="I484" s="207"/>
      <c r="J484" s="207">
        <v>48988.389600485432</v>
      </c>
      <c r="K484" s="123"/>
      <c r="L484" s="267">
        <v>511.53421827522942</v>
      </c>
      <c r="M484" s="205">
        <f t="shared" si="61"/>
        <v>0</v>
      </c>
      <c r="N484" s="207"/>
      <c r="O484" s="207"/>
      <c r="P484" s="207">
        <f t="shared" si="60"/>
        <v>0</v>
      </c>
      <c r="Q484" s="207"/>
      <c r="R484" s="267">
        <v>511.53421827522942</v>
      </c>
      <c r="S484" s="207">
        <f t="shared" si="59"/>
        <v>0</v>
      </c>
      <c r="T484" s="207"/>
      <c r="U484" s="207"/>
      <c r="V484" s="207">
        <f t="shared" si="58"/>
        <v>0</v>
      </c>
      <c r="W484" s="123"/>
      <c r="X484" s="268"/>
      <c r="Y484" s="207"/>
      <c r="Z484" s="267">
        <v>511.53421827522942</v>
      </c>
      <c r="AA484" s="207">
        <v>0</v>
      </c>
      <c r="AB484" s="207"/>
      <c r="AC484" s="207"/>
      <c r="AD484" s="207">
        <v>0</v>
      </c>
    </row>
    <row r="485" spans="1:30" s="216" customFormat="1" ht="23.1" hidden="1" customHeight="1" outlineLevel="2">
      <c r="A485" s="223"/>
      <c r="B485" s="275" t="s">
        <v>930</v>
      </c>
      <c r="C485" s="275" t="s">
        <v>931</v>
      </c>
      <c r="D485" s="275" t="s">
        <v>247</v>
      </c>
      <c r="E485" s="207">
        <v>72.48</v>
      </c>
      <c r="F485" s="205">
        <v>364.37079456880736</v>
      </c>
      <c r="G485" s="205">
        <v>26409.595190347158</v>
      </c>
      <c r="H485" s="207">
        <v>72.48</v>
      </c>
      <c r="I485" s="207"/>
      <c r="J485" s="207">
        <v>15682.357213980584</v>
      </c>
      <c r="K485" s="123"/>
      <c r="L485" s="267">
        <v>364.37079456880736</v>
      </c>
      <c r="M485" s="205">
        <f t="shared" si="61"/>
        <v>0</v>
      </c>
      <c r="N485" s="207"/>
      <c r="O485" s="207"/>
      <c r="P485" s="207">
        <f t="shared" si="60"/>
        <v>0</v>
      </c>
      <c r="Q485" s="207"/>
      <c r="R485" s="267">
        <v>364.37079456880736</v>
      </c>
      <c r="S485" s="207">
        <f t="shared" si="59"/>
        <v>0</v>
      </c>
      <c r="T485" s="207"/>
      <c r="U485" s="207"/>
      <c r="V485" s="207">
        <f t="shared" si="58"/>
        <v>0</v>
      </c>
      <c r="W485" s="123"/>
      <c r="X485" s="268"/>
      <c r="Y485" s="207"/>
      <c r="Z485" s="267">
        <v>364.37079456880736</v>
      </c>
      <c r="AA485" s="207">
        <v>0</v>
      </c>
      <c r="AB485" s="207"/>
      <c r="AC485" s="207"/>
      <c r="AD485" s="207">
        <v>0</v>
      </c>
    </row>
    <row r="486" spans="1:30" s="216" customFormat="1" ht="23.1" hidden="1" customHeight="1" outlineLevel="2">
      <c r="A486" s="223"/>
      <c r="B486" s="275" t="s">
        <v>932</v>
      </c>
      <c r="C486" s="275" t="s">
        <v>933</v>
      </c>
      <c r="D486" s="275" t="s">
        <v>247</v>
      </c>
      <c r="E486" s="207">
        <v>238.73</v>
      </c>
      <c r="F486" s="205">
        <v>499.36544587155964</v>
      </c>
      <c r="G486" s="205">
        <v>119213.51289291742</v>
      </c>
      <c r="H486" s="207">
        <v>238.73</v>
      </c>
      <c r="I486" s="207"/>
      <c r="J486" s="207">
        <v>69512.038553009697</v>
      </c>
      <c r="K486" s="123"/>
      <c r="L486" s="267">
        <v>499.36544587155964</v>
      </c>
      <c r="M486" s="205">
        <f t="shared" si="61"/>
        <v>0</v>
      </c>
      <c r="N486" s="207"/>
      <c r="O486" s="207"/>
      <c r="P486" s="207">
        <f t="shared" si="60"/>
        <v>0</v>
      </c>
      <c r="Q486" s="207"/>
      <c r="R486" s="267">
        <v>499.36544587155964</v>
      </c>
      <c r="S486" s="207">
        <f t="shared" si="59"/>
        <v>0</v>
      </c>
      <c r="T486" s="207"/>
      <c r="U486" s="207"/>
      <c r="V486" s="207">
        <f t="shared" si="58"/>
        <v>0</v>
      </c>
      <c r="W486" s="123"/>
      <c r="X486" s="268"/>
      <c r="Y486" s="207"/>
      <c r="Z486" s="267">
        <v>499.36544587155964</v>
      </c>
      <c r="AA486" s="207">
        <v>0</v>
      </c>
      <c r="AB486" s="207"/>
      <c r="AC486" s="207"/>
      <c r="AD486" s="207">
        <v>0</v>
      </c>
    </row>
    <row r="487" spans="1:30" s="216" customFormat="1" ht="23.1" hidden="1" customHeight="1" outlineLevel="2">
      <c r="A487" s="223"/>
      <c r="B487" s="275" t="s">
        <v>934</v>
      </c>
      <c r="C487" s="275" t="s">
        <v>1011</v>
      </c>
      <c r="D487" s="275" t="s">
        <v>247</v>
      </c>
      <c r="E487" s="207">
        <v>238.73</v>
      </c>
      <c r="F487" s="205">
        <v>66.29752073394495</v>
      </c>
      <c r="G487" s="205">
        <v>15827.207124814677</v>
      </c>
      <c r="H487" s="207">
        <v>238.73</v>
      </c>
      <c r="I487" s="207"/>
      <c r="J487" s="207">
        <v>13409.303015194188</v>
      </c>
      <c r="K487" s="123"/>
      <c r="L487" s="267">
        <v>66.29752073394495</v>
      </c>
      <c r="M487" s="205">
        <f t="shared" si="61"/>
        <v>0</v>
      </c>
      <c r="N487" s="207"/>
      <c r="O487" s="207"/>
      <c r="P487" s="207">
        <f t="shared" si="60"/>
        <v>0</v>
      </c>
      <c r="Q487" s="207"/>
      <c r="R487" s="267">
        <v>66.29752073394495</v>
      </c>
      <c r="S487" s="207">
        <f t="shared" si="59"/>
        <v>0</v>
      </c>
      <c r="T487" s="207"/>
      <c r="U487" s="207"/>
      <c r="V487" s="207">
        <f t="shared" si="58"/>
        <v>0</v>
      </c>
      <c r="W487" s="123"/>
      <c r="X487" s="268"/>
      <c r="Y487" s="207"/>
      <c r="Z487" s="267">
        <v>66.29752073394495</v>
      </c>
      <c r="AA487" s="207">
        <v>0</v>
      </c>
      <c r="AB487" s="207"/>
      <c r="AC487" s="207"/>
      <c r="AD487" s="207">
        <v>0</v>
      </c>
    </row>
    <row r="488" spans="1:30" s="216" customFormat="1" ht="23.1" hidden="1" customHeight="1" outlineLevel="2">
      <c r="A488" s="223"/>
      <c r="B488" s="275" t="s">
        <v>936</v>
      </c>
      <c r="C488" s="275" t="s">
        <v>1012</v>
      </c>
      <c r="D488" s="275" t="s">
        <v>247</v>
      </c>
      <c r="E488" s="207">
        <v>3.14</v>
      </c>
      <c r="F488" s="205">
        <v>277.52009394495417</v>
      </c>
      <c r="G488" s="205">
        <v>871.41309498715611</v>
      </c>
      <c r="H488" s="207">
        <v>3.14</v>
      </c>
      <c r="I488" s="207"/>
      <c r="J488" s="207">
        <v>581.31923572815538</v>
      </c>
      <c r="K488" s="123"/>
      <c r="L488" s="267">
        <v>277.52009394495417</v>
      </c>
      <c r="M488" s="205">
        <f t="shared" si="61"/>
        <v>0</v>
      </c>
      <c r="N488" s="207"/>
      <c r="O488" s="207"/>
      <c r="P488" s="207">
        <f t="shared" si="60"/>
        <v>0</v>
      </c>
      <c r="Q488" s="207"/>
      <c r="R488" s="267">
        <v>277.52009394495417</v>
      </c>
      <c r="S488" s="207">
        <f t="shared" si="59"/>
        <v>0</v>
      </c>
      <c r="T488" s="207"/>
      <c r="U488" s="207"/>
      <c r="V488" s="207">
        <f t="shared" si="58"/>
        <v>0</v>
      </c>
      <c r="W488" s="123"/>
      <c r="X488" s="268"/>
      <c r="Y488" s="207"/>
      <c r="Z488" s="267">
        <v>277.52009394495417</v>
      </c>
      <c r="AA488" s="207">
        <v>0</v>
      </c>
      <c r="AB488" s="207"/>
      <c r="AC488" s="207"/>
      <c r="AD488" s="207">
        <v>0</v>
      </c>
    </row>
    <row r="489" spans="1:30" s="216" customFormat="1" ht="23.1" hidden="1" customHeight="1" outlineLevel="2">
      <c r="A489" s="223"/>
      <c r="B489" s="275" t="s">
        <v>1013</v>
      </c>
      <c r="C489" s="275" t="s">
        <v>1014</v>
      </c>
      <c r="D489" s="275" t="s">
        <v>247</v>
      </c>
      <c r="E489" s="207">
        <v>45.63</v>
      </c>
      <c r="F489" s="205">
        <v>535.59670899082573</v>
      </c>
      <c r="G489" s="205">
        <v>24439.27783125138</v>
      </c>
      <c r="H489" s="207">
        <v>45.63</v>
      </c>
      <c r="I489" s="207"/>
      <c r="J489" s="207">
        <v>13892.729754320388</v>
      </c>
      <c r="K489" s="123"/>
      <c r="L489" s="267">
        <v>535.59670899082573</v>
      </c>
      <c r="M489" s="205">
        <f t="shared" si="61"/>
        <v>0</v>
      </c>
      <c r="N489" s="207"/>
      <c r="O489" s="207"/>
      <c r="P489" s="207">
        <f t="shared" si="60"/>
        <v>0</v>
      </c>
      <c r="Q489" s="207"/>
      <c r="R489" s="267">
        <v>535.59670899082573</v>
      </c>
      <c r="S489" s="207">
        <f t="shared" si="59"/>
        <v>0</v>
      </c>
      <c r="T489" s="207"/>
      <c r="U489" s="207"/>
      <c r="V489" s="207">
        <f t="shared" si="58"/>
        <v>0</v>
      </c>
      <c r="W489" s="123"/>
      <c r="X489" s="268"/>
      <c r="Y489" s="207"/>
      <c r="Z489" s="267">
        <v>535.59670899082573</v>
      </c>
      <c r="AA489" s="207">
        <v>0</v>
      </c>
      <c r="AB489" s="207"/>
      <c r="AC489" s="207"/>
      <c r="AD489" s="207">
        <v>0</v>
      </c>
    </row>
    <row r="490" spans="1:30" s="215" customFormat="1" ht="23.1" hidden="1" customHeight="1" outlineLevel="1" collapsed="1">
      <c r="A490" s="220"/>
      <c r="B490" s="274" t="s">
        <v>802</v>
      </c>
      <c r="C490" s="274"/>
      <c r="D490" s="274"/>
      <c r="E490" s="229"/>
      <c r="F490" s="222">
        <v>0</v>
      </c>
      <c r="G490" s="222">
        <v>0</v>
      </c>
      <c r="H490" s="229"/>
      <c r="I490" s="229"/>
      <c r="J490" s="229">
        <v>0</v>
      </c>
      <c r="K490" s="137"/>
      <c r="L490" s="266">
        <v>0</v>
      </c>
      <c r="M490" s="222">
        <f t="shared" si="61"/>
        <v>0</v>
      </c>
      <c r="N490" s="229"/>
      <c r="O490" s="229"/>
      <c r="P490" s="229">
        <f t="shared" si="60"/>
        <v>0</v>
      </c>
      <c r="Q490" s="229"/>
      <c r="R490" s="266">
        <v>0</v>
      </c>
      <c r="S490" s="229">
        <f t="shared" si="59"/>
        <v>0</v>
      </c>
      <c r="T490" s="229"/>
      <c r="U490" s="229"/>
      <c r="V490" s="229">
        <f t="shared" ref="V490:V553" si="62">+U490*T490</f>
        <v>0</v>
      </c>
      <c r="W490" s="137"/>
      <c r="X490" s="271"/>
      <c r="Y490" s="229"/>
      <c r="Z490" s="266">
        <v>0</v>
      </c>
      <c r="AA490" s="229">
        <v>0</v>
      </c>
      <c r="AB490" s="229"/>
      <c r="AC490" s="229"/>
      <c r="AD490" s="229">
        <v>0</v>
      </c>
    </row>
    <row r="491" spans="1:30" s="216" customFormat="1" ht="23.1" hidden="1" customHeight="1" outlineLevel="2">
      <c r="A491" s="223"/>
      <c r="B491" s="275" t="s">
        <v>803</v>
      </c>
      <c r="C491" s="275" t="s">
        <v>1015</v>
      </c>
      <c r="D491" s="275" t="s">
        <v>397</v>
      </c>
      <c r="E491" s="207">
        <v>357.75</v>
      </c>
      <c r="F491" s="205">
        <v>188.73453005504587</v>
      </c>
      <c r="G491" s="205">
        <v>67519.778127192665</v>
      </c>
      <c r="H491" s="207">
        <v>357.75</v>
      </c>
      <c r="I491" s="207"/>
      <c r="J491" s="207">
        <v>66183.75</v>
      </c>
      <c r="K491" s="123"/>
      <c r="L491" s="267">
        <v>188.73453005504587</v>
      </c>
      <c r="M491" s="205">
        <f t="shared" si="61"/>
        <v>0</v>
      </c>
      <c r="N491" s="207"/>
      <c r="O491" s="207"/>
      <c r="P491" s="207">
        <f t="shared" si="60"/>
        <v>0</v>
      </c>
      <c r="Q491" s="123"/>
      <c r="R491" s="267">
        <v>188.73453005504587</v>
      </c>
      <c r="S491" s="207">
        <f t="shared" si="59"/>
        <v>0</v>
      </c>
      <c r="T491" s="207"/>
      <c r="U491" s="207"/>
      <c r="V491" s="207">
        <f t="shared" si="62"/>
        <v>0</v>
      </c>
      <c r="W491" s="123"/>
      <c r="X491" s="268"/>
      <c r="Y491" s="207"/>
      <c r="Z491" s="267">
        <v>188.73453005504587</v>
      </c>
      <c r="AA491" s="207">
        <v>0</v>
      </c>
      <c r="AB491" s="207"/>
      <c r="AC491" s="207"/>
      <c r="AD491" s="207">
        <v>0</v>
      </c>
    </row>
    <row r="492" spans="1:30" s="216" customFormat="1" ht="23.1" hidden="1" customHeight="1" outlineLevel="2">
      <c r="A492" s="223"/>
      <c r="B492" s="275" t="s">
        <v>943</v>
      </c>
      <c r="C492" s="275" t="s">
        <v>944</v>
      </c>
      <c r="D492" s="275" t="s">
        <v>397</v>
      </c>
      <c r="E492" s="207">
        <v>1030.2</v>
      </c>
      <c r="F492" s="205">
        <v>291.64269886238532</v>
      </c>
      <c r="G492" s="205">
        <v>300450.30836802936</v>
      </c>
      <c r="H492" s="207">
        <v>1030.2</v>
      </c>
      <c r="I492" s="207"/>
      <c r="J492" s="207">
        <v>190587</v>
      </c>
      <c r="K492" s="123"/>
      <c r="L492" s="267">
        <v>291.64269886238532</v>
      </c>
      <c r="M492" s="205">
        <f t="shared" si="61"/>
        <v>0</v>
      </c>
      <c r="N492" s="207"/>
      <c r="O492" s="207"/>
      <c r="P492" s="207">
        <f t="shared" si="60"/>
        <v>0</v>
      </c>
      <c r="Q492" s="123"/>
      <c r="R492" s="267">
        <v>291.64269886238532</v>
      </c>
      <c r="S492" s="207">
        <f t="shared" si="59"/>
        <v>0</v>
      </c>
      <c r="T492" s="207"/>
      <c r="U492" s="207"/>
      <c r="V492" s="207">
        <f t="shared" si="62"/>
        <v>0</v>
      </c>
      <c r="W492" s="123"/>
      <c r="X492" s="268"/>
      <c r="Y492" s="207"/>
      <c r="Z492" s="267">
        <v>291.64269886238532</v>
      </c>
      <c r="AA492" s="207">
        <v>0</v>
      </c>
      <c r="AB492" s="207"/>
      <c r="AC492" s="207"/>
      <c r="AD492" s="207">
        <v>0</v>
      </c>
    </row>
    <row r="493" spans="1:30" s="216" customFormat="1" ht="23.1" hidden="1" customHeight="1" outlineLevel="2">
      <c r="A493" s="223"/>
      <c r="B493" s="275" t="s">
        <v>1016</v>
      </c>
      <c r="C493" s="275" t="s">
        <v>1017</v>
      </c>
      <c r="D493" s="275" t="s">
        <v>397</v>
      </c>
      <c r="E493" s="207">
        <v>688.06</v>
      </c>
      <c r="F493" s="205">
        <v>430.4027458348624</v>
      </c>
      <c r="G493" s="205">
        <v>296142.9132991354</v>
      </c>
      <c r="H493" s="207">
        <v>688.06</v>
      </c>
      <c r="I493" s="207"/>
      <c r="J493" s="207">
        <v>65365.7</v>
      </c>
      <c r="K493" s="123"/>
      <c r="L493" s="267">
        <v>430.4027458348624</v>
      </c>
      <c r="M493" s="205">
        <f t="shared" si="61"/>
        <v>0</v>
      </c>
      <c r="N493" s="207"/>
      <c r="O493" s="207"/>
      <c r="P493" s="207">
        <f t="shared" si="60"/>
        <v>0</v>
      </c>
      <c r="Q493" s="123"/>
      <c r="R493" s="267">
        <v>430.4027458348624</v>
      </c>
      <c r="S493" s="207">
        <f t="shared" si="59"/>
        <v>0</v>
      </c>
      <c r="T493" s="207"/>
      <c r="U493" s="207"/>
      <c r="V493" s="207">
        <f t="shared" si="62"/>
        <v>0</v>
      </c>
      <c r="W493" s="123"/>
      <c r="X493" s="268"/>
      <c r="Y493" s="207"/>
      <c r="Z493" s="267">
        <v>430.4027458348624</v>
      </c>
      <c r="AA493" s="207">
        <v>0</v>
      </c>
      <c r="AB493" s="207"/>
      <c r="AC493" s="207"/>
      <c r="AD493" s="207">
        <v>0</v>
      </c>
    </row>
    <row r="494" spans="1:30" s="215" customFormat="1" ht="23.1" hidden="1" customHeight="1" outlineLevel="1" collapsed="1">
      <c r="A494" s="220"/>
      <c r="B494" s="274" t="s">
        <v>823</v>
      </c>
      <c r="C494" s="274"/>
      <c r="D494" s="274"/>
      <c r="E494" s="229"/>
      <c r="F494" s="222">
        <v>0</v>
      </c>
      <c r="G494" s="222">
        <v>0</v>
      </c>
      <c r="H494" s="229"/>
      <c r="I494" s="229"/>
      <c r="J494" s="229">
        <v>0</v>
      </c>
      <c r="K494" s="137"/>
      <c r="L494" s="266">
        <v>0</v>
      </c>
      <c r="M494" s="222">
        <f t="shared" si="61"/>
        <v>0</v>
      </c>
      <c r="N494" s="229"/>
      <c r="O494" s="229"/>
      <c r="P494" s="229">
        <f t="shared" si="60"/>
        <v>0</v>
      </c>
      <c r="Q494" s="137"/>
      <c r="R494" s="266">
        <v>0</v>
      </c>
      <c r="S494" s="229">
        <f t="shared" si="59"/>
        <v>0</v>
      </c>
      <c r="T494" s="229"/>
      <c r="U494" s="229"/>
      <c r="V494" s="229">
        <f t="shared" si="62"/>
        <v>0</v>
      </c>
      <c r="W494" s="137"/>
      <c r="X494" s="271"/>
      <c r="Y494" s="229"/>
      <c r="Z494" s="266">
        <v>0</v>
      </c>
      <c r="AA494" s="229">
        <v>0</v>
      </c>
      <c r="AB494" s="229"/>
      <c r="AC494" s="229"/>
      <c r="AD494" s="229">
        <v>0</v>
      </c>
    </row>
    <row r="495" spans="1:30" s="216" customFormat="1" ht="23.1" hidden="1" customHeight="1" outlineLevel="2">
      <c r="A495" s="223"/>
      <c r="B495" s="275" t="s">
        <v>1018</v>
      </c>
      <c r="C495" s="275" t="s">
        <v>1019</v>
      </c>
      <c r="D495" s="275" t="s">
        <v>247</v>
      </c>
      <c r="E495" s="207">
        <v>15.75</v>
      </c>
      <c r="F495" s="205">
        <v>181.05198473394495</v>
      </c>
      <c r="G495" s="205">
        <v>2851.5687595596328</v>
      </c>
      <c r="H495" s="207">
        <v>15.75</v>
      </c>
      <c r="I495" s="207"/>
      <c r="J495" s="207">
        <v>3006.6750000000002</v>
      </c>
      <c r="K495" s="123"/>
      <c r="L495" s="267">
        <v>181.05198473394495</v>
      </c>
      <c r="M495" s="205">
        <f t="shared" si="61"/>
        <v>0</v>
      </c>
      <c r="N495" s="207"/>
      <c r="O495" s="207"/>
      <c r="P495" s="207">
        <f t="shared" si="60"/>
        <v>0</v>
      </c>
      <c r="Q495" s="123"/>
      <c r="R495" s="267">
        <v>181.05198473394495</v>
      </c>
      <c r="S495" s="207">
        <f t="shared" ref="S495:S558" si="63">+R495*Q495</f>
        <v>0</v>
      </c>
      <c r="T495" s="207"/>
      <c r="U495" s="207"/>
      <c r="V495" s="207">
        <f t="shared" si="62"/>
        <v>0</v>
      </c>
      <c r="W495" s="123"/>
      <c r="X495" s="268"/>
      <c r="Y495" s="207"/>
      <c r="Z495" s="267">
        <v>181.05198473394495</v>
      </c>
      <c r="AA495" s="207">
        <v>0</v>
      </c>
      <c r="AB495" s="207"/>
      <c r="AC495" s="207"/>
      <c r="AD495" s="207">
        <v>0</v>
      </c>
    </row>
    <row r="496" spans="1:30" s="216" customFormat="1" ht="23.1" hidden="1" customHeight="1" outlineLevel="2">
      <c r="A496" s="223"/>
      <c r="B496" s="275" t="s">
        <v>828</v>
      </c>
      <c r="C496" s="275" t="s">
        <v>1020</v>
      </c>
      <c r="D496" s="275" t="s">
        <v>147</v>
      </c>
      <c r="E496" s="207">
        <v>0.65400000000000003</v>
      </c>
      <c r="F496" s="205">
        <v>10475.947253724771</v>
      </c>
      <c r="G496" s="205">
        <v>6851.2695039360005</v>
      </c>
      <c r="H496" s="207">
        <v>0.65400000000000003</v>
      </c>
      <c r="I496" s="207"/>
      <c r="J496" s="207">
        <v>7848</v>
      </c>
      <c r="K496" s="123"/>
      <c r="L496" s="267">
        <v>10475.947253724771</v>
      </c>
      <c r="M496" s="205">
        <f t="shared" si="61"/>
        <v>0</v>
      </c>
      <c r="N496" s="207"/>
      <c r="O496" s="207"/>
      <c r="P496" s="207">
        <f t="shared" si="60"/>
        <v>0</v>
      </c>
      <c r="Q496" s="123"/>
      <c r="R496" s="267">
        <v>10475.947253724771</v>
      </c>
      <c r="S496" s="207">
        <f t="shared" si="63"/>
        <v>0</v>
      </c>
      <c r="T496" s="207"/>
      <c r="U496" s="207"/>
      <c r="V496" s="207">
        <f t="shared" si="62"/>
        <v>0</v>
      </c>
      <c r="W496" s="123"/>
      <c r="X496" s="268"/>
      <c r="Y496" s="207"/>
      <c r="Z496" s="267">
        <v>10475.947253724771</v>
      </c>
      <c r="AA496" s="207">
        <v>0</v>
      </c>
      <c r="AB496" s="207"/>
      <c r="AC496" s="207"/>
      <c r="AD496" s="207">
        <v>0</v>
      </c>
    </row>
    <row r="497" spans="1:30" s="216" customFormat="1" ht="23.1" hidden="1" customHeight="1" outlineLevel="2">
      <c r="A497" s="223"/>
      <c r="B497" s="275" t="s">
        <v>1021</v>
      </c>
      <c r="C497" s="275" t="s">
        <v>1022</v>
      </c>
      <c r="D497" s="275" t="s">
        <v>166</v>
      </c>
      <c r="E497" s="207">
        <v>6</v>
      </c>
      <c r="F497" s="205">
        <v>39.626758458715599</v>
      </c>
      <c r="G497" s="205">
        <v>237.7605507522936</v>
      </c>
      <c r="H497" s="207">
        <v>6</v>
      </c>
      <c r="I497" s="207"/>
      <c r="J497" s="207">
        <v>250.68</v>
      </c>
      <c r="K497" s="123"/>
      <c r="L497" s="267">
        <v>39.626758458715599</v>
      </c>
      <c r="M497" s="205">
        <f t="shared" si="61"/>
        <v>0</v>
      </c>
      <c r="N497" s="207"/>
      <c r="O497" s="207"/>
      <c r="P497" s="207">
        <f t="shared" si="60"/>
        <v>0</v>
      </c>
      <c r="Q497" s="123"/>
      <c r="R497" s="267">
        <v>39.626758458715599</v>
      </c>
      <c r="S497" s="207">
        <f t="shared" si="63"/>
        <v>0</v>
      </c>
      <c r="T497" s="207"/>
      <c r="U497" s="207"/>
      <c r="V497" s="207">
        <f t="shared" si="62"/>
        <v>0</v>
      </c>
      <c r="W497" s="123"/>
      <c r="X497" s="268"/>
      <c r="Y497" s="207"/>
      <c r="Z497" s="267">
        <v>39.626758458715599</v>
      </c>
      <c r="AA497" s="207">
        <v>0</v>
      </c>
      <c r="AB497" s="207"/>
      <c r="AC497" s="207"/>
      <c r="AD497" s="207">
        <v>0</v>
      </c>
    </row>
    <row r="498" spans="1:30" s="216" customFormat="1" ht="23.1" hidden="1" customHeight="1" outlineLevel="2">
      <c r="A498" s="223"/>
      <c r="B498" s="275" t="s">
        <v>1023</v>
      </c>
      <c r="C498" s="275" t="s">
        <v>1024</v>
      </c>
      <c r="D498" s="275" t="s">
        <v>166</v>
      </c>
      <c r="E498" s="207">
        <v>204</v>
      </c>
      <c r="F498" s="205">
        <v>39.626758458715599</v>
      </c>
      <c r="G498" s="205">
        <v>8083.8587255779821</v>
      </c>
      <c r="H498" s="207">
        <v>204</v>
      </c>
      <c r="I498" s="207"/>
      <c r="J498" s="207">
        <v>8523.1200000000008</v>
      </c>
      <c r="K498" s="123"/>
      <c r="L498" s="267">
        <v>39.626758458715599</v>
      </c>
      <c r="M498" s="205">
        <f t="shared" si="61"/>
        <v>0</v>
      </c>
      <c r="N498" s="207"/>
      <c r="O498" s="207"/>
      <c r="P498" s="207">
        <f t="shared" si="60"/>
        <v>0</v>
      </c>
      <c r="Q498" s="123"/>
      <c r="R498" s="267">
        <v>39.626758458715599</v>
      </c>
      <c r="S498" s="207">
        <f t="shared" si="63"/>
        <v>0</v>
      </c>
      <c r="T498" s="207"/>
      <c r="U498" s="207"/>
      <c r="V498" s="207">
        <f t="shared" si="62"/>
        <v>0</v>
      </c>
      <c r="W498" s="123"/>
      <c r="X498" s="268"/>
      <c r="Y498" s="207"/>
      <c r="Z498" s="267">
        <v>39.626758458715599</v>
      </c>
      <c r="AA498" s="207">
        <v>0</v>
      </c>
      <c r="AB498" s="207"/>
      <c r="AC498" s="207"/>
      <c r="AD498" s="207">
        <v>0</v>
      </c>
    </row>
    <row r="499" spans="1:30" s="216" customFormat="1" ht="23.1" hidden="1" customHeight="1" outlineLevel="2">
      <c r="A499" s="223"/>
      <c r="B499" s="275" t="s">
        <v>1025</v>
      </c>
      <c r="C499" s="275" t="s">
        <v>1026</v>
      </c>
      <c r="D499" s="275" t="s">
        <v>166</v>
      </c>
      <c r="E499" s="207">
        <v>204</v>
      </c>
      <c r="F499" s="205">
        <v>39.626758458715599</v>
      </c>
      <c r="G499" s="205">
        <v>8083.8587255779821</v>
      </c>
      <c r="H499" s="207">
        <v>204</v>
      </c>
      <c r="I499" s="207"/>
      <c r="J499" s="207">
        <v>8523.1200000000008</v>
      </c>
      <c r="K499" s="123"/>
      <c r="L499" s="267">
        <v>39.626758458715599</v>
      </c>
      <c r="M499" s="205">
        <f t="shared" si="61"/>
        <v>0</v>
      </c>
      <c r="N499" s="207"/>
      <c r="O499" s="207"/>
      <c r="P499" s="207">
        <f t="shared" si="60"/>
        <v>0</v>
      </c>
      <c r="Q499" s="123"/>
      <c r="R499" s="267">
        <v>39.626758458715599</v>
      </c>
      <c r="S499" s="207">
        <f t="shared" si="63"/>
        <v>0</v>
      </c>
      <c r="T499" s="207"/>
      <c r="U499" s="207"/>
      <c r="V499" s="207">
        <f t="shared" si="62"/>
        <v>0</v>
      </c>
      <c r="W499" s="123"/>
      <c r="X499" s="268"/>
      <c r="Y499" s="207"/>
      <c r="Z499" s="267">
        <v>39.626758458715599</v>
      </c>
      <c r="AA499" s="207">
        <v>0</v>
      </c>
      <c r="AB499" s="207"/>
      <c r="AC499" s="207"/>
      <c r="AD499" s="207">
        <v>0</v>
      </c>
    </row>
    <row r="500" spans="1:30" s="216" customFormat="1" ht="23.1" hidden="1" customHeight="1" outlineLevel="1">
      <c r="A500" s="223"/>
      <c r="B500" s="275" t="s">
        <v>376</v>
      </c>
      <c r="C500" s="275"/>
      <c r="D500" s="275" t="s">
        <v>143</v>
      </c>
      <c r="E500" s="207">
        <v>1</v>
      </c>
      <c r="F500" s="205">
        <v>-680974.07369482575</v>
      </c>
      <c r="G500" s="205">
        <v>-680974.07369482575</v>
      </c>
      <c r="H500" s="207">
        <v>1</v>
      </c>
      <c r="I500" s="207"/>
      <c r="J500" s="207">
        <v>0</v>
      </c>
      <c r="K500" s="123">
        <v>1</v>
      </c>
      <c r="L500" s="267">
        <v>-680974.07369482575</v>
      </c>
      <c r="M500" s="205">
        <f t="shared" si="61"/>
        <v>-680974.07369482575</v>
      </c>
      <c r="N500" s="207"/>
      <c r="O500" s="207"/>
      <c r="P500" s="207">
        <f t="shared" ref="P500:P563" si="64">+O500*N500</f>
        <v>0</v>
      </c>
      <c r="Q500" s="123">
        <v>1</v>
      </c>
      <c r="R500" s="267">
        <v>-680974.07369482575</v>
      </c>
      <c r="S500" s="207">
        <f t="shared" si="63"/>
        <v>-680974.07369482575</v>
      </c>
      <c r="T500" s="207"/>
      <c r="U500" s="207"/>
      <c r="V500" s="207">
        <f t="shared" si="62"/>
        <v>0</v>
      </c>
      <c r="W500" s="123"/>
      <c r="X500" s="268"/>
      <c r="Y500" s="207"/>
      <c r="Z500" s="267">
        <v>-680974.07369482575</v>
      </c>
      <c r="AA500" s="207">
        <v>0</v>
      </c>
      <c r="AB500" s="207"/>
      <c r="AC500" s="207"/>
      <c r="AD500" s="207">
        <v>0</v>
      </c>
    </row>
    <row r="501" spans="1:30" s="216" customFormat="1" ht="23.1" hidden="1" customHeight="1" outlineLevel="1">
      <c r="A501" s="223"/>
      <c r="B501" s="275" t="s">
        <v>377</v>
      </c>
      <c r="C501" s="275"/>
      <c r="D501" s="275" t="s">
        <v>143</v>
      </c>
      <c r="E501" s="207">
        <v>1</v>
      </c>
      <c r="F501" s="205">
        <v>-476192.11018833023</v>
      </c>
      <c r="G501" s="205">
        <v>-476192.11018833023</v>
      </c>
      <c r="H501" s="207">
        <v>1</v>
      </c>
      <c r="I501" s="207"/>
      <c r="J501" s="207">
        <v>0</v>
      </c>
      <c r="K501" s="123">
        <v>1</v>
      </c>
      <c r="L501" s="267">
        <v>-476192.11018833023</v>
      </c>
      <c r="M501" s="205">
        <f t="shared" si="61"/>
        <v>-476192.11018833023</v>
      </c>
      <c r="N501" s="207"/>
      <c r="O501" s="207"/>
      <c r="P501" s="207">
        <f t="shared" si="64"/>
        <v>0</v>
      </c>
      <c r="Q501" s="123">
        <v>1</v>
      </c>
      <c r="R501" s="267">
        <v>-476192.11018833023</v>
      </c>
      <c r="S501" s="207">
        <f t="shared" si="63"/>
        <v>-476192.11018833023</v>
      </c>
      <c r="T501" s="207"/>
      <c r="U501" s="207"/>
      <c r="V501" s="207">
        <f t="shared" si="62"/>
        <v>0</v>
      </c>
      <c r="W501" s="123"/>
      <c r="X501" s="268"/>
      <c r="Y501" s="207"/>
      <c r="Z501" s="267">
        <v>-476192.11018833023</v>
      </c>
      <c r="AA501" s="207">
        <v>0</v>
      </c>
      <c r="AB501" s="207"/>
      <c r="AC501" s="207"/>
      <c r="AD501" s="207">
        <v>0</v>
      </c>
    </row>
    <row r="502" spans="1:30" s="215" customFormat="1" ht="23.1" customHeight="1" collapsed="1">
      <c r="A502" s="220" t="s">
        <v>1027</v>
      </c>
      <c r="B502" s="278" t="s">
        <v>290</v>
      </c>
      <c r="C502" s="279"/>
      <c r="D502" s="280"/>
      <c r="E502" s="229"/>
      <c r="F502" s="222"/>
      <c r="G502" s="222">
        <v>5477654.1409729524</v>
      </c>
      <c r="H502" s="229"/>
      <c r="I502" s="229"/>
      <c r="J502" s="229">
        <v>5984644.5750687337</v>
      </c>
      <c r="K502" s="137"/>
      <c r="L502" s="282"/>
      <c r="M502" s="222">
        <f t="shared" si="61"/>
        <v>0</v>
      </c>
      <c r="N502" s="229"/>
      <c r="O502" s="229"/>
      <c r="P502" s="229">
        <f t="shared" si="64"/>
        <v>0</v>
      </c>
      <c r="Q502" s="137"/>
      <c r="R502" s="282"/>
      <c r="S502" s="229">
        <f t="shared" si="63"/>
        <v>0</v>
      </c>
      <c r="T502" s="229"/>
      <c r="U502" s="229"/>
      <c r="V502" s="229">
        <f t="shared" si="62"/>
        <v>0</v>
      </c>
      <c r="W502" s="137"/>
      <c r="X502" s="271"/>
      <c r="Y502" s="229"/>
      <c r="Z502" s="282"/>
      <c r="AA502" s="229">
        <v>0</v>
      </c>
      <c r="AB502" s="229"/>
      <c r="AC502" s="229"/>
      <c r="AD502" s="229">
        <v>0</v>
      </c>
    </row>
    <row r="503" spans="1:30" s="215" customFormat="1" ht="23.1" hidden="1" customHeight="1" outlineLevel="1" collapsed="1">
      <c r="A503" s="220"/>
      <c r="B503" s="220" t="s">
        <v>852</v>
      </c>
      <c r="C503" s="220"/>
      <c r="D503" s="220"/>
      <c r="E503" s="229"/>
      <c r="F503" s="222">
        <v>0</v>
      </c>
      <c r="G503" s="222"/>
      <c r="H503" s="229"/>
      <c r="I503" s="229"/>
      <c r="J503" s="229"/>
      <c r="K503" s="137"/>
      <c r="L503" s="266">
        <v>0</v>
      </c>
      <c r="M503" s="222">
        <f t="shared" si="61"/>
        <v>0</v>
      </c>
      <c r="N503" s="229"/>
      <c r="O503" s="229"/>
      <c r="P503" s="229">
        <f t="shared" si="64"/>
        <v>0</v>
      </c>
      <c r="Q503" s="137"/>
      <c r="R503" s="266">
        <v>0</v>
      </c>
      <c r="S503" s="229">
        <f t="shared" si="63"/>
        <v>0</v>
      </c>
      <c r="T503" s="229"/>
      <c r="U503" s="229"/>
      <c r="V503" s="229">
        <f t="shared" si="62"/>
        <v>0</v>
      </c>
      <c r="W503" s="137"/>
      <c r="X503" s="271"/>
      <c r="Y503" s="229"/>
      <c r="Z503" s="266">
        <v>0</v>
      </c>
      <c r="AA503" s="229">
        <v>0</v>
      </c>
      <c r="AB503" s="229"/>
      <c r="AC503" s="229"/>
      <c r="AD503" s="229">
        <v>0</v>
      </c>
    </row>
    <row r="504" spans="1:30" s="216" customFormat="1" ht="23.1" hidden="1" customHeight="1" outlineLevel="2">
      <c r="A504" s="223"/>
      <c r="B504" s="223" t="s">
        <v>853</v>
      </c>
      <c r="C504" s="223" t="s">
        <v>854</v>
      </c>
      <c r="D504" s="223" t="s">
        <v>247</v>
      </c>
      <c r="E504" s="207">
        <v>7.07</v>
      </c>
      <c r="F504" s="205">
        <v>214.07744499082571</v>
      </c>
      <c r="G504" s="205">
        <v>1513.5275360851379</v>
      </c>
      <c r="H504" s="207">
        <v>7.07</v>
      </c>
      <c r="I504" s="207"/>
      <c r="J504" s="207">
        <v>1116.6358</v>
      </c>
      <c r="K504" s="123"/>
      <c r="L504" s="267">
        <v>214.07744499082571</v>
      </c>
      <c r="M504" s="205">
        <f t="shared" si="61"/>
        <v>0</v>
      </c>
      <c r="N504" s="207"/>
      <c r="O504" s="207"/>
      <c r="P504" s="207">
        <f t="shared" si="64"/>
        <v>0</v>
      </c>
      <c r="Q504" s="123"/>
      <c r="R504" s="267">
        <v>214.07744499082571</v>
      </c>
      <c r="S504" s="207">
        <f t="shared" si="63"/>
        <v>0</v>
      </c>
      <c r="T504" s="207"/>
      <c r="U504" s="207"/>
      <c r="V504" s="207">
        <f t="shared" si="62"/>
        <v>0</v>
      </c>
      <c r="W504" s="123"/>
      <c r="X504" s="268"/>
      <c r="Y504" s="207"/>
      <c r="Z504" s="267">
        <v>214.07744499082571</v>
      </c>
      <c r="AA504" s="207">
        <v>0</v>
      </c>
      <c r="AB504" s="207"/>
      <c r="AC504" s="207"/>
      <c r="AD504" s="207">
        <v>0</v>
      </c>
    </row>
    <row r="505" spans="1:30" s="216" customFormat="1" ht="23.1" hidden="1" customHeight="1" outlineLevel="2">
      <c r="A505" s="223"/>
      <c r="B505" s="223" t="s">
        <v>260</v>
      </c>
      <c r="C505" s="223" t="s">
        <v>855</v>
      </c>
      <c r="D505" s="223" t="s">
        <v>103</v>
      </c>
      <c r="E505" s="207">
        <v>1.77</v>
      </c>
      <c r="F505" s="205">
        <v>546.29536469724769</v>
      </c>
      <c r="G505" s="205">
        <v>966.94279551412842</v>
      </c>
      <c r="H505" s="207">
        <v>1.77</v>
      </c>
      <c r="I505" s="207"/>
      <c r="J505" s="207">
        <v>828.7384019417475</v>
      </c>
      <c r="K505" s="123"/>
      <c r="L505" s="267">
        <v>546.29536469724769</v>
      </c>
      <c r="M505" s="205">
        <f t="shared" si="61"/>
        <v>0</v>
      </c>
      <c r="N505" s="207"/>
      <c r="O505" s="207"/>
      <c r="P505" s="207">
        <f t="shared" si="64"/>
        <v>0</v>
      </c>
      <c r="Q505" s="123"/>
      <c r="R505" s="267">
        <v>546.29536469724769</v>
      </c>
      <c r="S505" s="207">
        <f t="shared" si="63"/>
        <v>0</v>
      </c>
      <c r="T505" s="207"/>
      <c r="U505" s="207"/>
      <c r="V505" s="207">
        <f t="shared" si="62"/>
        <v>0</v>
      </c>
      <c r="W505" s="123"/>
      <c r="X505" s="268"/>
      <c r="Y505" s="207"/>
      <c r="Z505" s="267">
        <v>546.29536469724769</v>
      </c>
      <c r="AA505" s="207">
        <v>0</v>
      </c>
      <c r="AB505" s="207"/>
      <c r="AC505" s="207"/>
      <c r="AD505" s="207">
        <v>0</v>
      </c>
    </row>
    <row r="506" spans="1:30" s="216" customFormat="1" ht="23.1" hidden="1" customHeight="1" outlineLevel="2">
      <c r="A506" s="223"/>
      <c r="B506" s="223" t="s">
        <v>956</v>
      </c>
      <c r="C506" s="223" t="s">
        <v>1028</v>
      </c>
      <c r="D506" s="223" t="s">
        <v>247</v>
      </c>
      <c r="E506" s="207">
        <v>357.79</v>
      </c>
      <c r="F506" s="205">
        <v>397.70924741284404</v>
      </c>
      <c r="G506" s="205">
        <v>142296.39163184148</v>
      </c>
      <c r="H506" s="207">
        <v>357.79</v>
      </c>
      <c r="I506" s="207"/>
      <c r="J506" s="207">
        <v>67879.097272475716</v>
      </c>
      <c r="K506" s="123"/>
      <c r="L506" s="267">
        <v>397.70924741284404</v>
      </c>
      <c r="M506" s="205">
        <f t="shared" si="61"/>
        <v>0</v>
      </c>
      <c r="N506" s="207"/>
      <c r="O506" s="207"/>
      <c r="P506" s="207">
        <f t="shared" si="64"/>
        <v>0</v>
      </c>
      <c r="Q506" s="123"/>
      <c r="R506" s="267">
        <v>397.70924741284404</v>
      </c>
      <c r="S506" s="207">
        <f t="shared" si="63"/>
        <v>0</v>
      </c>
      <c r="T506" s="207"/>
      <c r="U506" s="207"/>
      <c r="V506" s="207">
        <f t="shared" si="62"/>
        <v>0</v>
      </c>
      <c r="W506" s="123"/>
      <c r="X506" s="268"/>
      <c r="Y506" s="207"/>
      <c r="Z506" s="267">
        <v>397.70924741284404</v>
      </c>
      <c r="AA506" s="207">
        <v>0</v>
      </c>
      <c r="AB506" s="207"/>
      <c r="AC506" s="207"/>
      <c r="AD506" s="207">
        <v>0</v>
      </c>
    </row>
    <row r="507" spans="1:30" s="216" customFormat="1" ht="23.1" hidden="1" customHeight="1" outlineLevel="2">
      <c r="A507" s="223"/>
      <c r="B507" s="223" t="s">
        <v>958</v>
      </c>
      <c r="C507" s="223" t="s">
        <v>1029</v>
      </c>
      <c r="D507" s="223" t="s">
        <v>247</v>
      </c>
      <c r="E507" s="207">
        <v>357.79</v>
      </c>
      <c r="F507" s="205">
        <v>123.4518640733945</v>
      </c>
      <c r="G507" s="205">
        <v>44169.842446819821</v>
      </c>
      <c r="H507" s="207">
        <v>357.79</v>
      </c>
      <c r="I507" s="207"/>
      <c r="J507" s="207">
        <v>19355.278787766994</v>
      </c>
      <c r="K507" s="123"/>
      <c r="L507" s="267">
        <v>123.4518640733945</v>
      </c>
      <c r="M507" s="205">
        <f t="shared" si="61"/>
        <v>0</v>
      </c>
      <c r="N507" s="207"/>
      <c r="O507" s="207"/>
      <c r="P507" s="207">
        <f t="shared" si="64"/>
        <v>0</v>
      </c>
      <c r="Q507" s="123"/>
      <c r="R507" s="267">
        <v>123.4518640733945</v>
      </c>
      <c r="S507" s="207">
        <f t="shared" si="63"/>
        <v>0</v>
      </c>
      <c r="T507" s="207"/>
      <c r="U507" s="207"/>
      <c r="V507" s="207">
        <f t="shared" si="62"/>
        <v>0</v>
      </c>
      <c r="W507" s="123"/>
      <c r="X507" s="268"/>
      <c r="Y507" s="207"/>
      <c r="Z507" s="267">
        <v>123.4518640733945</v>
      </c>
      <c r="AA507" s="207">
        <v>0</v>
      </c>
      <c r="AB507" s="207"/>
      <c r="AC507" s="207"/>
      <c r="AD507" s="207">
        <v>0</v>
      </c>
    </row>
    <row r="508" spans="1:30" s="216" customFormat="1" ht="23.1" hidden="1" customHeight="1" outlineLevel="2">
      <c r="A508" s="223"/>
      <c r="B508" s="223" t="s">
        <v>960</v>
      </c>
      <c r="C508" s="223" t="s">
        <v>961</v>
      </c>
      <c r="D508" s="223" t="s">
        <v>247</v>
      </c>
      <c r="E508" s="207">
        <v>899.12</v>
      </c>
      <c r="F508" s="205">
        <v>110.04060594495414</v>
      </c>
      <c r="G508" s="205">
        <v>98939.70961722717</v>
      </c>
      <c r="H508" s="207">
        <v>899.12</v>
      </c>
      <c r="I508" s="207"/>
      <c r="J508" s="207">
        <v>48639.476406990296</v>
      </c>
      <c r="K508" s="123"/>
      <c r="L508" s="267">
        <v>110.04060594495414</v>
      </c>
      <c r="M508" s="205">
        <f t="shared" si="61"/>
        <v>0</v>
      </c>
      <c r="N508" s="207"/>
      <c r="O508" s="207"/>
      <c r="P508" s="207">
        <f t="shared" si="64"/>
        <v>0</v>
      </c>
      <c r="Q508" s="123"/>
      <c r="R508" s="267">
        <v>110.04060594495414</v>
      </c>
      <c r="S508" s="207">
        <f t="shared" si="63"/>
        <v>0</v>
      </c>
      <c r="T508" s="207"/>
      <c r="U508" s="207"/>
      <c r="V508" s="207">
        <f t="shared" si="62"/>
        <v>0</v>
      </c>
      <c r="W508" s="123"/>
      <c r="X508" s="268"/>
      <c r="Y508" s="207"/>
      <c r="Z508" s="267">
        <v>110.04060594495414</v>
      </c>
      <c r="AA508" s="207">
        <v>0</v>
      </c>
      <c r="AB508" s="207"/>
      <c r="AC508" s="207"/>
      <c r="AD508" s="207">
        <v>0</v>
      </c>
    </row>
    <row r="509" spans="1:30" s="216" customFormat="1" ht="23.1" hidden="1" customHeight="1" outlineLevel="2">
      <c r="A509" s="223"/>
      <c r="B509" s="223" t="s">
        <v>862</v>
      </c>
      <c r="C509" s="223" t="s">
        <v>962</v>
      </c>
      <c r="D509" s="223" t="s">
        <v>247</v>
      </c>
      <c r="E509" s="207">
        <v>1021.77</v>
      </c>
      <c r="F509" s="205">
        <v>89.383095192660548</v>
      </c>
      <c r="G509" s="205">
        <v>91328.965175004763</v>
      </c>
      <c r="H509" s="207">
        <v>1021.77</v>
      </c>
      <c r="I509" s="207"/>
      <c r="J509" s="207">
        <v>53206.187765679613</v>
      </c>
      <c r="K509" s="123"/>
      <c r="L509" s="267">
        <v>89.383095192660548</v>
      </c>
      <c r="M509" s="205">
        <f t="shared" ref="M509:M572" si="65">+L509*K509</f>
        <v>0</v>
      </c>
      <c r="N509" s="207"/>
      <c r="O509" s="207"/>
      <c r="P509" s="207">
        <f t="shared" si="64"/>
        <v>0</v>
      </c>
      <c r="Q509" s="123"/>
      <c r="R509" s="267">
        <v>89.383095192660548</v>
      </c>
      <c r="S509" s="207">
        <f t="shared" si="63"/>
        <v>0</v>
      </c>
      <c r="T509" s="207"/>
      <c r="U509" s="207"/>
      <c r="V509" s="207">
        <f t="shared" si="62"/>
        <v>0</v>
      </c>
      <c r="W509" s="123"/>
      <c r="X509" s="268"/>
      <c r="Y509" s="207"/>
      <c r="Z509" s="267">
        <v>89.383095192660548</v>
      </c>
      <c r="AA509" s="207">
        <v>0</v>
      </c>
      <c r="AB509" s="207"/>
      <c r="AC509" s="207"/>
      <c r="AD509" s="207">
        <v>0</v>
      </c>
    </row>
    <row r="510" spans="1:30" s="216" customFormat="1" ht="23.1" hidden="1" customHeight="1" outlineLevel="2">
      <c r="A510" s="223"/>
      <c r="B510" s="223" t="s">
        <v>963</v>
      </c>
      <c r="C510" s="223" t="s">
        <v>964</v>
      </c>
      <c r="D510" s="223" t="s">
        <v>247</v>
      </c>
      <c r="E510" s="207">
        <v>841.74</v>
      </c>
      <c r="F510" s="205">
        <v>117.10665071559633</v>
      </c>
      <c r="G510" s="205">
        <v>98573.352173346051</v>
      </c>
      <c r="H510" s="207">
        <v>841.74</v>
      </c>
      <c r="I510" s="207"/>
      <c r="J510" s="207">
        <v>43433.784</v>
      </c>
      <c r="K510" s="123"/>
      <c r="L510" s="267">
        <v>117.10665071559633</v>
      </c>
      <c r="M510" s="205">
        <f t="shared" si="65"/>
        <v>0</v>
      </c>
      <c r="N510" s="207"/>
      <c r="O510" s="207"/>
      <c r="P510" s="207">
        <f t="shared" si="64"/>
        <v>0</v>
      </c>
      <c r="Q510" s="123"/>
      <c r="R510" s="267">
        <v>117.10665071559633</v>
      </c>
      <c r="S510" s="207">
        <f t="shared" si="63"/>
        <v>0</v>
      </c>
      <c r="T510" s="207"/>
      <c r="U510" s="207"/>
      <c r="V510" s="207">
        <f t="shared" si="62"/>
        <v>0</v>
      </c>
      <c r="W510" s="123"/>
      <c r="X510" s="268"/>
      <c r="Y510" s="207"/>
      <c r="Z510" s="267">
        <v>117.10665071559633</v>
      </c>
      <c r="AA510" s="207">
        <v>0</v>
      </c>
      <c r="AB510" s="207"/>
      <c r="AC510" s="207"/>
      <c r="AD510" s="207">
        <v>0</v>
      </c>
    </row>
    <row r="511" spans="1:30" s="216" customFormat="1" ht="23.1" hidden="1" customHeight="1" outlineLevel="2">
      <c r="A511" s="223"/>
      <c r="B511" s="223" t="s">
        <v>965</v>
      </c>
      <c r="C511" s="223" t="s">
        <v>1030</v>
      </c>
      <c r="D511" s="223" t="s">
        <v>247</v>
      </c>
      <c r="E511" s="207">
        <v>132.35</v>
      </c>
      <c r="F511" s="205">
        <v>581.68249629357797</v>
      </c>
      <c r="G511" s="205">
        <v>76985.678384455037</v>
      </c>
      <c r="H511" s="207">
        <v>132.35</v>
      </c>
      <c r="I511" s="207"/>
      <c r="J511" s="207">
        <v>28065.76322427185</v>
      </c>
      <c r="K511" s="123"/>
      <c r="L511" s="267">
        <v>581.68249629357797</v>
      </c>
      <c r="M511" s="205">
        <f t="shared" si="65"/>
        <v>0</v>
      </c>
      <c r="N511" s="207"/>
      <c r="O511" s="207"/>
      <c r="P511" s="207">
        <f t="shared" si="64"/>
        <v>0</v>
      </c>
      <c r="Q511" s="123"/>
      <c r="R511" s="267">
        <v>581.68249629357797</v>
      </c>
      <c r="S511" s="207">
        <f t="shared" si="63"/>
        <v>0</v>
      </c>
      <c r="T511" s="207"/>
      <c r="U511" s="207"/>
      <c r="V511" s="207">
        <f t="shared" si="62"/>
        <v>0</v>
      </c>
      <c r="W511" s="123"/>
      <c r="X511" s="268"/>
      <c r="Y511" s="207"/>
      <c r="Z511" s="267">
        <v>581.68249629357797</v>
      </c>
      <c r="AA511" s="207">
        <v>0</v>
      </c>
      <c r="AB511" s="207"/>
      <c r="AC511" s="207"/>
      <c r="AD511" s="207">
        <v>0</v>
      </c>
    </row>
    <row r="512" spans="1:30" s="216" customFormat="1" ht="23.1" hidden="1" customHeight="1" outlineLevel="2">
      <c r="A512" s="223"/>
      <c r="B512" s="223" t="s">
        <v>864</v>
      </c>
      <c r="C512" s="223" t="s">
        <v>967</v>
      </c>
      <c r="D512" s="223" t="s">
        <v>247</v>
      </c>
      <c r="E512" s="207">
        <v>146.26</v>
      </c>
      <c r="F512" s="205">
        <v>149.03189460550459</v>
      </c>
      <c r="G512" s="205">
        <v>21797.404905001102</v>
      </c>
      <c r="H512" s="207">
        <v>146.26</v>
      </c>
      <c r="I512" s="207"/>
      <c r="J512" s="207">
        <v>19604.216120000001</v>
      </c>
      <c r="K512" s="123"/>
      <c r="L512" s="267">
        <v>149.03189460550459</v>
      </c>
      <c r="M512" s="205">
        <f t="shared" si="65"/>
        <v>0</v>
      </c>
      <c r="N512" s="207"/>
      <c r="O512" s="207"/>
      <c r="P512" s="207">
        <f t="shared" si="64"/>
        <v>0</v>
      </c>
      <c r="Q512" s="123"/>
      <c r="R512" s="267">
        <v>149.03189460550459</v>
      </c>
      <c r="S512" s="207">
        <f t="shared" si="63"/>
        <v>0</v>
      </c>
      <c r="T512" s="207"/>
      <c r="U512" s="207"/>
      <c r="V512" s="207">
        <f t="shared" si="62"/>
        <v>0</v>
      </c>
      <c r="W512" s="123"/>
      <c r="X512" s="268"/>
      <c r="Y512" s="207"/>
      <c r="Z512" s="267">
        <v>149.03189460550459</v>
      </c>
      <c r="AA512" s="207">
        <v>0</v>
      </c>
      <c r="AB512" s="207"/>
      <c r="AC512" s="207"/>
      <c r="AD512" s="207">
        <v>0</v>
      </c>
    </row>
    <row r="513" spans="1:30" s="216" customFormat="1" ht="23.1" hidden="1" customHeight="1" outlineLevel="2">
      <c r="A513" s="223"/>
      <c r="B513" s="223" t="s">
        <v>968</v>
      </c>
      <c r="C513" s="223" t="s">
        <v>969</v>
      </c>
      <c r="D513" s="223" t="s">
        <v>247</v>
      </c>
      <c r="E513" s="207">
        <v>1336.4</v>
      </c>
      <c r="F513" s="205">
        <v>21.805150238532107</v>
      </c>
      <c r="G513" s="205">
        <v>29140.402778774311</v>
      </c>
      <c r="H513" s="207">
        <v>1336.4</v>
      </c>
      <c r="I513" s="207"/>
      <c r="J513" s="207">
        <v>37548.506431067966</v>
      </c>
      <c r="K513" s="123"/>
      <c r="L513" s="267">
        <v>21.805150238532107</v>
      </c>
      <c r="M513" s="205">
        <f t="shared" si="65"/>
        <v>0</v>
      </c>
      <c r="N513" s="207"/>
      <c r="O513" s="207"/>
      <c r="P513" s="207">
        <f t="shared" si="64"/>
        <v>0</v>
      </c>
      <c r="Q513" s="123"/>
      <c r="R513" s="267">
        <v>21.805150238532107</v>
      </c>
      <c r="S513" s="207">
        <f t="shared" si="63"/>
        <v>0</v>
      </c>
      <c r="T513" s="207"/>
      <c r="U513" s="207"/>
      <c r="V513" s="207">
        <f t="shared" si="62"/>
        <v>0</v>
      </c>
      <c r="W513" s="123"/>
      <c r="X513" s="268"/>
      <c r="Y513" s="207"/>
      <c r="Z513" s="267">
        <v>21.805150238532107</v>
      </c>
      <c r="AA513" s="207">
        <v>0</v>
      </c>
      <c r="AB513" s="207"/>
      <c r="AC513" s="207"/>
      <c r="AD513" s="207">
        <v>0</v>
      </c>
    </row>
    <row r="514" spans="1:30" s="216" customFormat="1" ht="23.1" hidden="1" customHeight="1" outlineLevel="2">
      <c r="A514" s="223"/>
      <c r="B514" s="223" t="s">
        <v>970</v>
      </c>
      <c r="C514" s="223" t="s">
        <v>1031</v>
      </c>
      <c r="D514" s="223" t="s">
        <v>247</v>
      </c>
      <c r="E514" s="207">
        <v>8135.24</v>
      </c>
      <c r="F514" s="205">
        <v>148.75684051376149</v>
      </c>
      <c r="G514" s="205">
        <v>1210172.599221173</v>
      </c>
      <c r="H514" s="207">
        <v>8135.24</v>
      </c>
      <c r="I514" s="207"/>
      <c r="J514" s="207">
        <v>985151.18370718451</v>
      </c>
      <c r="K514" s="123"/>
      <c r="L514" s="267">
        <v>148.75684051376149</v>
      </c>
      <c r="M514" s="205">
        <f t="shared" si="65"/>
        <v>0</v>
      </c>
      <c r="N514" s="207"/>
      <c r="O514" s="207"/>
      <c r="P514" s="207">
        <f t="shared" si="64"/>
        <v>0</v>
      </c>
      <c r="Q514" s="123"/>
      <c r="R514" s="267">
        <v>148.75684051376149</v>
      </c>
      <c r="S514" s="207">
        <f t="shared" si="63"/>
        <v>0</v>
      </c>
      <c r="T514" s="207"/>
      <c r="U514" s="207"/>
      <c r="V514" s="207">
        <f t="shared" si="62"/>
        <v>0</v>
      </c>
      <c r="W514" s="123"/>
      <c r="X514" s="268"/>
      <c r="Y514" s="207"/>
      <c r="Z514" s="267">
        <v>148.75684051376149</v>
      </c>
      <c r="AA514" s="207">
        <v>0</v>
      </c>
      <c r="AB514" s="207"/>
      <c r="AC514" s="207"/>
      <c r="AD514" s="207">
        <v>0</v>
      </c>
    </row>
    <row r="515" spans="1:30" s="216" customFormat="1" ht="23.1" hidden="1" customHeight="1" outlineLevel="2">
      <c r="A515" s="223"/>
      <c r="B515" s="223" t="s">
        <v>729</v>
      </c>
      <c r="C515" s="223" t="s">
        <v>868</v>
      </c>
      <c r="D515" s="223" t="s">
        <v>247</v>
      </c>
      <c r="E515" s="207">
        <v>187.45</v>
      </c>
      <c r="F515" s="205">
        <v>29.610995669724769</v>
      </c>
      <c r="G515" s="205">
        <v>5550.5811382899074</v>
      </c>
      <c r="H515" s="207">
        <v>187.45</v>
      </c>
      <c r="I515" s="207"/>
      <c r="J515" s="207">
        <v>5266.7371524271848</v>
      </c>
      <c r="K515" s="123"/>
      <c r="L515" s="267">
        <v>29.610995669724769</v>
      </c>
      <c r="M515" s="205">
        <f t="shared" si="65"/>
        <v>0</v>
      </c>
      <c r="N515" s="207"/>
      <c r="O515" s="207"/>
      <c r="P515" s="207">
        <f t="shared" si="64"/>
        <v>0</v>
      </c>
      <c r="Q515" s="123"/>
      <c r="R515" s="267">
        <v>29.610995669724769</v>
      </c>
      <c r="S515" s="207">
        <f t="shared" si="63"/>
        <v>0</v>
      </c>
      <c r="T515" s="207"/>
      <c r="U515" s="207"/>
      <c r="V515" s="207">
        <f t="shared" si="62"/>
        <v>0</v>
      </c>
      <c r="W515" s="123"/>
      <c r="X515" s="268"/>
      <c r="Y515" s="207"/>
      <c r="Z515" s="267">
        <v>29.610995669724769</v>
      </c>
      <c r="AA515" s="207">
        <v>0</v>
      </c>
      <c r="AB515" s="207"/>
      <c r="AC515" s="207"/>
      <c r="AD515" s="207">
        <v>0</v>
      </c>
    </row>
    <row r="516" spans="1:30" s="216" customFormat="1" ht="23.1" hidden="1" customHeight="1" outlineLevel="2">
      <c r="A516" s="223"/>
      <c r="B516" s="223" t="s">
        <v>869</v>
      </c>
      <c r="C516" s="223" t="s">
        <v>870</v>
      </c>
      <c r="D516" s="223" t="s">
        <v>247</v>
      </c>
      <c r="E516" s="207">
        <v>7.2</v>
      </c>
      <c r="F516" s="205">
        <v>74.046458422018347</v>
      </c>
      <c r="G516" s="205">
        <v>533.13450063853213</v>
      </c>
      <c r="H516" s="207">
        <v>7.2</v>
      </c>
      <c r="I516" s="207"/>
      <c r="J516" s="207">
        <v>403.89665242718451</v>
      </c>
      <c r="K516" s="123"/>
      <c r="L516" s="267">
        <v>74.046458422018347</v>
      </c>
      <c r="M516" s="205">
        <f t="shared" si="65"/>
        <v>0</v>
      </c>
      <c r="N516" s="207"/>
      <c r="O516" s="207"/>
      <c r="P516" s="207">
        <f t="shared" si="64"/>
        <v>0</v>
      </c>
      <c r="Q516" s="123"/>
      <c r="R516" s="267">
        <v>74.046458422018347</v>
      </c>
      <c r="S516" s="207">
        <f t="shared" si="63"/>
        <v>0</v>
      </c>
      <c r="T516" s="207"/>
      <c r="U516" s="207"/>
      <c r="V516" s="207">
        <f t="shared" si="62"/>
        <v>0</v>
      </c>
      <c r="W516" s="123"/>
      <c r="X516" s="268"/>
      <c r="Y516" s="207"/>
      <c r="Z516" s="267">
        <v>74.046458422018347</v>
      </c>
      <c r="AA516" s="207">
        <v>0</v>
      </c>
      <c r="AB516" s="207"/>
      <c r="AC516" s="207"/>
      <c r="AD516" s="207">
        <v>0</v>
      </c>
    </row>
    <row r="517" spans="1:30" s="216" customFormat="1" ht="23.1" hidden="1" customHeight="1" outlineLevel="2">
      <c r="A517" s="223"/>
      <c r="B517" s="223" t="s">
        <v>733</v>
      </c>
      <c r="C517" s="223" t="s">
        <v>871</v>
      </c>
      <c r="D517" s="223" t="s">
        <v>247</v>
      </c>
      <c r="E517" s="207">
        <v>766.35</v>
      </c>
      <c r="F517" s="205">
        <v>42.149668403669722</v>
      </c>
      <c r="G517" s="205">
        <v>32301.398381152292</v>
      </c>
      <c r="H517" s="207">
        <v>766.35</v>
      </c>
      <c r="I517" s="207"/>
      <c r="J517" s="207">
        <v>24634.42491407767</v>
      </c>
      <c r="K517" s="123"/>
      <c r="L517" s="267">
        <v>42.149668403669722</v>
      </c>
      <c r="M517" s="205">
        <f t="shared" si="65"/>
        <v>0</v>
      </c>
      <c r="N517" s="207"/>
      <c r="O517" s="207"/>
      <c r="P517" s="207">
        <f t="shared" si="64"/>
        <v>0</v>
      </c>
      <c r="Q517" s="123"/>
      <c r="R517" s="267">
        <v>42.149668403669722</v>
      </c>
      <c r="S517" s="207">
        <f t="shared" si="63"/>
        <v>0</v>
      </c>
      <c r="T517" s="207"/>
      <c r="U517" s="207"/>
      <c r="V517" s="207">
        <f t="shared" si="62"/>
        <v>0</v>
      </c>
      <c r="W517" s="123"/>
      <c r="X517" s="268"/>
      <c r="Y517" s="207"/>
      <c r="Z517" s="267">
        <v>42.149668403669722</v>
      </c>
      <c r="AA517" s="207">
        <v>0</v>
      </c>
      <c r="AB517" s="207"/>
      <c r="AC517" s="207"/>
      <c r="AD517" s="207">
        <v>0</v>
      </c>
    </row>
    <row r="518" spans="1:30" s="216" customFormat="1" ht="23.1" hidden="1" customHeight="1" outlineLevel="2">
      <c r="A518" s="223"/>
      <c r="B518" s="223" t="s">
        <v>972</v>
      </c>
      <c r="C518" s="223" t="s">
        <v>973</v>
      </c>
      <c r="D518" s="223" t="s">
        <v>247</v>
      </c>
      <c r="E518" s="207">
        <v>22</v>
      </c>
      <c r="F518" s="205">
        <v>123.34753321100919</v>
      </c>
      <c r="G518" s="205">
        <v>2713.6457306422021</v>
      </c>
      <c r="H518" s="207">
        <v>22</v>
      </c>
      <c r="I518" s="207"/>
      <c r="J518" s="207">
        <v>1107.3543223300976</v>
      </c>
      <c r="K518" s="123"/>
      <c r="L518" s="267">
        <v>123.34753321100919</v>
      </c>
      <c r="M518" s="205">
        <f t="shared" si="65"/>
        <v>0</v>
      </c>
      <c r="N518" s="207"/>
      <c r="O518" s="207"/>
      <c r="P518" s="207">
        <f t="shared" si="64"/>
        <v>0</v>
      </c>
      <c r="Q518" s="123"/>
      <c r="R518" s="267">
        <v>123.34753321100919</v>
      </c>
      <c r="S518" s="207">
        <f t="shared" si="63"/>
        <v>0</v>
      </c>
      <c r="T518" s="207"/>
      <c r="U518" s="207"/>
      <c r="V518" s="207">
        <f t="shared" si="62"/>
        <v>0</v>
      </c>
      <c r="W518" s="123"/>
      <c r="X518" s="268"/>
      <c r="Y518" s="207"/>
      <c r="Z518" s="267">
        <v>123.34753321100919</v>
      </c>
      <c r="AA518" s="207">
        <v>0</v>
      </c>
      <c r="AB518" s="207"/>
      <c r="AC518" s="207"/>
      <c r="AD518" s="207">
        <v>0</v>
      </c>
    </row>
    <row r="519" spans="1:30" s="216" customFormat="1" ht="23.1" hidden="1" customHeight="1" outlineLevel="2">
      <c r="A519" s="223"/>
      <c r="B519" s="223" t="s">
        <v>874</v>
      </c>
      <c r="C519" s="223" t="s">
        <v>974</v>
      </c>
      <c r="D519" s="223" t="s">
        <v>247</v>
      </c>
      <c r="E519" s="207">
        <v>74.91</v>
      </c>
      <c r="F519" s="205">
        <v>416.84921834862382</v>
      </c>
      <c r="G519" s="205">
        <v>31226.174946495408</v>
      </c>
      <c r="H519" s="207">
        <v>74.91</v>
      </c>
      <c r="I519" s="207"/>
      <c r="J519" s="207">
        <v>22513.627765776699</v>
      </c>
      <c r="K519" s="123"/>
      <c r="L519" s="267">
        <v>416.84921834862382</v>
      </c>
      <c r="M519" s="205">
        <f t="shared" si="65"/>
        <v>0</v>
      </c>
      <c r="N519" s="207"/>
      <c r="O519" s="207"/>
      <c r="P519" s="207">
        <f t="shared" si="64"/>
        <v>0</v>
      </c>
      <c r="Q519" s="123"/>
      <c r="R519" s="267">
        <v>416.84921834862382</v>
      </c>
      <c r="S519" s="207">
        <f t="shared" si="63"/>
        <v>0</v>
      </c>
      <c r="T519" s="207"/>
      <c r="U519" s="207"/>
      <c r="V519" s="207">
        <f t="shared" si="62"/>
        <v>0</v>
      </c>
      <c r="W519" s="123"/>
      <c r="X519" s="268"/>
      <c r="Y519" s="207"/>
      <c r="Z519" s="267">
        <v>416.84921834862382</v>
      </c>
      <c r="AA519" s="207">
        <v>0</v>
      </c>
      <c r="AB519" s="207"/>
      <c r="AC519" s="207"/>
      <c r="AD519" s="207">
        <v>0</v>
      </c>
    </row>
    <row r="520" spans="1:30" s="216" customFormat="1" ht="23.1" hidden="1" customHeight="1" outlineLevel="2">
      <c r="A520" s="223"/>
      <c r="B520" s="223" t="s">
        <v>876</v>
      </c>
      <c r="C520" s="223" t="s">
        <v>877</v>
      </c>
      <c r="D520" s="223" t="s">
        <v>247</v>
      </c>
      <c r="E520" s="207">
        <v>74.91</v>
      </c>
      <c r="F520" s="205">
        <v>501.82196344954127</v>
      </c>
      <c r="G520" s="205">
        <v>37591.483282005138</v>
      </c>
      <c r="H520" s="207">
        <v>74.91</v>
      </c>
      <c r="I520" s="207"/>
      <c r="J520" s="207">
        <v>26820.952765776696</v>
      </c>
      <c r="K520" s="123"/>
      <c r="L520" s="267">
        <v>501.82196344954127</v>
      </c>
      <c r="M520" s="205">
        <f t="shared" si="65"/>
        <v>0</v>
      </c>
      <c r="N520" s="207"/>
      <c r="O520" s="207"/>
      <c r="P520" s="207">
        <f t="shared" si="64"/>
        <v>0</v>
      </c>
      <c r="Q520" s="123"/>
      <c r="R520" s="267">
        <v>501.82196344954127</v>
      </c>
      <c r="S520" s="207">
        <f t="shared" si="63"/>
        <v>0</v>
      </c>
      <c r="T520" s="207"/>
      <c r="U520" s="207"/>
      <c r="V520" s="207">
        <f t="shared" si="62"/>
        <v>0</v>
      </c>
      <c r="W520" s="123"/>
      <c r="X520" s="268"/>
      <c r="Y520" s="207"/>
      <c r="Z520" s="267">
        <v>501.82196344954127</v>
      </c>
      <c r="AA520" s="207">
        <v>0</v>
      </c>
      <c r="AB520" s="207"/>
      <c r="AC520" s="207"/>
      <c r="AD520" s="207">
        <v>0</v>
      </c>
    </row>
    <row r="521" spans="1:30" s="215" customFormat="1" ht="23.1" hidden="1" customHeight="1" outlineLevel="1" collapsed="1">
      <c r="A521" s="220"/>
      <c r="B521" s="220" t="s">
        <v>878</v>
      </c>
      <c r="C521" s="220"/>
      <c r="D521" s="220"/>
      <c r="E521" s="229"/>
      <c r="F521" s="222">
        <v>0</v>
      </c>
      <c r="G521" s="222">
        <v>0</v>
      </c>
      <c r="H521" s="229"/>
      <c r="I521" s="229"/>
      <c r="J521" s="229">
        <v>0</v>
      </c>
      <c r="K521" s="137"/>
      <c r="L521" s="266">
        <v>0</v>
      </c>
      <c r="M521" s="222">
        <f t="shared" si="65"/>
        <v>0</v>
      </c>
      <c r="N521" s="229"/>
      <c r="O521" s="229"/>
      <c r="P521" s="229">
        <f t="shared" si="64"/>
        <v>0</v>
      </c>
      <c r="Q521" s="137"/>
      <c r="R521" s="266">
        <v>0</v>
      </c>
      <c r="S521" s="229">
        <f t="shared" si="63"/>
        <v>0</v>
      </c>
      <c r="T521" s="229"/>
      <c r="U521" s="229"/>
      <c r="V521" s="229">
        <f>+V522+V541</f>
        <v>87245.068499999994</v>
      </c>
      <c r="W521" s="137"/>
      <c r="X521" s="271"/>
      <c r="Y521" s="229"/>
      <c r="Z521" s="266">
        <v>0</v>
      </c>
      <c r="AA521" s="229">
        <v>0</v>
      </c>
      <c r="AB521" s="229"/>
      <c r="AC521" s="229"/>
      <c r="AD521" s="229">
        <v>87245.068499999994</v>
      </c>
    </row>
    <row r="522" spans="1:30" s="215" customFormat="1" ht="23.1" hidden="1" customHeight="1" outlineLevel="2" collapsed="1">
      <c r="A522" s="220"/>
      <c r="B522" s="220" t="s">
        <v>879</v>
      </c>
      <c r="C522" s="220"/>
      <c r="D522" s="220"/>
      <c r="E522" s="229"/>
      <c r="F522" s="222">
        <v>0</v>
      </c>
      <c r="G522" s="222">
        <v>0</v>
      </c>
      <c r="H522" s="229"/>
      <c r="I522" s="229"/>
      <c r="J522" s="229">
        <v>0</v>
      </c>
      <c r="K522" s="137"/>
      <c r="L522" s="266">
        <v>0</v>
      </c>
      <c r="M522" s="222">
        <f t="shared" si="65"/>
        <v>0</v>
      </c>
      <c r="N522" s="229"/>
      <c r="O522" s="229"/>
      <c r="P522" s="229">
        <f t="shared" si="64"/>
        <v>0</v>
      </c>
      <c r="Q522" s="137"/>
      <c r="R522" s="266">
        <v>0</v>
      </c>
      <c r="S522" s="229">
        <f t="shared" si="63"/>
        <v>0</v>
      </c>
      <c r="T522" s="229"/>
      <c r="U522" s="229"/>
      <c r="V522" s="229">
        <f>SUM(V523:V540)</f>
        <v>0</v>
      </c>
      <c r="W522" s="137"/>
      <c r="X522" s="271"/>
      <c r="Y522" s="229"/>
      <c r="Z522" s="266">
        <v>0</v>
      </c>
      <c r="AA522" s="229">
        <v>0</v>
      </c>
      <c r="AB522" s="229"/>
      <c r="AC522" s="229"/>
      <c r="AD522" s="229">
        <v>0</v>
      </c>
    </row>
    <row r="523" spans="1:30" s="216" customFormat="1" ht="23.1" hidden="1" customHeight="1" outlineLevel="3">
      <c r="A523" s="223"/>
      <c r="B523" s="223" t="s">
        <v>880</v>
      </c>
      <c r="C523" s="223" t="s">
        <v>975</v>
      </c>
      <c r="D523" s="223" t="s">
        <v>247</v>
      </c>
      <c r="E523" s="207">
        <v>15</v>
      </c>
      <c r="F523" s="205">
        <v>242.6641012844037</v>
      </c>
      <c r="G523" s="205">
        <v>3639.9615192660553</v>
      </c>
      <c r="H523" s="207">
        <v>15</v>
      </c>
      <c r="I523" s="207"/>
      <c r="J523" s="207">
        <v>1281.57218446602</v>
      </c>
      <c r="K523" s="123"/>
      <c r="L523" s="267">
        <v>242.6641012844037</v>
      </c>
      <c r="M523" s="205">
        <f t="shared" si="65"/>
        <v>0</v>
      </c>
      <c r="N523" s="207"/>
      <c r="O523" s="207"/>
      <c r="P523" s="207">
        <f t="shared" si="64"/>
        <v>0</v>
      </c>
      <c r="Q523" s="123"/>
      <c r="R523" s="267">
        <v>242.6641012844037</v>
      </c>
      <c r="S523" s="207">
        <f t="shared" si="63"/>
        <v>0</v>
      </c>
      <c r="T523" s="207"/>
      <c r="U523" s="207"/>
      <c r="V523" s="207">
        <f t="shared" si="62"/>
        <v>0</v>
      </c>
      <c r="W523" s="123"/>
      <c r="X523" s="268"/>
      <c r="Y523" s="207"/>
      <c r="Z523" s="267">
        <v>242.6641012844037</v>
      </c>
      <c r="AA523" s="207">
        <v>0</v>
      </c>
      <c r="AB523" s="207"/>
      <c r="AC523" s="207"/>
      <c r="AD523" s="207">
        <v>0</v>
      </c>
    </row>
    <row r="524" spans="1:30" s="216" customFormat="1" ht="23.1" hidden="1" customHeight="1" outlineLevel="3">
      <c r="A524" s="223"/>
      <c r="B524" s="223" t="s">
        <v>976</v>
      </c>
      <c r="C524" s="223" t="s">
        <v>977</v>
      </c>
      <c r="D524" s="223" t="s">
        <v>247</v>
      </c>
      <c r="E524" s="207">
        <v>55.83</v>
      </c>
      <c r="F524" s="205">
        <v>100.40422811009174</v>
      </c>
      <c r="G524" s="205">
        <v>5605.5680553864213</v>
      </c>
      <c r="H524" s="207">
        <v>55.83</v>
      </c>
      <c r="I524" s="207"/>
      <c r="J524" s="207">
        <v>4770.0116705825258</v>
      </c>
      <c r="K524" s="123"/>
      <c r="L524" s="267">
        <v>100.40422811009174</v>
      </c>
      <c r="M524" s="205">
        <f t="shared" si="65"/>
        <v>0</v>
      </c>
      <c r="N524" s="207"/>
      <c r="O524" s="207"/>
      <c r="P524" s="207">
        <f t="shared" si="64"/>
        <v>0</v>
      </c>
      <c r="Q524" s="123"/>
      <c r="R524" s="267">
        <v>100.40422811009174</v>
      </c>
      <c r="S524" s="207">
        <f t="shared" si="63"/>
        <v>0</v>
      </c>
      <c r="T524" s="207"/>
      <c r="U524" s="207"/>
      <c r="V524" s="207">
        <f t="shared" si="62"/>
        <v>0</v>
      </c>
      <c r="W524" s="123"/>
      <c r="X524" s="268"/>
      <c r="Y524" s="207"/>
      <c r="Z524" s="267">
        <v>100.40422811009174</v>
      </c>
      <c r="AA524" s="207">
        <v>0</v>
      </c>
      <c r="AB524" s="207"/>
      <c r="AC524" s="207"/>
      <c r="AD524" s="207">
        <v>0</v>
      </c>
    </row>
    <row r="525" spans="1:30" s="216" customFormat="1" ht="23.1" hidden="1" customHeight="1" outlineLevel="3">
      <c r="A525" s="223"/>
      <c r="B525" s="223" t="s">
        <v>978</v>
      </c>
      <c r="C525" s="223" t="s">
        <v>979</v>
      </c>
      <c r="D525" s="223" t="s">
        <v>247</v>
      </c>
      <c r="E525" s="207">
        <v>58.2</v>
      </c>
      <c r="F525" s="205">
        <v>73.041088293577985</v>
      </c>
      <c r="G525" s="205">
        <v>4250.991338686239</v>
      </c>
      <c r="H525" s="207">
        <v>58.2</v>
      </c>
      <c r="I525" s="207"/>
      <c r="J525" s="207">
        <v>3606.7852042718423</v>
      </c>
      <c r="K525" s="123"/>
      <c r="L525" s="267">
        <v>73.041088293577985</v>
      </c>
      <c r="M525" s="205">
        <f t="shared" si="65"/>
        <v>0</v>
      </c>
      <c r="N525" s="207"/>
      <c r="O525" s="207"/>
      <c r="P525" s="207">
        <f t="shared" si="64"/>
        <v>0</v>
      </c>
      <c r="Q525" s="123"/>
      <c r="R525" s="267">
        <v>73.041088293577985</v>
      </c>
      <c r="S525" s="207">
        <f t="shared" si="63"/>
        <v>0</v>
      </c>
      <c r="T525" s="207"/>
      <c r="U525" s="207"/>
      <c r="V525" s="207">
        <f t="shared" si="62"/>
        <v>0</v>
      </c>
      <c r="W525" s="123"/>
      <c r="X525" s="268"/>
      <c r="Y525" s="207"/>
      <c r="Z525" s="267">
        <v>73.041088293577985</v>
      </c>
      <c r="AA525" s="207">
        <v>0</v>
      </c>
      <c r="AB525" s="207"/>
      <c r="AC525" s="207"/>
      <c r="AD525" s="207">
        <v>0</v>
      </c>
    </row>
    <row r="526" spans="1:30" s="216" customFormat="1" ht="23.1" hidden="1" customHeight="1" outlineLevel="3">
      <c r="A526" s="223"/>
      <c r="B526" s="223" t="s">
        <v>882</v>
      </c>
      <c r="C526" s="223" t="s">
        <v>980</v>
      </c>
      <c r="D526" s="223" t="s">
        <v>247</v>
      </c>
      <c r="E526" s="207">
        <v>153.75</v>
      </c>
      <c r="F526" s="205">
        <v>173.47377027522936</v>
      </c>
      <c r="G526" s="205">
        <v>26671.592179816515</v>
      </c>
      <c r="H526" s="207">
        <v>153.75</v>
      </c>
      <c r="I526" s="207"/>
      <c r="J526" s="207">
        <v>3607.8807815533978</v>
      </c>
      <c r="K526" s="123"/>
      <c r="L526" s="267">
        <v>173.47377027522936</v>
      </c>
      <c r="M526" s="205">
        <f t="shared" si="65"/>
        <v>0</v>
      </c>
      <c r="N526" s="207"/>
      <c r="O526" s="207"/>
      <c r="P526" s="207">
        <f t="shared" si="64"/>
        <v>0</v>
      </c>
      <c r="Q526" s="123"/>
      <c r="R526" s="267">
        <v>173.47377027522936</v>
      </c>
      <c r="S526" s="207">
        <f t="shared" si="63"/>
        <v>0</v>
      </c>
      <c r="T526" s="207"/>
      <c r="U526" s="207"/>
      <c r="V526" s="207">
        <f t="shared" si="62"/>
        <v>0</v>
      </c>
      <c r="W526" s="123"/>
      <c r="X526" s="268"/>
      <c r="Y526" s="207"/>
      <c r="Z526" s="267">
        <v>173.47377027522936</v>
      </c>
      <c r="AA526" s="207">
        <v>0</v>
      </c>
      <c r="AB526" s="207"/>
      <c r="AC526" s="207"/>
      <c r="AD526" s="207">
        <v>0</v>
      </c>
    </row>
    <row r="527" spans="1:30" s="216" customFormat="1" ht="23.1" hidden="1" customHeight="1" outlineLevel="3">
      <c r="A527" s="223"/>
      <c r="B527" s="223" t="s">
        <v>884</v>
      </c>
      <c r="C527" s="223" t="s">
        <v>885</v>
      </c>
      <c r="D527" s="223" t="s">
        <v>247</v>
      </c>
      <c r="E527" s="207">
        <v>7594.72</v>
      </c>
      <c r="F527" s="205">
        <v>31.232866348623851</v>
      </c>
      <c r="G527" s="205">
        <v>237204.87471522053</v>
      </c>
      <c r="H527" s="207">
        <v>7594.72</v>
      </c>
      <c r="I527" s="207"/>
      <c r="J527" s="207">
        <v>238974.63368636891</v>
      </c>
      <c r="K527" s="123"/>
      <c r="L527" s="267">
        <v>31.232866348623851</v>
      </c>
      <c r="M527" s="205">
        <f t="shared" si="65"/>
        <v>0</v>
      </c>
      <c r="N527" s="207"/>
      <c r="O527" s="207"/>
      <c r="P527" s="207">
        <f t="shared" si="64"/>
        <v>0</v>
      </c>
      <c r="Q527" s="123"/>
      <c r="R527" s="267">
        <v>31.232866348623851</v>
      </c>
      <c r="S527" s="207">
        <f t="shared" si="63"/>
        <v>0</v>
      </c>
      <c r="T527" s="207"/>
      <c r="U527" s="207"/>
      <c r="V527" s="207">
        <f t="shared" si="62"/>
        <v>0</v>
      </c>
      <c r="W527" s="123"/>
      <c r="X527" s="268"/>
      <c r="Y527" s="207"/>
      <c r="Z527" s="267">
        <v>31.232866348623851</v>
      </c>
      <c r="AA527" s="207">
        <v>0</v>
      </c>
      <c r="AB527" s="207"/>
      <c r="AC527" s="207"/>
      <c r="AD527" s="207">
        <v>0</v>
      </c>
    </row>
    <row r="528" spans="1:30" s="216" customFormat="1" ht="23.1" hidden="1" customHeight="1" outlineLevel="3">
      <c r="A528" s="223"/>
      <c r="B528" s="223" t="s">
        <v>981</v>
      </c>
      <c r="C528" s="223" t="s">
        <v>982</v>
      </c>
      <c r="D528" s="223" t="s">
        <v>247</v>
      </c>
      <c r="E528" s="207">
        <v>17078.29</v>
      </c>
      <c r="F528" s="205">
        <v>3.8507572844036697</v>
      </c>
      <c r="G528" s="205">
        <v>65764.349622658352</v>
      </c>
      <c r="H528" s="207">
        <v>17078.29</v>
      </c>
      <c r="I528" s="207"/>
      <c r="J528" s="207">
        <v>0</v>
      </c>
      <c r="K528" s="123"/>
      <c r="L528" s="267">
        <v>3.8507572844036697</v>
      </c>
      <c r="M528" s="205">
        <f t="shared" si="65"/>
        <v>0</v>
      </c>
      <c r="N528" s="207"/>
      <c r="O528" s="207"/>
      <c r="P528" s="207">
        <f t="shared" si="64"/>
        <v>0</v>
      </c>
      <c r="Q528" s="123"/>
      <c r="R528" s="267">
        <v>3.8507572844036697</v>
      </c>
      <c r="S528" s="207">
        <f t="shared" si="63"/>
        <v>0</v>
      </c>
      <c r="T528" s="207"/>
      <c r="U528" s="207"/>
      <c r="V528" s="207">
        <f t="shared" si="62"/>
        <v>0</v>
      </c>
      <c r="W528" s="123"/>
      <c r="X528" s="268"/>
      <c r="Y528" s="207"/>
      <c r="Z528" s="267">
        <v>3.8507572844036697</v>
      </c>
      <c r="AA528" s="207">
        <v>0</v>
      </c>
      <c r="AB528" s="207"/>
      <c r="AC528" s="207"/>
      <c r="AD528" s="207">
        <v>0</v>
      </c>
    </row>
    <row r="529" spans="1:30" s="216" customFormat="1" ht="23.1" hidden="1" customHeight="1" outlineLevel="3">
      <c r="A529" s="223"/>
      <c r="B529" s="223" t="s">
        <v>983</v>
      </c>
      <c r="C529" s="223" t="s">
        <v>984</v>
      </c>
      <c r="D529" s="223" t="s">
        <v>247</v>
      </c>
      <c r="E529" s="207">
        <v>1548.83</v>
      </c>
      <c r="F529" s="205">
        <v>132.65194921100917</v>
      </c>
      <c r="G529" s="205">
        <v>205455.31849648731</v>
      </c>
      <c r="H529" s="207">
        <v>1548.83</v>
      </c>
      <c r="I529" s="207"/>
      <c r="J529" s="207">
        <v>166403.42309776702</v>
      </c>
      <c r="K529" s="123"/>
      <c r="L529" s="267">
        <v>132.65194921100917</v>
      </c>
      <c r="M529" s="205">
        <f t="shared" si="65"/>
        <v>0</v>
      </c>
      <c r="N529" s="207"/>
      <c r="O529" s="207"/>
      <c r="P529" s="207">
        <f t="shared" si="64"/>
        <v>0</v>
      </c>
      <c r="Q529" s="123"/>
      <c r="R529" s="267">
        <v>132.65194921100917</v>
      </c>
      <c r="S529" s="207">
        <f t="shared" si="63"/>
        <v>0</v>
      </c>
      <c r="T529" s="207"/>
      <c r="U529" s="207"/>
      <c r="V529" s="207">
        <f t="shared" si="62"/>
        <v>0</v>
      </c>
      <c r="W529" s="123"/>
      <c r="X529" s="268"/>
      <c r="Y529" s="207"/>
      <c r="Z529" s="267">
        <v>132.65194921100917</v>
      </c>
      <c r="AA529" s="207">
        <v>0</v>
      </c>
      <c r="AB529" s="207"/>
      <c r="AC529" s="207"/>
      <c r="AD529" s="207">
        <v>0</v>
      </c>
    </row>
    <row r="530" spans="1:30" s="216" customFormat="1" ht="23.1" hidden="1" customHeight="1" outlineLevel="3">
      <c r="A530" s="223"/>
      <c r="B530" s="223" t="s">
        <v>985</v>
      </c>
      <c r="C530" s="223" t="s">
        <v>986</v>
      </c>
      <c r="D530" s="223" t="s">
        <v>247</v>
      </c>
      <c r="E530" s="207">
        <v>284.68</v>
      </c>
      <c r="F530" s="205">
        <v>105.28880939449542</v>
      </c>
      <c r="G530" s="205">
        <v>29973.618258424955</v>
      </c>
      <c r="H530" s="207">
        <v>284.68</v>
      </c>
      <c r="I530" s="207"/>
      <c r="J530" s="207">
        <v>23905.221373747561</v>
      </c>
      <c r="K530" s="123"/>
      <c r="L530" s="267">
        <v>105.28880939449542</v>
      </c>
      <c r="M530" s="205">
        <f t="shared" si="65"/>
        <v>0</v>
      </c>
      <c r="N530" s="207"/>
      <c r="O530" s="207"/>
      <c r="P530" s="207">
        <f t="shared" si="64"/>
        <v>0</v>
      </c>
      <c r="Q530" s="123"/>
      <c r="R530" s="267">
        <v>105.28880939449542</v>
      </c>
      <c r="S530" s="207">
        <f t="shared" si="63"/>
        <v>0</v>
      </c>
      <c r="T530" s="207"/>
      <c r="U530" s="207"/>
      <c r="V530" s="207">
        <f t="shared" si="62"/>
        <v>0</v>
      </c>
      <c r="W530" s="123"/>
      <c r="X530" s="268"/>
      <c r="Y530" s="207"/>
      <c r="Z530" s="267">
        <v>105.28880939449542</v>
      </c>
      <c r="AA530" s="207">
        <v>0</v>
      </c>
      <c r="AB530" s="207"/>
      <c r="AC530" s="207"/>
      <c r="AD530" s="207">
        <v>0</v>
      </c>
    </row>
    <row r="531" spans="1:30" s="216" customFormat="1" ht="23.1" hidden="1" customHeight="1" outlineLevel="3">
      <c r="A531" s="223"/>
      <c r="B531" s="223" t="s">
        <v>892</v>
      </c>
      <c r="C531" s="223" t="s">
        <v>987</v>
      </c>
      <c r="D531" s="223" t="s">
        <v>247</v>
      </c>
      <c r="E531" s="207">
        <v>406.26</v>
      </c>
      <c r="F531" s="205">
        <v>67.483098715596341</v>
      </c>
      <c r="G531" s="205">
        <v>27415.683684198168</v>
      </c>
      <c r="H531" s="207">
        <v>406.26</v>
      </c>
      <c r="I531" s="207"/>
      <c r="J531" s="207">
        <v>13116.466184155339</v>
      </c>
      <c r="K531" s="123"/>
      <c r="L531" s="267">
        <v>67.483098715596341</v>
      </c>
      <c r="M531" s="205">
        <f t="shared" si="65"/>
        <v>0</v>
      </c>
      <c r="N531" s="207"/>
      <c r="O531" s="207"/>
      <c r="P531" s="207">
        <f t="shared" si="64"/>
        <v>0</v>
      </c>
      <c r="Q531" s="123"/>
      <c r="R531" s="267">
        <v>67.483098715596341</v>
      </c>
      <c r="S531" s="207">
        <f t="shared" si="63"/>
        <v>0</v>
      </c>
      <c r="T531" s="207"/>
      <c r="U531" s="207"/>
      <c r="V531" s="207">
        <f t="shared" si="62"/>
        <v>0</v>
      </c>
      <c r="W531" s="123"/>
      <c r="X531" s="268"/>
      <c r="Y531" s="207"/>
      <c r="Z531" s="267">
        <v>67.483098715596341</v>
      </c>
      <c r="AA531" s="207">
        <v>0</v>
      </c>
      <c r="AB531" s="207"/>
      <c r="AC531" s="207"/>
      <c r="AD531" s="207">
        <v>0</v>
      </c>
    </row>
    <row r="532" spans="1:30" s="216" customFormat="1" ht="23.1" hidden="1" customHeight="1" outlineLevel="3">
      <c r="A532" s="223"/>
      <c r="B532" s="223" t="s">
        <v>988</v>
      </c>
      <c r="C532" s="223" t="s">
        <v>1032</v>
      </c>
      <c r="D532" s="223" t="s">
        <v>247</v>
      </c>
      <c r="E532" s="207">
        <v>4429.1899999999996</v>
      </c>
      <c r="F532" s="205">
        <v>80.059709944954122</v>
      </c>
      <c r="G532" s="205">
        <v>354599.66669109132</v>
      </c>
      <c r="H532" s="207">
        <v>4429.1899999999996</v>
      </c>
      <c r="I532" s="207"/>
      <c r="J532" s="207">
        <v>139368.41091933977</v>
      </c>
      <c r="K532" s="123"/>
      <c r="L532" s="267">
        <v>80.059709944954122</v>
      </c>
      <c r="M532" s="205">
        <f t="shared" si="65"/>
        <v>0</v>
      </c>
      <c r="N532" s="207"/>
      <c r="O532" s="207"/>
      <c r="P532" s="207">
        <f t="shared" si="64"/>
        <v>0</v>
      </c>
      <c r="Q532" s="123"/>
      <c r="R532" s="267">
        <v>80.059709944954122</v>
      </c>
      <c r="S532" s="207">
        <f t="shared" si="63"/>
        <v>0</v>
      </c>
      <c r="T532" s="207"/>
      <c r="U532" s="207"/>
      <c r="V532" s="207">
        <f t="shared" si="62"/>
        <v>0</v>
      </c>
      <c r="W532" s="123"/>
      <c r="X532" s="268"/>
      <c r="Y532" s="207"/>
      <c r="Z532" s="267">
        <v>80.059709944954122</v>
      </c>
      <c r="AA532" s="207">
        <v>0</v>
      </c>
      <c r="AB532" s="207"/>
      <c r="AC532" s="207"/>
      <c r="AD532" s="207">
        <v>0</v>
      </c>
    </row>
    <row r="533" spans="1:30" s="216" customFormat="1" ht="23.1" hidden="1" customHeight="1" outlineLevel="3">
      <c r="A533" s="223"/>
      <c r="B533" s="223" t="s">
        <v>990</v>
      </c>
      <c r="C533" s="223" t="s">
        <v>991</v>
      </c>
      <c r="D533" s="223" t="s">
        <v>247</v>
      </c>
      <c r="E533" s="207">
        <v>622.15</v>
      </c>
      <c r="F533" s="205">
        <v>52.677600880733948</v>
      </c>
      <c r="G533" s="205">
        <v>32773.369387948624</v>
      </c>
      <c r="H533" s="207">
        <v>622.15</v>
      </c>
      <c r="I533" s="207"/>
      <c r="J533" s="207">
        <v>9954.4</v>
      </c>
      <c r="K533" s="123"/>
      <c r="L533" s="267">
        <v>52.677600880733948</v>
      </c>
      <c r="M533" s="205">
        <f t="shared" si="65"/>
        <v>0</v>
      </c>
      <c r="N533" s="207"/>
      <c r="O533" s="207"/>
      <c r="P533" s="207">
        <f t="shared" si="64"/>
        <v>0</v>
      </c>
      <c r="Q533" s="123"/>
      <c r="R533" s="267">
        <v>52.677600880733948</v>
      </c>
      <c r="S533" s="207">
        <f t="shared" si="63"/>
        <v>0</v>
      </c>
      <c r="T533" s="207"/>
      <c r="U533" s="207"/>
      <c r="V533" s="207">
        <f t="shared" si="62"/>
        <v>0</v>
      </c>
      <c r="W533" s="123"/>
      <c r="X533" s="268"/>
      <c r="Y533" s="207"/>
      <c r="Z533" s="267">
        <v>52.677600880733948</v>
      </c>
      <c r="AA533" s="207">
        <v>0</v>
      </c>
      <c r="AB533" s="207"/>
      <c r="AC533" s="207"/>
      <c r="AD533" s="207">
        <v>0</v>
      </c>
    </row>
    <row r="534" spans="1:30" s="216" customFormat="1" ht="23.1" hidden="1" customHeight="1" outlineLevel="3">
      <c r="A534" s="223"/>
      <c r="B534" s="223" t="s">
        <v>747</v>
      </c>
      <c r="C534" s="223" t="s">
        <v>992</v>
      </c>
      <c r="D534" s="223" t="s">
        <v>247</v>
      </c>
      <c r="E534" s="207">
        <v>38.29</v>
      </c>
      <c r="F534" s="205">
        <v>92.683744293577973</v>
      </c>
      <c r="G534" s="205">
        <v>3548.8605690011004</v>
      </c>
      <c r="H534" s="207">
        <v>38.29</v>
      </c>
      <c r="I534" s="207"/>
      <c r="J534" s="207">
        <v>2748.6817764271841</v>
      </c>
      <c r="K534" s="123"/>
      <c r="L534" s="267">
        <v>92.683744293577973</v>
      </c>
      <c r="M534" s="205">
        <f t="shared" si="65"/>
        <v>0</v>
      </c>
      <c r="N534" s="207"/>
      <c r="O534" s="207"/>
      <c r="P534" s="207">
        <f t="shared" si="64"/>
        <v>0</v>
      </c>
      <c r="Q534" s="123"/>
      <c r="R534" s="267">
        <v>92.683744293577973</v>
      </c>
      <c r="S534" s="207">
        <f t="shared" si="63"/>
        <v>0</v>
      </c>
      <c r="T534" s="207"/>
      <c r="U534" s="207"/>
      <c r="V534" s="207">
        <f t="shared" si="62"/>
        <v>0</v>
      </c>
      <c r="W534" s="123"/>
      <c r="X534" s="268"/>
      <c r="Y534" s="207"/>
      <c r="Z534" s="267">
        <v>92.683744293577973</v>
      </c>
      <c r="AA534" s="207">
        <v>0</v>
      </c>
      <c r="AB534" s="207"/>
      <c r="AC534" s="207"/>
      <c r="AD534" s="207">
        <v>0</v>
      </c>
    </row>
    <row r="535" spans="1:30" s="216" customFormat="1" ht="23.1" hidden="1" customHeight="1" outlineLevel="3">
      <c r="A535" s="223"/>
      <c r="B535" s="223" t="s">
        <v>894</v>
      </c>
      <c r="C535" s="223" t="s">
        <v>895</v>
      </c>
      <c r="D535" s="223" t="s">
        <v>247</v>
      </c>
      <c r="E535" s="207">
        <v>259.12</v>
      </c>
      <c r="F535" s="205">
        <v>136.29404477064219</v>
      </c>
      <c r="G535" s="205">
        <v>35316.512880968803</v>
      </c>
      <c r="H535" s="207">
        <v>259.12</v>
      </c>
      <c r="I535" s="207"/>
      <c r="J535" s="207">
        <v>31031.730695922342</v>
      </c>
      <c r="K535" s="123"/>
      <c r="L535" s="267">
        <v>136.29404477064219</v>
      </c>
      <c r="M535" s="205">
        <f t="shared" si="65"/>
        <v>0</v>
      </c>
      <c r="N535" s="207"/>
      <c r="O535" s="207"/>
      <c r="P535" s="207">
        <f t="shared" si="64"/>
        <v>0</v>
      </c>
      <c r="Q535" s="123"/>
      <c r="R535" s="267">
        <v>136.29404477064219</v>
      </c>
      <c r="S535" s="207">
        <f t="shared" si="63"/>
        <v>0</v>
      </c>
      <c r="T535" s="207"/>
      <c r="U535" s="207"/>
      <c r="V535" s="207">
        <f t="shared" si="62"/>
        <v>0</v>
      </c>
      <c r="W535" s="123"/>
      <c r="X535" s="268"/>
      <c r="Y535" s="207"/>
      <c r="Z535" s="267">
        <v>136.29404477064219</v>
      </c>
      <c r="AA535" s="207">
        <v>0</v>
      </c>
      <c r="AB535" s="207"/>
      <c r="AC535" s="207"/>
      <c r="AD535" s="207">
        <v>0</v>
      </c>
    </row>
    <row r="536" spans="1:30" s="216" customFormat="1" ht="23.1" hidden="1" customHeight="1" outlineLevel="3">
      <c r="A536" s="223"/>
      <c r="B536" s="223" t="s">
        <v>993</v>
      </c>
      <c r="C536" s="223" t="s">
        <v>994</v>
      </c>
      <c r="D536" s="223" t="s">
        <v>247</v>
      </c>
      <c r="E536" s="207">
        <v>12.72</v>
      </c>
      <c r="F536" s="205">
        <v>108.91193570642201</v>
      </c>
      <c r="G536" s="205">
        <v>1385.359822185688</v>
      </c>
      <c r="H536" s="207">
        <v>12.72</v>
      </c>
      <c r="I536" s="207"/>
      <c r="J536" s="207">
        <v>1218.0436124271851</v>
      </c>
      <c r="K536" s="123"/>
      <c r="L536" s="267">
        <v>108.91193570642201</v>
      </c>
      <c r="M536" s="205">
        <f t="shared" si="65"/>
        <v>0</v>
      </c>
      <c r="N536" s="207"/>
      <c r="O536" s="207"/>
      <c r="P536" s="207">
        <f t="shared" si="64"/>
        <v>0</v>
      </c>
      <c r="Q536" s="123"/>
      <c r="R536" s="267">
        <v>108.91193570642201</v>
      </c>
      <c r="S536" s="207">
        <f t="shared" si="63"/>
        <v>0</v>
      </c>
      <c r="T536" s="207"/>
      <c r="U536" s="207"/>
      <c r="V536" s="207">
        <f t="shared" si="62"/>
        <v>0</v>
      </c>
      <c r="W536" s="123"/>
      <c r="X536" s="268"/>
      <c r="Y536" s="207"/>
      <c r="Z536" s="267">
        <v>108.91193570642201</v>
      </c>
      <c r="AA536" s="207">
        <v>0</v>
      </c>
      <c r="AB536" s="207"/>
      <c r="AC536" s="207"/>
      <c r="AD536" s="207">
        <v>0</v>
      </c>
    </row>
    <row r="537" spans="1:30" s="216" customFormat="1" ht="23.1" hidden="1" customHeight="1" outlineLevel="3">
      <c r="A537" s="223"/>
      <c r="B537" s="223" t="s">
        <v>749</v>
      </c>
      <c r="C537" s="223" t="s">
        <v>895</v>
      </c>
      <c r="D537" s="223" t="s">
        <v>247</v>
      </c>
      <c r="E537" s="207">
        <v>2436.4299999999998</v>
      </c>
      <c r="F537" s="205">
        <v>67.103713761467887</v>
      </c>
      <c r="G537" s="205">
        <v>163493.50131985318</v>
      </c>
      <c r="H537" s="207">
        <v>2436.4299999999998</v>
      </c>
      <c r="I537" s="207"/>
      <c r="J537" s="207">
        <v>291782.33875990298</v>
      </c>
      <c r="K537" s="123"/>
      <c r="L537" s="267">
        <v>67.103713761467887</v>
      </c>
      <c r="M537" s="205">
        <f t="shared" si="65"/>
        <v>0</v>
      </c>
      <c r="N537" s="207"/>
      <c r="O537" s="207"/>
      <c r="P537" s="207">
        <f t="shared" si="64"/>
        <v>0</v>
      </c>
      <c r="Q537" s="123"/>
      <c r="R537" s="267">
        <v>67.103713761467887</v>
      </c>
      <c r="S537" s="207">
        <f t="shared" si="63"/>
        <v>0</v>
      </c>
      <c r="T537" s="207"/>
      <c r="U537" s="207"/>
      <c r="V537" s="207">
        <f t="shared" si="62"/>
        <v>0</v>
      </c>
      <c r="W537" s="123"/>
      <c r="X537" s="268"/>
      <c r="Y537" s="207"/>
      <c r="Z537" s="267">
        <v>67.103713761467887</v>
      </c>
      <c r="AA537" s="207">
        <v>0</v>
      </c>
      <c r="AB537" s="207"/>
      <c r="AC537" s="207"/>
      <c r="AD537" s="207">
        <v>0</v>
      </c>
    </row>
    <row r="538" spans="1:30" s="216" customFormat="1" ht="23.1" hidden="1" customHeight="1" outlineLevel="3">
      <c r="A538" s="223"/>
      <c r="B538" s="223" t="s">
        <v>995</v>
      </c>
      <c r="C538" s="223" t="s">
        <v>994</v>
      </c>
      <c r="D538" s="223" t="s">
        <v>247</v>
      </c>
      <c r="E538" s="207">
        <v>786.23</v>
      </c>
      <c r="F538" s="205">
        <v>39.740573944954129</v>
      </c>
      <c r="G538" s="205">
        <v>31245.231452741285</v>
      </c>
      <c r="H538" s="207">
        <v>786.23</v>
      </c>
      <c r="I538" s="207"/>
      <c r="J538" s="207">
        <v>75287.926839514592</v>
      </c>
      <c r="K538" s="123"/>
      <c r="L538" s="267">
        <v>39.740573944954129</v>
      </c>
      <c r="M538" s="205">
        <f t="shared" si="65"/>
        <v>0</v>
      </c>
      <c r="N538" s="207"/>
      <c r="O538" s="207"/>
      <c r="P538" s="207">
        <f t="shared" si="64"/>
        <v>0</v>
      </c>
      <c r="Q538" s="123"/>
      <c r="R538" s="267">
        <v>39.740573944954129</v>
      </c>
      <c r="S538" s="207">
        <f t="shared" si="63"/>
        <v>0</v>
      </c>
      <c r="T538" s="207"/>
      <c r="U538" s="207"/>
      <c r="V538" s="207">
        <f t="shared" si="62"/>
        <v>0</v>
      </c>
      <c r="W538" s="123"/>
      <c r="X538" s="268"/>
      <c r="Y538" s="207"/>
      <c r="Z538" s="267">
        <v>39.740573944954129</v>
      </c>
      <c r="AA538" s="207">
        <v>0</v>
      </c>
      <c r="AB538" s="207"/>
      <c r="AC538" s="207"/>
      <c r="AD538" s="207">
        <v>0</v>
      </c>
    </row>
    <row r="539" spans="1:30" s="216" customFormat="1" ht="23.1" hidden="1" customHeight="1" outlineLevel="3">
      <c r="A539" s="223"/>
      <c r="B539" s="223" t="s">
        <v>751</v>
      </c>
      <c r="C539" s="223" t="s">
        <v>897</v>
      </c>
      <c r="D539" s="223" t="s">
        <v>247</v>
      </c>
      <c r="E539" s="207">
        <v>1758.49</v>
      </c>
      <c r="F539" s="205">
        <v>26.898393247706423</v>
      </c>
      <c r="G539" s="205">
        <v>47300.555542159265</v>
      </c>
      <c r="H539" s="207">
        <v>1758.49</v>
      </c>
      <c r="I539" s="207"/>
      <c r="J539" s="207">
        <v>52050.281344165051</v>
      </c>
      <c r="K539" s="123"/>
      <c r="L539" s="267">
        <v>26.898393247706423</v>
      </c>
      <c r="M539" s="205">
        <f t="shared" si="65"/>
        <v>0</v>
      </c>
      <c r="N539" s="207"/>
      <c r="O539" s="207"/>
      <c r="P539" s="207">
        <f t="shared" si="64"/>
        <v>0</v>
      </c>
      <c r="Q539" s="123"/>
      <c r="R539" s="267">
        <v>26.898393247706423</v>
      </c>
      <c r="S539" s="207">
        <f t="shared" si="63"/>
        <v>0</v>
      </c>
      <c r="T539" s="207"/>
      <c r="U539" s="207"/>
      <c r="V539" s="207">
        <f t="shared" si="62"/>
        <v>0</v>
      </c>
      <c r="W539" s="123"/>
      <c r="X539" s="268"/>
      <c r="Y539" s="207"/>
      <c r="Z539" s="267">
        <v>26.898393247706423</v>
      </c>
      <c r="AA539" s="207">
        <v>0</v>
      </c>
      <c r="AB539" s="207"/>
      <c r="AC539" s="207"/>
      <c r="AD539" s="207">
        <v>0</v>
      </c>
    </row>
    <row r="540" spans="1:30" s="216" customFormat="1" ht="23.1" hidden="1" customHeight="1" outlineLevel="3">
      <c r="A540" s="223"/>
      <c r="B540" s="223" t="s">
        <v>755</v>
      </c>
      <c r="C540" s="223" t="s">
        <v>899</v>
      </c>
      <c r="D540" s="223" t="s">
        <v>247</v>
      </c>
      <c r="E540" s="207">
        <v>524.38</v>
      </c>
      <c r="F540" s="205">
        <v>13.088780917431194</v>
      </c>
      <c r="G540" s="205">
        <v>6863.4949374825692</v>
      </c>
      <c r="H540" s="207">
        <v>524.38</v>
      </c>
      <c r="I540" s="207"/>
      <c r="J540" s="207">
        <v>13563.861015009708</v>
      </c>
      <c r="K540" s="123"/>
      <c r="L540" s="267">
        <v>13.088780917431194</v>
      </c>
      <c r="M540" s="205">
        <f t="shared" si="65"/>
        <v>0</v>
      </c>
      <c r="N540" s="207"/>
      <c r="O540" s="207"/>
      <c r="P540" s="207">
        <f t="shared" si="64"/>
        <v>0</v>
      </c>
      <c r="Q540" s="123"/>
      <c r="R540" s="267">
        <v>13.088780917431194</v>
      </c>
      <c r="S540" s="207">
        <f t="shared" si="63"/>
        <v>0</v>
      </c>
      <c r="T540" s="207"/>
      <c r="U540" s="207"/>
      <c r="V540" s="207">
        <f t="shared" si="62"/>
        <v>0</v>
      </c>
      <c r="W540" s="123"/>
      <c r="X540" s="268"/>
      <c r="Y540" s="207"/>
      <c r="Z540" s="267">
        <v>13.088780917431194</v>
      </c>
      <c r="AA540" s="207">
        <v>0</v>
      </c>
      <c r="AB540" s="207"/>
      <c r="AC540" s="207"/>
      <c r="AD540" s="207">
        <v>0</v>
      </c>
    </row>
    <row r="541" spans="1:30" s="215" customFormat="1" ht="23.1" hidden="1" customHeight="1" outlineLevel="2" collapsed="1">
      <c r="A541" s="220"/>
      <c r="B541" s="220" t="s">
        <v>900</v>
      </c>
      <c r="C541" s="220"/>
      <c r="D541" s="220"/>
      <c r="E541" s="229"/>
      <c r="F541" s="222">
        <v>0</v>
      </c>
      <c r="G541" s="222">
        <v>0</v>
      </c>
      <c r="H541" s="229"/>
      <c r="I541" s="229"/>
      <c r="J541" s="229">
        <v>0</v>
      </c>
      <c r="K541" s="137"/>
      <c r="L541" s="266">
        <v>0</v>
      </c>
      <c r="M541" s="222">
        <f t="shared" si="65"/>
        <v>0</v>
      </c>
      <c r="N541" s="229"/>
      <c r="O541" s="229"/>
      <c r="P541" s="229">
        <f t="shared" si="64"/>
        <v>0</v>
      </c>
      <c r="Q541" s="137"/>
      <c r="R541" s="266">
        <v>0</v>
      </c>
      <c r="S541" s="229">
        <f t="shared" si="63"/>
        <v>0</v>
      </c>
      <c r="T541" s="229"/>
      <c r="U541" s="229"/>
      <c r="V541" s="229">
        <f>SUM(V542:V545)</f>
        <v>87245.068499999994</v>
      </c>
      <c r="W541" s="137"/>
      <c r="X541" s="271"/>
      <c r="Y541" s="229"/>
      <c r="Z541" s="266">
        <v>0</v>
      </c>
      <c r="AA541" s="229">
        <v>0</v>
      </c>
      <c r="AB541" s="229"/>
      <c r="AC541" s="229"/>
      <c r="AD541" s="229">
        <v>87245.068499999994</v>
      </c>
    </row>
    <row r="542" spans="1:30" s="216" customFormat="1" ht="23.1" hidden="1" customHeight="1" outlineLevel="3">
      <c r="A542" s="223"/>
      <c r="B542" s="223" t="s">
        <v>901</v>
      </c>
      <c r="C542" s="223" t="s">
        <v>1033</v>
      </c>
      <c r="D542" s="223" t="s">
        <v>247</v>
      </c>
      <c r="E542" s="207">
        <v>604.78</v>
      </c>
      <c r="F542" s="205">
        <v>175.32327192660551</v>
      </c>
      <c r="G542" s="205">
        <v>106032.00839577247</v>
      </c>
      <c r="H542" s="207">
        <v>604.78</v>
      </c>
      <c r="I542" s="207"/>
      <c r="J542" s="207">
        <v>85253.351717514568</v>
      </c>
      <c r="K542" s="123"/>
      <c r="L542" s="267">
        <v>175.32327192660551</v>
      </c>
      <c r="M542" s="205">
        <f t="shared" si="65"/>
        <v>0</v>
      </c>
      <c r="N542" s="207"/>
      <c r="O542" s="207"/>
      <c r="P542" s="207">
        <f t="shared" si="64"/>
        <v>0</v>
      </c>
      <c r="Q542" s="123"/>
      <c r="R542" s="267">
        <v>175.32327192660551</v>
      </c>
      <c r="S542" s="207">
        <f t="shared" si="63"/>
        <v>0</v>
      </c>
      <c r="T542" s="207"/>
      <c r="U542" s="207"/>
      <c r="V542" s="207">
        <f t="shared" si="62"/>
        <v>0</v>
      </c>
      <c r="W542" s="123"/>
      <c r="X542" s="268"/>
      <c r="Y542" s="207"/>
      <c r="Z542" s="267">
        <v>175.32327192660551</v>
      </c>
      <c r="AA542" s="207">
        <v>0</v>
      </c>
      <c r="AB542" s="207"/>
      <c r="AC542" s="207"/>
      <c r="AD542" s="207">
        <v>0</v>
      </c>
    </row>
    <row r="543" spans="1:30" s="216" customFormat="1" ht="23.1" hidden="1" customHeight="1" outlineLevel="3">
      <c r="A543" s="223"/>
      <c r="B543" s="223" t="s">
        <v>997</v>
      </c>
      <c r="C543" s="223" t="s">
        <v>1034</v>
      </c>
      <c r="D543" s="223" t="s">
        <v>247</v>
      </c>
      <c r="E543" s="207">
        <v>11540.36</v>
      </c>
      <c r="F543" s="205">
        <v>134.29278913761468</v>
      </c>
      <c r="G543" s="205">
        <v>1549787.1320521629</v>
      </c>
      <c r="H543" s="207">
        <v>11540.36</v>
      </c>
      <c r="I543" s="207"/>
      <c r="J543" s="207">
        <v>1309830.8600000001</v>
      </c>
      <c r="K543" s="123"/>
      <c r="L543" s="267">
        <v>134.29278913761468</v>
      </c>
      <c r="M543" s="205">
        <f t="shared" si="65"/>
        <v>0</v>
      </c>
      <c r="N543" s="207"/>
      <c r="O543" s="207"/>
      <c r="P543" s="207">
        <f t="shared" si="64"/>
        <v>0</v>
      </c>
      <c r="Q543" s="123"/>
      <c r="R543" s="267">
        <v>134.29278913761468</v>
      </c>
      <c r="S543" s="207">
        <f t="shared" si="63"/>
        <v>0</v>
      </c>
      <c r="T543" s="206">
        <f>4255.857/2</f>
        <v>2127.9285</v>
      </c>
      <c r="U543" s="206">
        <f>20+21</f>
        <v>41</v>
      </c>
      <c r="V543" s="207">
        <f t="shared" si="62"/>
        <v>87245.068499999994</v>
      </c>
      <c r="W543" s="123"/>
      <c r="X543" s="268"/>
      <c r="Y543" s="207"/>
      <c r="Z543" s="267">
        <v>134.29278913761468</v>
      </c>
      <c r="AA543" s="207">
        <v>0</v>
      </c>
      <c r="AB543" s="207">
        <v>2127.9285</v>
      </c>
      <c r="AC543" s="207">
        <v>41</v>
      </c>
      <c r="AD543" s="207">
        <v>87245.068499999994</v>
      </c>
    </row>
    <row r="544" spans="1:30" s="216" customFormat="1" ht="23.1" hidden="1" customHeight="1" outlineLevel="3">
      <c r="A544" s="223"/>
      <c r="B544" s="223" t="s">
        <v>903</v>
      </c>
      <c r="C544" s="223" t="s">
        <v>904</v>
      </c>
      <c r="D544" s="223" t="s">
        <v>247</v>
      </c>
      <c r="E544" s="207">
        <v>216.19</v>
      </c>
      <c r="F544" s="205">
        <v>105.7914944587156</v>
      </c>
      <c r="G544" s="205">
        <v>22871.063187029726</v>
      </c>
      <c r="H544" s="207">
        <v>216.19</v>
      </c>
      <c r="I544" s="207"/>
      <c r="J544" s="207">
        <v>12423.551031961164</v>
      </c>
      <c r="K544" s="123"/>
      <c r="L544" s="267">
        <v>105.7914944587156</v>
      </c>
      <c r="M544" s="205">
        <f t="shared" si="65"/>
        <v>0</v>
      </c>
      <c r="N544" s="207"/>
      <c r="O544" s="207"/>
      <c r="P544" s="207">
        <f t="shared" si="64"/>
        <v>0</v>
      </c>
      <c r="Q544" s="123"/>
      <c r="R544" s="267">
        <v>105.7914944587156</v>
      </c>
      <c r="S544" s="207">
        <f t="shared" si="63"/>
        <v>0</v>
      </c>
      <c r="T544" s="207"/>
      <c r="U544" s="207"/>
      <c r="V544" s="207">
        <f t="shared" si="62"/>
        <v>0</v>
      </c>
      <c r="W544" s="123"/>
      <c r="X544" s="268"/>
      <c r="Y544" s="207"/>
      <c r="Z544" s="267">
        <v>105.7914944587156</v>
      </c>
      <c r="AA544" s="207">
        <v>0</v>
      </c>
      <c r="AB544" s="207"/>
      <c r="AC544" s="207"/>
      <c r="AD544" s="207">
        <v>0</v>
      </c>
    </row>
    <row r="545" spans="1:30" s="216" customFormat="1" ht="23.1" hidden="1" customHeight="1" outlineLevel="3">
      <c r="A545" s="223"/>
      <c r="B545" s="223" t="s">
        <v>999</v>
      </c>
      <c r="C545" s="223" t="s">
        <v>1000</v>
      </c>
      <c r="D545" s="223" t="s">
        <v>247</v>
      </c>
      <c r="E545" s="207">
        <v>216.19</v>
      </c>
      <c r="F545" s="205">
        <v>73.259234642201832</v>
      </c>
      <c r="G545" s="205">
        <v>15837.913937297613</v>
      </c>
      <c r="H545" s="207">
        <v>216.19</v>
      </c>
      <c r="I545" s="207"/>
      <c r="J545" s="207">
        <v>9836.6450000000004</v>
      </c>
      <c r="K545" s="123"/>
      <c r="L545" s="267">
        <v>73.259234642201832</v>
      </c>
      <c r="M545" s="205">
        <f t="shared" si="65"/>
        <v>0</v>
      </c>
      <c r="N545" s="207"/>
      <c r="O545" s="207"/>
      <c r="P545" s="207">
        <f t="shared" si="64"/>
        <v>0</v>
      </c>
      <c r="Q545" s="123"/>
      <c r="R545" s="267">
        <v>73.259234642201832</v>
      </c>
      <c r="S545" s="207">
        <f t="shared" si="63"/>
        <v>0</v>
      </c>
      <c r="T545" s="207"/>
      <c r="U545" s="207"/>
      <c r="V545" s="207">
        <f t="shared" si="62"/>
        <v>0</v>
      </c>
      <c r="W545" s="123"/>
      <c r="X545" s="268"/>
      <c r="Y545" s="207"/>
      <c r="Z545" s="267">
        <v>73.259234642201832</v>
      </c>
      <c r="AA545" s="207">
        <v>0</v>
      </c>
      <c r="AB545" s="207"/>
      <c r="AC545" s="207"/>
      <c r="AD545" s="207">
        <v>0</v>
      </c>
    </row>
    <row r="546" spans="1:30" s="215" customFormat="1" ht="23.1" hidden="1" customHeight="1" outlineLevel="1" collapsed="1">
      <c r="A546" s="220"/>
      <c r="B546" s="220" t="s">
        <v>905</v>
      </c>
      <c r="C546" s="220"/>
      <c r="D546" s="220"/>
      <c r="E546" s="229"/>
      <c r="F546" s="222">
        <v>0</v>
      </c>
      <c r="G546" s="222">
        <v>0</v>
      </c>
      <c r="H546" s="229"/>
      <c r="I546" s="229"/>
      <c r="J546" s="229">
        <v>0</v>
      </c>
      <c r="K546" s="137"/>
      <c r="L546" s="266">
        <v>0</v>
      </c>
      <c r="M546" s="222">
        <f t="shared" si="65"/>
        <v>0</v>
      </c>
      <c r="N546" s="229"/>
      <c r="O546" s="229"/>
      <c r="P546" s="229">
        <f t="shared" si="64"/>
        <v>0</v>
      </c>
      <c r="Q546" s="137"/>
      <c r="R546" s="266">
        <v>0</v>
      </c>
      <c r="S546" s="229">
        <f t="shared" si="63"/>
        <v>0</v>
      </c>
      <c r="T546" s="229"/>
      <c r="U546" s="229"/>
      <c r="V546" s="229">
        <f t="shared" si="62"/>
        <v>0</v>
      </c>
      <c r="W546" s="137"/>
      <c r="X546" s="271"/>
      <c r="Y546" s="229"/>
      <c r="Z546" s="266">
        <v>0</v>
      </c>
      <c r="AA546" s="229">
        <v>0</v>
      </c>
      <c r="AB546" s="229"/>
      <c r="AC546" s="229"/>
      <c r="AD546" s="229">
        <v>0</v>
      </c>
    </row>
    <row r="547" spans="1:30" s="216" customFormat="1" ht="23.1" hidden="1" customHeight="1" outlineLevel="2">
      <c r="A547" s="223"/>
      <c r="B547" s="223" t="s">
        <v>763</v>
      </c>
      <c r="C547" s="223" t="s">
        <v>906</v>
      </c>
      <c r="D547" s="223" t="s">
        <v>397</v>
      </c>
      <c r="E547" s="207">
        <v>1807.38</v>
      </c>
      <c r="F547" s="205">
        <v>6.8573830458715594</v>
      </c>
      <c r="G547" s="205">
        <v>12393.89696944734</v>
      </c>
      <c r="H547" s="207">
        <v>1807.38</v>
      </c>
      <c r="I547" s="207"/>
      <c r="J547" s="207">
        <v>18411.142563733982</v>
      </c>
      <c r="K547" s="123"/>
      <c r="L547" s="267">
        <v>6.8573830458715594</v>
      </c>
      <c r="M547" s="205">
        <f t="shared" si="65"/>
        <v>0</v>
      </c>
      <c r="N547" s="207"/>
      <c r="O547" s="207"/>
      <c r="P547" s="207">
        <f t="shared" si="64"/>
        <v>0</v>
      </c>
      <c r="Q547" s="123"/>
      <c r="R547" s="267">
        <v>6.8573830458715594</v>
      </c>
      <c r="S547" s="207">
        <f t="shared" si="63"/>
        <v>0</v>
      </c>
      <c r="T547" s="207"/>
      <c r="U547" s="207"/>
      <c r="V547" s="207">
        <f t="shared" si="62"/>
        <v>0</v>
      </c>
      <c r="W547" s="123"/>
      <c r="X547" s="268"/>
      <c r="Y547" s="207"/>
      <c r="Z547" s="267">
        <v>6.8573830458715594</v>
      </c>
      <c r="AA547" s="207">
        <v>0</v>
      </c>
      <c r="AB547" s="207"/>
      <c r="AC547" s="207"/>
      <c r="AD547" s="207">
        <v>0</v>
      </c>
    </row>
    <row r="548" spans="1:30" s="216" customFormat="1" ht="23.1" hidden="1" customHeight="1" outlineLevel="2">
      <c r="A548" s="223"/>
      <c r="B548" s="223" t="s">
        <v>765</v>
      </c>
      <c r="C548" s="223" t="s">
        <v>907</v>
      </c>
      <c r="D548" s="223" t="s">
        <v>397</v>
      </c>
      <c r="E548" s="207">
        <v>378.13</v>
      </c>
      <c r="F548" s="205">
        <v>17.802638972477066</v>
      </c>
      <c r="G548" s="205">
        <v>6731.711874662753</v>
      </c>
      <c r="H548" s="207">
        <v>378.13</v>
      </c>
      <c r="I548" s="207"/>
      <c r="J548" s="207">
        <v>7106.5752199999997</v>
      </c>
      <c r="K548" s="123"/>
      <c r="L548" s="267">
        <v>17.802638972477066</v>
      </c>
      <c r="M548" s="205">
        <f t="shared" si="65"/>
        <v>0</v>
      </c>
      <c r="N548" s="207"/>
      <c r="O548" s="207"/>
      <c r="P548" s="207">
        <f t="shared" si="64"/>
        <v>0</v>
      </c>
      <c r="Q548" s="123"/>
      <c r="R548" s="267">
        <v>17.802638972477066</v>
      </c>
      <c r="S548" s="207">
        <f t="shared" si="63"/>
        <v>0</v>
      </c>
      <c r="T548" s="207"/>
      <c r="U548" s="207"/>
      <c r="V548" s="207">
        <f t="shared" si="62"/>
        <v>0</v>
      </c>
      <c r="W548" s="123"/>
      <c r="X548" s="268"/>
      <c r="Y548" s="207"/>
      <c r="Z548" s="267">
        <v>17.802638972477066</v>
      </c>
      <c r="AA548" s="207">
        <v>0</v>
      </c>
      <c r="AB548" s="207"/>
      <c r="AC548" s="207"/>
      <c r="AD548" s="207">
        <v>0</v>
      </c>
    </row>
    <row r="549" spans="1:30" s="216" customFormat="1" ht="23.1" hidden="1" customHeight="1" outlineLevel="2">
      <c r="A549" s="223"/>
      <c r="B549" s="223" t="s">
        <v>767</v>
      </c>
      <c r="C549" s="223" t="s">
        <v>908</v>
      </c>
      <c r="D549" s="223" t="s">
        <v>397</v>
      </c>
      <c r="E549" s="207">
        <v>26.4</v>
      </c>
      <c r="F549" s="205">
        <v>5.3303586055045873</v>
      </c>
      <c r="G549" s="205">
        <v>140.7214671853211</v>
      </c>
      <c r="H549" s="207">
        <v>26.4</v>
      </c>
      <c r="I549" s="207"/>
      <c r="J549" s="207">
        <v>460.35</v>
      </c>
      <c r="K549" s="123"/>
      <c r="L549" s="267">
        <v>5.3303586055045873</v>
      </c>
      <c r="M549" s="205">
        <f t="shared" si="65"/>
        <v>0</v>
      </c>
      <c r="N549" s="207"/>
      <c r="O549" s="207"/>
      <c r="P549" s="207">
        <f t="shared" si="64"/>
        <v>0</v>
      </c>
      <c r="Q549" s="123"/>
      <c r="R549" s="267">
        <v>5.3303586055045873</v>
      </c>
      <c r="S549" s="207">
        <f t="shared" si="63"/>
        <v>0</v>
      </c>
      <c r="T549" s="207"/>
      <c r="U549" s="207"/>
      <c r="V549" s="207">
        <f t="shared" si="62"/>
        <v>0</v>
      </c>
      <c r="W549" s="123"/>
      <c r="X549" s="268"/>
      <c r="Y549" s="207"/>
      <c r="Z549" s="267">
        <v>5.3303586055045873</v>
      </c>
      <c r="AA549" s="207">
        <v>0</v>
      </c>
      <c r="AB549" s="207"/>
      <c r="AC549" s="207"/>
      <c r="AD549" s="207">
        <v>0</v>
      </c>
    </row>
    <row r="550" spans="1:30" s="215" customFormat="1" ht="23.1" hidden="1" customHeight="1" outlineLevel="1" collapsed="1">
      <c r="A550" s="220"/>
      <c r="B550" s="220" t="s">
        <v>911</v>
      </c>
      <c r="C550" s="220"/>
      <c r="D550" s="220"/>
      <c r="E550" s="229"/>
      <c r="F550" s="222">
        <v>0</v>
      </c>
      <c r="G550" s="222">
        <v>0</v>
      </c>
      <c r="H550" s="229"/>
      <c r="I550" s="229"/>
      <c r="J550" s="229">
        <v>0</v>
      </c>
      <c r="K550" s="137"/>
      <c r="L550" s="266">
        <v>0</v>
      </c>
      <c r="M550" s="222">
        <f t="shared" si="65"/>
        <v>0</v>
      </c>
      <c r="N550" s="229"/>
      <c r="O550" s="229"/>
      <c r="P550" s="229">
        <f t="shared" si="64"/>
        <v>0</v>
      </c>
      <c r="Q550" s="137"/>
      <c r="R550" s="266">
        <v>0</v>
      </c>
      <c r="S550" s="229">
        <f t="shared" si="63"/>
        <v>0</v>
      </c>
      <c r="T550" s="229"/>
      <c r="U550" s="229"/>
      <c r="V550" s="229">
        <f t="shared" si="62"/>
        <v>0</v>
      </c>
      <c r="W550" s="137"/>
      <c r="X550" s="271"/>
      <c r="Y550" s="229"/>
      <c r="Z550" s="266">
        <v>0</v>
      </c>
      <c r="AA550" s="229">
        <v>0</v>
      </c>
      <c r="AB550" s="229"/>
      <c r="AC550" s="229"/>
      <c r="AD550" s="229">
        <v>0</v>
      </c>
    </row>
    <row r="551" spans="1:30" s="216" customFormat="1" ht="23.1" hidden="1" customHeight="1" outlineLevel="2">
      <c r="A551" s="223"/>
      <c r="B551" s="223" t="s">
        <v>912</v>
      </c>
      <c r="C551" s="223" t="s">
        <v>1001</v>
      </c>
      <c r="D551" s="223" t="s">
        <v>247</v>
      </c>
      <c r="E551" s="207">
        <v>6.6</v>
      </c>
      <c r="F551" s="205">
        <v>150.92881937614681</v>
      </c>
      <c r="G551" s="205">
        <v>996.13020788256881</v>
      </c>
      <c r="H551" s="207">
        <v>6.6</v>
      </c>
      <c r="I551" s="207"/>
      <c r="J551" s="207">
        <v>1089</v>
      </c>
      <c r="K551" s="123"/>
      <c r="L551" s="267">
        <v>150.92881937614681</v>
      </c>
      <c r="M551" s="205">
        <f t="shared" si="65"/>
        <v>0</v>
      </c>
      <c r="N551" s="207"/>
      <c r="O551" s="207"/>
      <c r="P551" s="207">
        <f t="shared" si="64"/>
        <v>0</v>
      </c>
      <c r="Q551" s="123"/>
      <c r="R551" s="267">
        <v>150.92881937614681</v>
      </c>
      <c r="S551" s="207">
        <f t="shared" si="63"/>
        <v>0</v>
      </c>
      <c r="T551" s="207"/>
      <c r="U551" s="207"/>
      <c r="V551" s="207">
        <f t="shared" si="62"/>
        <v>0</v>
      </c>
      <c r="W551" s="123"/>
      <c r="X551" s="268"/>
      <c r="Y551" s="207"/>
      <c r="Z551" s="267">
        <v>150.92881937614681</v>
      </c>
      <c r="AA551" s="207">
        <v>0</v>
      </c>
      <c r="AB551" s="207"/>
      <c r="AC551" s="207"/>
      <c r="AD551" s="207">
        <v>0</v>
      </c>
    </row>
    <row r="552" spans="1:30" s="216" customFormat="1" ht="23.1" hidden="1" customHeight="1" outlineLevel="2">
      <c r="A552" s="223"/>
      <c r="B552" s="223" t="s">
        <v>914</v>
      </c>
      <c r="C552" s="223" t="s">
        <v>1035</v>
      </c>
      <c r="D552" s="223" t="s">
        <v>247</v>
      </c>
      <c r="E552" s="207">
        <v>365.43</v>
      </c>
      <c r="F552" s="205">
        <v>247.91858289908259</v>
      </c>
      <c r="G552" s="205">
        <v>90596.887748811758</v>
      </c>
      <c r="H552" s="207">
        <v>365.43</v>
      </c>
      <c r="I552" s="207"/>
      <c r="J552" s="207">
        <v>80394.600000000006</v>
      </c>
      <c r="K552" s="123"/>
      <c r="L552" s="267">
        <v>247.91858289908259</v>
      </c>
      <c r="M552" s="205">
        <f t="shared" si="65"/>
        <v>0</v>
      </c>
      <c r="N552" s="207"/>
      <c r="O552" s="207"/>
      <c r="P552" s="207">
        <f t="shared" si="64"/>
        <v>0</v>
      </c>
      <c r="Q552" s="123"/>
      <c r="R552" s="267">
        <v>247.91858289908259</v>
      </c>
      <c r="S552" s="207">
        <f t="shared" si="63"/>
        <v>0</v>
      </c>
      <c r="T552" s="207"/>
      <c r="U552" s="207"/>
      <c r="V552" s="207">
        <f t="shared" si="62"/>
        <v>0</v>
      </c>
      <c r="W552" s="123"/>
      <c r="X552" s="268"/>
      <c r="Y552" s="207"/>
      <c r="Z552" s="267">
        <v>247.91858289908259</v>
      </c>
      <c r="AA552" s="207">
        <v>0</v>
      </c>
      <c r="AB552" s="207"/>
      <c r="AC552" s="207"/>
      <c r="AD552" s="207">
        <v>0</v>
      </c>
    </row>
    <row r="553" spans="1:30" s="216" customFormat="1" ht="23.1" hidden="1" customHeight="1" outlineLevel="2">
      <c r="A553" s="223"/>
      <c r="B553" s="223" t="s">
        <v>1002</v>
      </c>
      <c r="C553" s="223" t="s">
        <v>1003</v>
      </c>
      <c r="D553" s="223" t="s">
        <v>247</v>
      </c>
      <c r="E553" s="207">
        <v>5330.23</v>
      </c>
      <c r="F553" s="205">
        <v>6.3926364770642206</v>
      </c>
      <c r="G553" s="205">
        <v>34074.22272914202</v>
      </c>
      <c r="H553" s="207">
        <v>5330.23</v>
      </c>
      <c r="I553" s="207"/>
      <c r="J553" s="207">
        <v>1172650.5999999999</v>
      </c>
      <c r="K553" s="123"/>
      <c r="L553" s="267">
        <v>6.3926364770642206</v>
      </c>
      <c r="M553" s="205">
        <f t="shared" si="65"/>
        <v>0</v>
      </c>
      <c r="N553" s="207"/>
      <c r="O553" s="207"/>
      <c r="P553" s="207">
        <f t="shared" si="64"/>
        <v>0</v>
      </c>
      <c r="Q553" s="123"/>
      <c r="R553" s="267">
        <v>6.3926364770642206</v>
      </c>
      <c r="S553" s="207">
        <f t="shared" si="63"/>
        <v>0</v>
      </c>
      <c r="T553" s="207"/>
      <c r="U553" s="207"/>
      <c r="V553" s="207">
        <f t="shared" si="62"/>
        <v>0</v>
      </c>
      <c r="W553" s="123"/>
      <c r="X553" s="268"/>
      <c r="Y553" s="207"/>
      <c r="Z553" s="267">
        <v>6.3926364770642206</v>
      </c>
      <c r="AA553" s="207">
        <v>0</v>
      </c>
      <c r="AB553" s="207"/>
      <c r="AC553" s="207"/>
      <c r="AD553" s="207">
        <v>0</v>
      </c>
    </row>
    <row r="554" spans="1:30" s="216" customFormat="1" ht="23.1" hidden="1" customHeight="1" outlineLevel="2">
      <c r="A554" s="223"/>
      <c r="B554" s="223" t="s">
        <v>770</v>
      </c>
      <c r="C554" s="223" t="s">
        <v>916</v>
      </c>
      <c r="D554" s="223" t="s">
        <v>247</v>
      </c>
      <c r="E554" s="207">
        <v>10048.35</v>
      </c>
      <c r="F554" s="205">
        <v>49.073443816513766</v>
      </c>
      <c r="G554" s="205">
        <v>493107.13917366613</v>
      </c>
      <c r="H554" s="207">
        <v>10048.35</v>
      </c>
      <c r="I554" s="207"/>
      <c r="J554" s="207">
        <v>268290.94500000001</v>
      </c>
      <c r="K554" s="123"/>
      <c r="L554" s="267">
        <v>49.073443816513766</v>
      </c>
      <c r="M554" s="205">
        <f t="shared" si="65"/>
        <v>0</v>
      </c>
      <c r="N554" s="207"/>
      <c r="O554" s="207"/>
      <c r="P554" s="207">
        <f t="shared" si="64"/>
        <v>0</v>
      </c>
      <c r="Q554" s="123"/>
      <c r="R554" s="267">
        <v>49.073443816513766</v>
      </c>
      <c r="S554" s="207">
        <f t="shared" si="63"/>
        <v>0</v>
      </c>
      <c r="T554" s="207"/>
      <c r="U554" s="207"/>
      <c r="V554" s="207">
        <f t="shared" ref="V554:V578" si="66">+U554*T554</f>
        <v>0</v>
      </c>
      <c r="W554" s="123"/>
      <c r="X554" s="268"/>
      <c r="Y554" s="207"/>
      <c r="Z554" s="267">
        <v>49.073443816513766</v>
      </c>
      <c r="AA554" s="207">
        <v>0</v>
      </c>
      <c r="AB554" s="207"/>
      <c r="AC554" s="207"/>
      <c r="AD554" s="207">
        <v>0</v>
      </c>
    </row>
    <row r="555" spans="1:30" s="216" customFormat="1" ht="23.1" hidden="1" customHeight="1" outlineLevel="2">
      <c r="A555" s="223"/>
      <c r="B555" s="223" t="s">
        <v>917</v>
      </c>
      <c r="C555" s="223" t="s">
        <v>918</v>
      </c>
      <c r="D555" s="223" t="s">
        <v>247</v>
      </c>
      <c r="E555" s="207">
        <v>130.99</v>
      </c>
      <c r="F555" s="205">
        <v>49.490767266055045</v>
      </c>
      <c r="G555" s="205">
        <v>6482.795604180551</v>
      </c>
      <c r="H555" s="207">
        <v>130.99</v>
      </c>
      <c r="I555" s="207"/>
      <c r="J555" s="207">
        <v>3479.4218750000005</v>
      </c>
      <c r="K555" s="123"/>
      <c r="L555" s="267">
        <v>49.490767266055045</v>
      </c>
      <c r="M555" s="205">
        <f t="shared" si="65"/>
        <v>0</v>
      </c>
      <c r="N555" s="207"/>
      <c r="O555" s="207"/>
      <c r="P555" s="207">
        <f t="shared" si="64"/>
        <v>0</v>
      </c>
      <c r="Q555" s="123"/>
      <c r="R555" s="267">
        <v>49.490767266055045</v>
      </c>
      <c r="S555" s="207">
        <f t="shared" si="63"/>
        <v>0</v>
      </c>
      <c r="T555" s="207"/>
      <c r="U555" s="207"/>
      <c r="V555" s="207">
        <f t="shared" si="66"/>
        <v>0</v>
      </c>
      <c r="W555" s="123"/>
      <c r="X555" s="268"/>
      <c r="Y555" s="207"/>
      <c r="Z555" s="267">
        <v>49.490767266055045</v>
      </c>
      <c r="AA555" s="207">
        <v>0</v>
      </c>
      <c r="AB555" s="207"/>
      <c r="AC555" s="207"/>
      <c r="AD555" s="207">
        <v>0</v>
      </c>
    </row>
    <row r="556" spans="1:30" s="215" customFormat="1" ht="23.1" hidden="1" customHeight="1" outlineLevel="1" collapsed="1">
      <c r="A556" s="220"/>
      <c r="B556" s="220" t="s">
        <v>1036</v>
      </c>
      <c r="C556" s="220"/>
      <c r="D556" s="220"/>
      <c r="E556" s="229"/>
      <c r="F556" s="222">
        <v>0</v>
      </c>
      <c r="G556" s="222">
        <v>0</v>
      </c>
      <c r="H556" s="229"/>
      <c r="I556" s="229"/>
      <c r="J556" s="229">
        <v>0</v>
      </c>
      <c r="K556" s="137"/>
      <c r="L556" s="266">
        <v>0</v>
      </c>
      <c r="M556" s="222">
        <f t="shared" si="65"/>
        <v>0</v>
      </c>
      <c r="N556" s="229"/>
      <c r="O556" s="229"/>
      <c r="P556" s="229">
        <f t="shared" si="64"/>
        <v>0</v>
      </c>
      <c r="Q556" s="137"/>
      <c r="R556" s="266">
        <v>0</v>
      </c>
      <c r="S556" s="229">
        <f t="shared" si="63"/>
        <v>0</v>
      </c>
      <c r="T556" s="229"/>
      <c r="U556" s="229"/>
      <c r="V556" s="229">
        <f t="shared" si="66"/>
        <v>0</v>
      </c>
      <c r="W556" s="137"/>
      <c r="X556" s="271"/>
      <c r="Y556" s="229"/>
      <c r="Z556" s="266">
        <v>0</v>
      </c>
      <c r="AA556" s="229">
        <v>0</v>
      </c>
      <c r="AB556" s="229"/>
      <c r="AC556" s="229"/>
      <c r="AD556" s="229">
        <v>0</v>
      </c>
    </row>
    <row r="557" spans="1:30" s="216" customFormat="1" ht="23.1" hidden="1" customHeight="1" outlineLevel="2">
      <c r="A557" s="223"/>
      <c r="B557" s="223" t="s">
        <v>1005</v>
      </c>
      <c r="C557" s="223" t="s">
        <v>1006</v>
      </c>
      <c r="D557" s="223" t="s">
        <v>247</v>
      </c>
      <c r="E557" s="207">
        <v>500.02</v>
      </c>
      <c r="F557" s="205">
        <v>72.00726429357799</v>
      </c>
      <c r="G557" s="205">
        <v>36005.072292074867</v>
      </c>
      <c r="H557" s="207">
        <v>500.02</v>
      </c>
      <c r="I557" s="207"/>
      <c r="J557" s="207">
        <v>24037.245431941748</v>
      </c>
      <c r="K557" s="123"/>
      <c r="L557" s="267">
        <v>72.00726429357799</v>
      </c>
      <c r="M557" s="205">
        <f t="shared" si="65"/>
        <v>0</v>
      </c>
      <c r="N557" s="207"/>
      <c r="O557" s="207"/>
      <c r="P557" s="207">
        <f t="shared" si="64"/>
        <v>0</v>
      </c>
      <c r="Q557" s="123"/>
      <c r="R557" s="267">
        <v>72.00726429357799</v>
      </c>
      <c r="S557" s="207">
        <f t="shared" si="63"/>
        <v>0</v>
      </c>
      <c r="T557" s="207"/>
      <c r="U557" s="207"/>
      <c r="V557" s="207">
        <f t="shared" si="66"/>
        <v>0</v>
      </c>
      <c r="W557" s="123"/>
      <c r="X557" s="268"/>
      <c r="Y557" s="207"/>
      <c r="Z557" s="267">
        <v>72.00726429357799</v>
      </c>
      <c r="AA557" s="207">
        <v>0</v>
      </c>
      <c r="AB557" s="207"/>
      <c r="AC557" s="207"/>
      <c r="AD557" s="207">
        <v>0</v>
      </c>
    </row>
    <row r="558" spans="1:30" s="216" customFormat="1" ht="23.1" hidden="1" customHeight="1" outlineLevel="2">
      <c r="A558" s="223"/>
      <c r="B558" s="223" t="s">
        <v>1007</v>
      </c>
      <c r="C558" s="223" t="s">
        <v>1008</v>
      </c>
      <c r="D558" s="223" t="s">
        <v>247</v>
      </c>
      <c r="E558" s="207">
        <v>322.17</v>
      </c>
      <c r="F558" s="205">
        <v>69.275692623853217</v>
      </c>
      <c r="G558" s="205">
        <v>22318.549892626794</v>
      </c>
      <c r="H558" s="207">
        <v>322.17</v>
      </c>
      <c r="I558" s="207"/>
      <c r="J558" s="207">
        <v>15487.539220048544</v>
      </c>
      <c r="K558" s="123"/>
      <c r="L558" s="267">
        <v>69.275692623853217</v>
      </c>
      <c r="M558" s="205">
        <f t="shared" si="65"/>
        <v>0</v>
      </c>
      <c r="N558" s="207"/>
      <c r="O558" s="207"/>
      <c r="P558" s="207">
        <f t="shared" si="64"/>
        <v>0</v>
      </c>
      <c r="Q558" s="123"/>
      <c r="R558" s="267">
        <v>69.275692623853217</v>
      </c>
      <c r="S558" s="207">
        <f t="shared" si="63"/>
        <v>0</v>
      </c>
      <c r="T558" s="207"/>
      <c r="U558" s="207"/>
      <c r="V558" s="207">
        <f t="shared" si="66"/>
        <v>0</v>
      </c>
      <c r="W558" s="123"/>
      <c r="X558" s="268"/>
      <c r="Y558" s="207"/>
      <c r="Z558" s="267">
        <v>69.275692623853217</v>
      </c>
      <c r="AA558" s="207">
        <v>0</v>
      </c>
      <c r="AB558" s="207"/>
      <c r="AC558" s="207"/>
      <c r="AD558" s="207">
        <v>0</v>
      </c>
    </row>
    <row r="559" spans="1:30" s="215" customFormat="1" ht="23.1" hidden="1" customHeight="1" outlineLevel="1" collapsed="1">
      <c r="A559" s="220"/>
      <c r="B559" s="220" t="s">
        <v>927</v>
      </c>
      <c r="C559" s="220"/>
      <c r="D559" s="220"/>
      <c r="E559" s="229"/>
      <c r="F559" s="222">
        <v>0</v>
      </c>
      <c r="G559" s="222">
        <v>0</v>
      </c>
      <c r="H559" s="229"/>
      <c r="I559" s="229"/>
      <c r="J559" s="229">
        <v>0</v>
      </c>
      <c r="K559" s="137"/>
      <c r="L559" s="266">
        <v>0</v>
      </c>
      <c r="M559" s="222">
        <f t="shared" si="65"/>
        <v>0</v>
      </c>
      <c r="N559" s="229"/>
      <c r="O559" s="229"/>
      <c r="P559" s="229">
        <f t="shared" si="64"/>
        <v>0</v>
      </c>
      <c r="Q559" s="137"/>
      <c r="R559" s="266">
        <v>0</v>
      </c>
      <c r="S559" s="229">
        <f t="shared" ref="S559:S578" si="67">+R559*Q559</f>
        <v>0</v>
      </c>
      <c r="T559" s="229"/>
      <c r="U559" s="229"/>
      <c r="V559" s="229">
        <f t="shared" si="66"/>
        <v>0</v>
      </c>
      <c r="W559" s="137"/>
      <c r="X559" s="271"/>
      <c r="Y559" s="229"/>
      <c r="Z559" s="266">
        <v>0</v>
      </c>
      <c r="AA559" s="229">
        <v>0</v>
      </c>
      <c r="AB559" s="229"/>
      <c r="AC559" s="229"/>
      <c r="AD559" s="229">
        <v>0</v>
      </c>
    </row>
    <row r="560" spans="1:30" s="216" customFormat="1" ht="23.1" hidden="1" customHeight="1" outlineLevel="2">
      <c r="A560" s="223"/>
      <c r="B560" s="223" t="s">
        <v>928</v>
      </c>
      <c r="C560" s="223" t="s">
        <v>1010</v>
      </c>
      <c r="D560" s="223" t="s">
        <v>247</v>
      </c>
      <c r="E560" s="207">
        <v>160.9</v>
      </c>
      <c r="F560" s="205">
        <v>511.53421827522942</v>
      </c>
      <c r="G560" s="205">
        <v>82305.855720484411</v>
      </c>
      <c r="H560" s="207">
        <v>160.9</v>
      </c>
      <c r="I560" s="207"/>
      <c r="J560" s="207">
        <v>48988.389600485432</v>
      </c>
      <c r="K560" s="123"/>
      <c r="L560" s="267">
        <v>511.53421827522942</v>
      </c>
      <c r="M560" s="205">
        <f t="shared" si="65"/>
        <v>0</v>
      </c>
      <c r="N560" s="207"/>
      <c r="O560" s="207"/>
      <c r="P560" s="207">
        <f t="shared" si="64"/>
        <v>0</v>
      </c>
      <c r="Q560" s="123"/>
      <c r="R560" s="267">
        <v>511.53421827522942</v>
      </c>
      <c r="S560" s="207">
        <f t="shared" si="67"/>
        <v>0</v>
      </c>
      <c r="T560" s="207"/>
      <c r="U560" s="207"/>
      <c r="V560" s="207">
        <f t="shared" si="66"/>
        <v>0</v>
      </c>
      <c r="W560" s="123"/>
      <c r="X560" s="268"/>
      <c r="Y560" s="207"/>
      <c r="Z560" s="267">
        <v>511.53421827522942</v>
      </c>
      <c r="AA560" s="207">
        <v>0</v>
      </c>
      <c r="AB560" s="207"/>
      <c r="AC560" s="207"/>
      <c r="AD560" s="207">
        <v>0</v>
      </c>
    </row>
    <row r="561" spans="1:30" s="216" customFormat="1" ht="23.1" hidden="1" customHeight="1" outlineLevel="2">
      <c r="A561" s="223"/>
      <c r="B561" s="223" t="s">
        <v>930</v>
      </c>
      <c r="C561" s="223" t="s">
        <v>931</v>
      </c>
      <c r="D561" s="223" t="s">
        <v>247</v>
      </c>
      <c r="E561" s="207">
        <v>72.48</v>
      </c>
      <c r="F561" s="205">
        <v>364.37079456880736</v>
      </c>
      <c r="G561" s="205">
        <v>26409.595190347158</v>
      </c>
      <c r="H561" s="207">
        <v>72.48</v>
      </c>
      <c r="I561" s="207"/>
      <c r="J561" s="207">
        <v>15682.357213980584</v>
      </c>
      <c r="K561" s="123"/>
      <c r="L561" s="267">
        <v>364.37079456880736</v>
      </c>
      <c r="M561" s="205">
        <f t="shared" si="65"/>
        <v>0</v>
      </c>
      <c r="N561" s="207"/>
      <c r="O561" s="207"/>
      <c r="P561" s="207">
        <f t="shared" si="64"/>
        <v>0</v>
      </c>
      <c r="Q561" s="123"/>
      <c r="R561" s="267">
        <v>364.37079456880736</v>
      </c>
      <c r="S561" s="207">
        <f t="shared" si="67"/>
        <v>0</v>
      </c>
      <c r="T561" s="207"/>
      <c r="U561" s="207"/>
      <c r="V561" s="207">
        <f t="shared" si="66"/>
        <v>0</v>
      </c>
      <c r="W561" s="123"/>
      <c r="X561" s="268"/>
      <c r="Y561" s="207"/>
      <c r="Z561" s="267">
        <v>364.37079456880736</v>
      </c>
      <c r="AA561" s="207">
        <v>0</v>
      </c>
      <c r="AB561" s="207"/>
      <c r="AC561" s="207"/>
      <c r="AD561" s="207">
        <v>0</v>
      </c>
    </row>
    <row r="562" spans="1:30" s="216" customFormat="1" ht="23.1" hidden="1" customHeight="1" outlineLevel="2">
      <c r="A562" s="223"/>
      <c r="B562" s="223" t="s">
        <v>932</v>
      </c>
      <c r="C562" s="223" t="s">
        <v>933</v>
      </c>
      <c r="D562" s="223" t="s">
        <v>247</v>
      </c>
      <c r="E562" s="207">
        <v>238.73</v>
      </c>
      <c r="F562" s="205">
        <v>499.36544587155964</v>
      </c>
      <c r="G562" s="205">
        <v>119213.51289291742</v>
      </c>
      <c r="H562" s="207">
        <v>238.73</v>
      </c>
      <c r="I562" s="207"/>
      <c r="J562" s="207">
        <v>69512.038553009697</v>
      </c>
      <c r="K562" s="123"/>
      <c r="L562" s="267">
        <v>499.36544587155964</v>
      </c>
      <c r="M562" s="205">
        <f t="shared" si="65"/>
        <v>0</v>
      </c>
      <c r="N562" s="207"/>
      <c r="O562" s="207"/>
      <c r="P562" s="207">
        <f t="shared" si="64"/>
        <v>0</v>
      </c>
      <c r="Q562" s="123"/>
      <c r="R562" s="267">
        <v>499.36544587155964</v>
      </c>
      <c r="S562" s="207">
        <f t="shared" si="67"/>
        <v>0</v>
      </c>
      <c r="T562" s="207"/>
      <c r="U562" s="207"/>
      <c r="V562" s="207">
        <f t="shared" si="66"/>
        <v>0</v>
      </c>
      <c r="W562" s="123"/>
      <c r="X562" s="268"/>
      <c r="Y562" s="207"/>
      <c r="Z562" s="267">
        <v>499.36544587155964</v>
      </c>
      <c r="AA562" s="207">
        <v>0</v>
      </c>
      <c r="AB562" s="207"/>
      <c r="AC562" s="207"/>
      <c r="AD562" s="207">
        <v>0</v>
      </c>
    </row>
    <row r="563" spans="1:30" s="216" customFormat="1" ht="23.1" hidden="1" customHeight="1" outlineLevel="2">
      <c r="A563" s="223"/>
      <c r="B563" s="223" t="s">
        <v>934</v>
      </c>
      <c r="C563" s="223" t="s">
        <v>1011</v>
      </c>
      <c r="D563" s="223" t="s">
        <v>247</v>
      </c>
      <c r="E563" s="207">
        <v>238.73</v>
      </c>
      <c r="F563" s="205">
        <v>66.29752073394495</v>
      </c>
      <c r="G563" s="205">
        <v>15827.207124814677</v>
      </c>
      <c r="H563" s="207">
        <v>238.73</v>
      </c>
      <c r="I563" s="207"/>
      <c r="J563" s="207">
        <v>13409.303015194188</v>
      </c>
      <c r="K563" s="123"/>
      <c r="L563" s="267">
        <v>66.29752073394495</v>
      </c>
      <c r="M563" s="205">
        <f t="shared" si="65"/>
        <v>0</v>
      </c>
      <c r="N563" s="207"/>
      <c r="O563" s="207"/>
      <c r="P563" s="207">
        <f t="shared" si="64"/>
        <v>0</v>
      </c>
      <c r="Q563" s="123"/>
      <c r="R563" s="267">
        <v>66.29752073394495</v>
      </c>
      <c r="S563" s="207">
        <f t="shared" si="67"/>
        <v>0</v>
      </c>
      <c r="T563" s="207"/>
      <c r="U563" s="207"/>
      <c r="V563" s="207">
        <f t="shared" si="66"/>
        <v>0</v>
      </c>
      <c r="W563" s="123"/>
      <c r="X563" s="268"/>
      <c r="Y563" s="207"/>
      <c r="Z563" s="267">
        <v>66.29752073394495</v>
      </c>
      <c r="AA563" s="207">
        <v>0</v>
      </c>
      <c r="AB563" s="207"/>
      <c r="AC563" s="207"/>
      <c r="AD563" s="207">
        <v>0</v>
      </c>
    </row>
    <row r="564" spans="1:30" s="216" customFormat="1" ht="23.1" hidden="1" customHeight="1" outlineLevel="2">
      <c r="A564" s="223"/>
      <c r="B564" s="223" t="s">
        <v>936</v>
      </c>
      <c r="C564" s="223" t="s">
        <v>1012</v>
      </c>
      <c r="D564" s="223" t="s">
        <v>247</v>
      </c>
      <c r="E564" s="207">
        <v>3.14</v>
      </c>
      <c r="F564" s="205">
        <v>277.52009394495417</v>
      </c>
      <c r="G564" s="205">
        <v>871.41309498715611</v>
      </c>
      <c r="H564" s="207">
        <v>3.14</v>
      </c>
      <c r="I564" s="207"/>
      <c r="J564" s="207">
        <v>581.31923572815538</v>
      </c>
      <c r="K564" s="123"/>
      <c r="L564" s="267">
        <v>277.52009394495417</v>
      </c>
      <c r="M564" s="205">
        <f t="shared" si="65"/>
        <v>0</v>
      </c>
      <c r="N564" s="207"/>
      <c r="O564" s="207"/>
      <c r="P564" s="207">
        <f t="shared" ref="P564:P578" si="68">+O564*N564</f>
        <v>0</v>
      </c>
      <c r="Q564" s="123"/>
      <c r="R564" s="267">
        <v>277.52009394495417</v>
      </c>
      <c r="S564" s="207">
        <f t="shared" si="67"/>
        <v>0</v>
      </c>
      <c r="T564" s="207"/>
      <c r="U564" s="207"/>
      <c r="V564" s="207">
        <f t="shared" si="66"/>
        <v>0</v>
      </c>
      <c r="W564" s="123"/>
      <c r="X564" s="268"/>
      <c r="Y564" s="207"/>
      <c r="Z564" s="267">
        <v>277.52009394495417</v>
      </c>
      <c r="AA564" s="207">
        <v>0</v>
      </c>
      <c r="AB564" s="207"/>
      <c r="AC564" s="207"/>
      <c r="AD564" s="207">
        <v>0</v>
      </c>
    </row>
    <row r="565" spans="1:30" s="216" customFormat="1" ht="23.1" hidden="1" customHeight="1" outlineLevel="2">
      <c r="A565" s="223"/>
      <c r="B565" s="223" t="s">
        <v>1013</v>
      </c>
      <c r="C565" s="223" t="s">
        <v>1037</v>
      </c>
      <c r="D565" s="223" t="s">
        <v>247</v>
      </c>
      <c r="E565" s="207">
        <v>45.63</v>
      </c>
      <c r="F565" s="205">
        <v>535.59670899082573</v>
      </c>
      <c r="G565" s="205">
        <v>24439.27783125138</v>
      </c>
      <c r="H565" s="207">
        <v>45.63</v>
      </c>
      <c r="I565" s="207"/>
      <c r="J565" s="207">
        <v>13892.729754320388</v>
      </c>
      <c r="K565" s="123"/>
      <c r="L565" s="267">
        <v>535.59670899082573</v>
      </c>
      <c r="M565" s="205">
        <f t="shared" si="65"/>
        <v>0</v>
      </c>
      <c r="N565" s="207"/>
      <c r="O565" s="207"/>
      <c r="P565" s="207">
        <f t="shared" si="68"/>
        <v>0</v>
      </c>
      <c r="Q565" s="123"/>
      <c r="R565" s="267">
        <v>535.59670899082573</v>
      </c>
      <c r="S565" s="207">
        <f t="shared" si="67"/>
        <v>0</v>
      </c>
      <c r="T565" s="207"/>
      <c r="U565" s="207"/>
      <c r="V565" s="207">
        <f t="shared" si="66"/>
        <v>0</v>
      </c>
      <c r="W565" s="123"/>
      <c r="X565" s="268"/>
      <c r="Y565" s="207"/>
      <c r="Z565" s="267">
        <v>535.59670899082573</v>
      </c>
      <c r="AA565" s="207">
        <v>0</v>
      </c>
      <c r="AB565" s="207"/>
      <c r="AC565" s="207"/>
      <c r="AD565" s="207">
        <v>0</v>
      </c>
    </row>
    <row r="566" spans="1:30" s="215" customFormat="1" ht="23.1" hidden="1" customHeight="1" outlineLevel="1" collapsed="1">
      <c r="A566" s="220"/>
      <c r="B566" s="220" t="s">
        <v>941</v>
      </c>
      <c r="C566" s="220"/>
      <c r="D566" s="220"/>
      <c r="E566" s="229"/>
      <c r="F566" s="222">
        <v>0</v>
      </c>
      <c r="G566" s="222">
        <v>0</v>
      </c>
      <c r="H566" s="229"/>
      <c r="I566" s="229"/>
      <c r="J566" s="229">
        <v>0</v>
      </c>
      <c r="K566" s="137"/>
      <c r="L566" s="266">
        <v>0</v>
      </c>
      <c r="M566" s="222">
        <f t="shared" si="65"/>
        <v>0</v>
      </c>
      <c r="N566" s="229"/>
      <c r="O566" s="229"/>
      <c r="P566" s="229">
        <f t="shared" si="68"/>
        <v>0</v>
      </c>
      <c r="Q566" s="137"/>
      <c r="R566" s="266">
        <v>0</v>
      </c>
      <c r="S566" s="229">
        <f t="shared" si="67"/>
        <v>0</v>
      </c>
      <c r="T566" s="229"/>
      <c r="U566" s="229"/>
      <c r="V566" s="229">
        <f t="shared" si="66"/>
        <v>0</v>
      </c>
      <c r="W566" s="137"/>
      <c r="X566" s="271"/>
      <c r="Y566" s="229"/>
      <c r="Z566" s="266">
        <v>0</v>
      </c>
      <c r="AA566" s="229">
        <v>0</v>
      </c>
      <c r="AB566" s="229"/>
      <c r="AC566" s="229"/>
      <c r="AD566" s="229">
        <v>0</v>
      </c>
    </row>
    <row r="567" spans="1:30" s="216" customFormat="1" ht="23.1" hidden="1" customHeight="1" outlineLevel="2">
      <c r="A567" s="223"/>
      <c r="B567" s="223" t="s">
        <v>803</v>
      </c>
      <c r="C567" s="223" t="s">
        <v>1015</v>
      </c>
      <c r="D567" s="223" t="s">
        <v>397</v>
      </c>
      <c r="E567" s="207">
        <v>373.88</v>
      </c>
      <c r="F567" s="205">
        <v>188.73453005504587</v>
      </c>
      <c r="G567" s="205">
        <v>70564.066096980547</v>
      </c>
      <c r="H567" s="207">
        <v>373.88</v>
      </c>
      <c r="I567" s="207"/>
      <c r="J567" s="207">
        <v>69167.8</v>
      </c>
      <c r="K567" s="123"/>
      <c r="L567" s="267">
        <v>188.73453005504587</v>
      </c>
      <c r="M567" s="205">
        <f t="shared" si="65"/>
        <v>0</v>
      </c>
      <c r="N567" s="207"/>
      <c r="O567" s="207"/>
      <c r="P567" s="207">
        <f t="shared" si="68"/>
        <v>0</v>
      </c>
      <c r="Q567" s="123"/>
      <c r="R567" s="267">
        <v>188.73453005504587</v>
      </c>
      <c r="S567" s="207">
        <f t="shared" si="67"/>
        <v>0</v>
      </c>
      <c r="T567" s="207"/>
      <c r="U567" s="207"/>
      <c r="V567" s="207">
        <f t="shared" si="66"/>
        <v>0</v>
      </c>
      <c r="W567" s="123"/>
      <c r="X567" s="268"/>
      <c r="Y567" s="207"/>
      <c r="Z567" s="267">
        <v>188.73453005504587</v>
      </c>
      <c r="AA567" s="207">
        <v>0</v>
      </c>
      <c r="AB567" s="207"/>
      <c r="AC567" s="207"/>
      <c r="AD567" s="207">
        <v>0</v>
      </c>
    </row>
    <row r="568" spans="1:30" s="216" customFormat="1" ht="23.1" hidden="1" customHeight="1" outlineLevel="2">
      <c r="A568" s="223"/>
      <c r="B568" s="223" t="s">
        <v>943</v>
      </c>
      <c r="C568" s="223" t="s">
        <v>944</v>
      </c>
      <c r="D568" s="223" t="s">
        <v>397</v>
      </c>
      <c r="E568" s="207">
        <v>1030.2</v>
      </c>
      <c r="F568" s="205">
        <v>291.64269886238532</v>
      </c>
      <c r="G568" s="205">
        <v>300450.30836802936</v>
      </c>
      <c r="H568" s="207">
        <v>1030.2</v>
      </c>
      <c r="I568" s="207"/>
      <c r="J568" s="207">
        <v>190587</v>
      </c>
      <c r="K568" s="123"/>
      <c r="L568" s="267">
        <v>291.64269886238532</v>
      </c>
      <c r="M568" s="205">
        <f t="shared" si="65"/>
        <v>0</v>
      </c>
      <c r="N568" s="207"/>
      <c r="O568" s="207"/>
      <c r="P568" s="207">
        <f t="shared" si="68"/>
        <v>0</v>
      </c>
      <c r="Q568" s="123"/>
      <c r="R568" s="267">
        <v>291.64269886238532</v>
      </c>
      <c r="S568" s="207">
        <f t="shared" si="67"/>
        <v>0</v>
      </c>
      <c r="T568" s="207"/>
      <c r="U568" s="207"/>
      <c r="V568" s="207">
        <f t="shared" si="66"/>
        <v>0</v>
      </c>
      <c r="W568" s="123"/>
      <c r="X568" s="268"/>
      <c r="Y568" s="207"/>
      <c r="Z568" s="267">
        <v>291.64269886238532</v>
      </c>
      <c r="AA568" s="207">
        <v>0</v>
      </c>
      <c r="AB568" s="207"/>
      <c r="AC568" s="207"/>
      <c r="AD568" s="207">
        <v>0</v>
      </c>
    </row>
    <row r="569" spans="1:30" s="216" customFormat="1" ht="23.1" hidden="1" customHeight="1" outlineLevel="2">
      <c r="A569" s="223"/>
      <c r="B569" s="223" t="s">
        <v>1016</v>
      </c>
      <c r="C569" s="223" t="s">
        <v>1017</v>
      </c>
      <c r="D569" s="223" t="s">
        <v>397</v>
      </c>
      <c r="E569" s="207">
        <v>722.09</v>
      </c>
      <c r="F569" s="205">
        <v>430.4027458348624</v>
      </c>
      <c r="G569" s="205">
        <v>310789.51873989578</v>
      </c>
      <c r="H569" s="207">
        <v>722.09</v>
      </c>
      <c r="I569" s="207"/>
      <c r="J569" s="207">
        <v>68598.55</v>
      </c>
      <c r="K569" s="123"/>
      <c r="L569" s="267">
        <v>430.4027458348624</v>
      </c>
      <c r="M569" s="205">
        <f t="shared" si="65"/>
        <v>0</v>
      </c>
      <c r="N569" s="207"/>
      <c r="O569" s="207"/>
      <c r="P569" s="207">
        <f t="shared" si="68"/>
        <v>0</v>
      </c>
      <c r="Q569" s="123"/>
      <c r="R569" s="267">
        <v>430.4027458348624</v>
      </c>
      <c r="S569" s="207">
        <f t="shared" si="67"/>
        <v>0</v>
      </c>
      <c r="T569" s="207"/>
      <c r="U569" s="207"/>
      <c r="V569" s="207">
        <f t="shared" si="66"/>
        <v>0</v>
      </c>
      <c r="W569" s="123"/>
      <c r="X569" s="268"/>
      <c r="Y569" s="207"/>
      <c r="Z569" s="267">
        <v>430.4027458348624</v>
      </c>
      <c r="AA569" s="207">
        <v>0</v>
      </c>
      <c r="AB569" s="207"/>
      <c r="AC569" s="207"/>
      <c r="AD569" s="207">
        <v>0</v>
      </c>
    </row>
    <row r="570" spans="1:30" s="215" customFormat="1" ht="23.1" hidden="1" customHeight="1" outlineLevel="1" collapsed="1">
      <c r="A570" s="220"/>
      <c r="B570" s="220" t="s">
        <v>952</v>
      </c>
      <c r="C570" s="220"/>
      <c r="D570" s="220"/>
      <c r="E570" s="229"/>
      <c r="F570" s="222">
        <v>0</v>
      </c>
      <c r="G570" s="222">
        <v>0</v>
      </c>
      <c r="H570" s="229"/>
      <c r="I570" s="229"/>
      <c r="J570" s="229">
        <v>0</v>
      </c>
      <c r="K570" s="137"/>
      <c r="L570" s="266">
        <v>0</v>
      </c>
      <c r="M570" s="222">
        <f t="shared" si="65"/>
        <v>0</v>
      </c>
      <c r="N570" s="229"/>
      <c r="O570" s="229"/>
      <c r="P570" s="229">
        <f t="shared" si="68"/>
        <v>0</v>
      </c>
      <c r="Q570" s="137"/>
      <c r="R570" s="266">
        <v>0</v>
      </c>
      <c r="S570" s="229">
        <f t="shared" si="67"/>
        <v>0</v>
      </c>
      <c r="T570" s="229"/>
      <c r="U570" s="229"/>
      <c r="V570" s="229">
        <f t="shared" si="66"/>
        <v>0</v>
      </c>
      <c r="W570" s="137"/>
      <c r="X570" s="271"/>
      <c r="Y570" s="229"/>
      <c r="Z570" s="266">
        <v>0</v>
      </c>
      <c r="AA570" s="229">
        <v>0</v>
      </c>
      <c r="AB570" s="229"/>
      <c r="AC570" s="229"/>
      <c r="AD570" s="229">
        <v>0</v>
      </c>
    </row>
    <row r="571" spans="1:30" s="216" customFormat="1" ht="23.1" hidden="1" customHeight="1" outlineLevel="2">
      <c r="A571" s="223"/>
      <c r="B571" s="223" t="s">
        <v>1038</v>
      </c>
      <c r="C571" s="223" t="s">
        <v>1019</v>
      </c>
      <c r="D571" s="223" t="s">
        <v>247</v>
      </c>
      <c r="E571" s="207">
        <v>10.9</v>
      </c>
      <c r="F571" s="205">
        <v>181.05198473394495</v>
      </c>
      <c r="G571" s="205">
        <v>1973.4666336</v>
      </c>
      <c r="H571" s="207">
        <v>10.9</v>
      </c>
      <c r="I571" s="207"/>
      <c r="J571" s="207">
        <v>2080.81</v>
      </c>
      <c r="K571" s="123"/>
      <c r="L571" s="267">
        <v>181.05198473394495</v>
      </c>
      <c r="M571" s="205">
        <f t="shared" si="65"/>
        <v>0</v>
      </c>
      <c r="N571" s="207"/>
      <c r="O571" s="207"/>
      <c r="P571" s="207">
        <f t="shared" si="68"/>
        <v>0</v>
      </c>
      <c r="Q571" s="123"/>
      <c r="R571" s="267">
        <v>181.05198473394495</v>
      </c>
      <c r="S571" s="207">
        <f t="shared" si="67"/>
        <v>0</v>
      </c>
      <c r="T571" s="207"/>
      <c r="U571" s="207"/>
      <c r="V571" s="207">
        <f t="shared" si="66"/>
        <v>0</v>
      </c>
      <c r="W571" s="123"/>
      <c r="X571" s="268"/>
      <c r="Y571" s="207"/>
      <c r="Z571" s="267">
        <v>181.05198473394495</v>
      </c>
      <c r="AA571" s="207">
        <v>0</v>
      </c>
      <c r="AB571" s="207"/>
      <c r="AC571" s="207"/>
      <c r="AD571" s="207">
        <v>0</v>
      </c>
    </row>
    <row r="572" spans="1:30" s="216" customFormat="1" ht="23.1" hidden="1" customHeight="1" outlineLevel="2">
      <c r="A572" s="223"/>
      <c r="B572" s="223" t="s">
        <v>828</v>
      </c>
      <c r="C572" s="223" t="s">
        <v>1020</v>
      </c>
      <c r="D572" s="223" t="s">
        <v>147</v>
      </c>
      <c r="E572" s="207">
        <v>0.65400000000000003</v>
      </c>
      <c r="F572" s="205">
        <v>10475.947253724771</v>
      </c>
      <c r="G572" s="205">
        <v>6851.2695039360005</v>
      </c>
      <c r="H572" s="207">
        <v>0.65400000000000003</v>
      </c>
      <c r="I572" s="207"/>
      <c r="J572" s="207">
        <v>7848</v>
      </c>
      <c r="K572" s="123"/>
      <c r="L572" s="267">
        <v>10475.947253724771</v>
      </c>
      <c r="M572" s="205">
        <f t="shared" si="65"/>
        <v>0</v>
      </c>
      <c r="N572" s="207"/>
      <c r="O572" s="207"/>
      <c r="P572" s="207">
        <f t="shared" si="68"/>
        <v>0</v>
      </c>
      <c r="Q572" s="123"/>
      <c r="R572" s="267">
        <v>10475.947253724771</v>
      </c>
      <c r="S572" s="207">
        <f t="shared" si="67"/>
        <v>0</v>
      </c>
      <c r="T572" s="207"/>
      <c r="U572" s="207"/>
      <c r="V572" s="207">
        <f t="shared" si="66"/>
        <v>0</v>
      </c>
      <c r="W572" s="123"/>
      <c r="X572" s="268"/>
      <c r="Y572" s="207"/>
      <c r="Z572" s="267">
        <v>10475.947253724771</v>
      </c>
      <c r="AA572" s="207">
        <v>0</v>
      </c>
      <c r="AB572" s="207"/>
      <c r="AC572" s="207"/>
      <c r="AD572" s="207">
        <v>0</v>
      </c>
    </row>
    <row r="573" spans="1:30" s="216" customFormat="1" ht="23.1" hidden="1" customHeight="1" outlineLevel="2">
      <c r="A573" s="223"/>
      <c r="B573" s="223" t="s">
        <v>1021</v>
      </c>
      <c r="C573" s="223" t="s">
        <v>1022</v>
      </c>
      <c r="D573" s="223" t="s">
        <v>166</v>
      </c>
      <c r="E573" s="207">
        <v>6</v>
      </c>
      <c r="F573" s="205">
        <v>39.626758458715599</v>
      </c>
      <c r="G573" s="205">
        <v>237.7605507522936</v>
      </c>
      <c r="H573" s="207">
        <v>6</v>
      </c>
      <c r="I573" s="207"/>
      <c r="J573" s="207">
        <v>250.68</v>
      </c>
      <c r="K573" s="123"/>
      <c r="L573" s="267">
        <v>39.626758458715599</v>
      </c>
      <c r="M573" s="205">
        <f t="shared" ref="M573:M578" si="69">+L573*K573</f>
        <v>0</v>
      </c>
      <c r="N573" s="207"/>
      <c r="O573" s="207"/>
      <c r="P573" s="207">
        <f t="shared" si="68"/>
        <v>0</v>
      </c>
      <c r="Q573" s="123"/>
      <c r="R573" s="267">
        <v>39.626758458715599</v>
      </c>
      <c r="S573" s="207">
        <f t="shared" si="67"/>
        <v>0</v>
      </c>
      <c r="T573" s="207"/>
      <c r="U573" s="207"/>
      <c r="V573" s="207">
        <f t="shared" si="66"/>
        <v>0</v>
      </c>
      <c r="W573" s="123"/>
      <c r="X573" s="268"/>
      <c r="Y573" s="207"/>
      <c r="Z573" s="267">
        <v>39.626758458715599</v>
      </c>
      <c r="AA573" s="207">
        <v>0</v>
      </c>
      <c r="AB573" s="207"/>
      <c r="AC573" s="207"/>
      <c r="AD573" s="207">
        <v>0</v>
      </c>
    </row>
    <row r="574" spans="1:30" s="216" customFormat="1" ht="23.1" hidden="1" customHeight="1" outlineLevel="2">
      <c r="A574" s="223"/>
      <c r="B574" s="223" t="s">
        <v>1023</v>
      </c>
      <c r="C574" s="223" t="s">
        <v>1024</v>
      </c>
      <c r="D574" s="223" t="s">
        <v>166</v>
      </c>
      <c r="E574" s="207">
        <v>204</v>
      </c>
      <c r="F574" s="205">
        <v>39.626758458715599</v>
      </c>
      <c r="G574" s="205">
        <v>8083.8587255779821</v>
      </c>
      <c r="H574" s="207">
        <v>204</v>
      </c>
      <c r="I574" s="207"/>
      <c r="J574" s="207">
        <v>8523.1200000000008</v>
      </c>
      <c r="K574" s="123"/>
      <c r="L574" s="267">
        <v>39.626758458715599</v>
      </c>
      <c r="M574" s="205">
        <f t="shared" si="69"/>
        <v>0</v>
      </c>
      <c r="N574" s="207"/>
      <c r="O574" s="207"/>
      <c r="P574" s="207">
        <f t="shared" si="68"/>
        <v>0</v>
      </c>
      <c r="Q574" s="123"/>
      <c r="R574" s="267">
        <v>39.626758458715599</v>
      </c>
      <c r="S574" s="207">
        <f t="shared" si="67"/>
        <v>0</v>
      </c>
      <c r="T574" s="207"/>
      <c r="U574" s="207"/>
      <c r="V574" s="207">
        <f t="shared" si="66"/>
        <v>0</v>
      </c>
      <c r="W574" s="123"/>
      <c r="X574" s="268"/>
      <c r="Y574" s="207"/>
      <c r="Z574" s="267">
        <v>39.626758458715599</v>
      </c>
      <c r="AA574" s="207">
        <v>0</v>
      </c>
      <c r="AB574" s="207"/>
      <c r="AC574" s="207"/>
      <c r="AD574" s="207">
        <v>0</v>
      </c>
    </row>
    <row r="575" spans="1:30" s="216" customFormat="1" ht="23.1" hidden="1" customHeight="1" outlineLevel="2">
      <c r="A575" s="223"/>
      <c r="B575" s="223" t="s">
        <v>1025</v>
      </c>
      <c r="C575" s="223" t="s">
        <v>1026</v>
      </c>
      <c r="D575" s="223" t="s">
        <v>166</v>
      </c>
      <c r="E575" s="207">
        <v>204</v>
      </c>
      <c r="F575" s="205">
        <v>39.626758458715599</v>
      </c>
      <c r="G575" s="205">
        <v>8083.8587255779821</v>
      </c>
      <c r="H575" s="207">
        <v>204</v>
      </c>
      <c r="I575" s="207"/>
      <c r="J575" s="207">
        <v>8523.1200000000008</v>
      </c>
      <c r="K575" s="123"/>
      <c r="L575" s="267">
        <v>39.626758458715599</v>
      </c>
      <c r="M575" s="205">
        <f t="shared" si="69"/>
        <v>0</v>
      </c>
      <c r="N575" s="207"/>
      <c r="O575" s="207"/>
      <c r="P575" s="207">
        <f t="shared" si="68"/>
        <v>0</v>
      </c>
      <c r="Q575" s="123"/>
      <c r="R575" s="267">
        <v>39.626758458715599</v>
      </c>
      <c r="S575" s="207">
        <f t="shared" si="67"/>
        <v>0</v>
      </c>
      <c r="T575" s="207"/>
      <c r="U575" s="207"/>
      <c r="V575" s="207">
        <f t="shared" si="66"/>
        <v>0</v>
      </c>
      <c r="W575" s="123"/>
      <c r="X575" s="268"/>
      <c r="Y575" s="207"/>
      <c r="Z575" s="267">
        <v>39.626758458715599</v>
      </c>
      <c r="AA575" s="207">
        <v>0</v>
      </c>
      <c r="AB575" s="207"/>
      <c r="AC575" s="207"/>
      <c r="AD575" s="207">
        <v>0</v>
      </c>
    </row>
    <row r="576" spans="1:30" s="216" customFormat="1" ht="23.1" hidden="1" customHeight="1" outlineLevel="1">
      <c r="A576" s="223"/>
      <c r="B576" s="223" t="s">
        <v>376</v>
      </c>
      <c r="C576" s="223"/>
      <c r="D576" s="223" t="s">
        <v>143</v>
      </c>
      <c r="E576" s="207">
        <v>1</v>
      </c>
      <c r="F576" s="205">
        <v>-649502.94411038538</v>
      </c>
      <c r="G576" s="205">
        <v>-649502.94411038538</v>
      </c>
      <c r="H576" s="207">
        <v>1</v>
      </c>
      <c r="I576" s="207"/>
      <c r="J576" s="207">
        <v>0</v>
      </c>
      <c r="K576" s="123">
        <v>1</v>
      </c>
      <c r="L576" s="267">
        <v>-649502.94411038538</v>
      </c>
      <c r="M576" s="205">
        <f t="shared" si="69"/>
        <v>-649502.94411038538</v>
      </c>
      <c r="N576" s="207"/>
      <c r="O576" s="207"/>
      <c r="P576" s="207">
        <f t="shared" si="68"/>
        <v>0</v>
      </c>
      <c r="Q576" s="123">
        <v>1</v>
      </c>
      <c r="R576" s="267">
        <v>-649502.94411038538</v>
      </c>
      <c r="S576" s="207">
        <f t="shared" si="67"/>
        <v>-649502.94411038538</v>
      </c>
      <c r="T576" s="207"/>
      <c r="U576" s="207"/>
      <c r="V576" s="207">
        <f t="shared" si="66"/>
        <v>0</v>
      </c>
      <c r="W576" s="123"/>
      <c r="X576" s="268"/>
      <c r="Y576" s="207"/>
      <c r="Z576" s="267">
        <v>-649502.94411038538</v>
      </c>
      <c r="AA576" s="207">
        <v>0</v>
      </c>
      <c r="AB576" s="207"/>
      <c r="AC576" s="207"/>
      <c r="AD576" s="207">
        <v>0</v>
      </c>
    </row>
    <row r="577" spans="1:30" s="216" customFormat="1" ht="23.1" hidden="1" customHeight="1" outlineLevel="1">
      <c r="A577" s="223"/>
      <c r="B577" s="223" t="s">
        <v>377</v>
      </c>
      <c r="C577" s="223"/>
      <c r="D577" s="223" t="s">
        <v>143</v>
      </c>
      <c r="E577" s="207">
        <v>1</v>
      </c>
      <c r="F577" s="205">
        <v>-454628.87476579822</v>
      </c>
      <c r="G577" s="205">
        <v>-454628.87476579822</v>
      </c>
      <c r="H577" s="207">
        <v>1</v>
      </c>
      <c r="I577" s="207"/>
      <c r="J577" s="207">
        <v>0</v>
      </c>
      <c r="K577" s="123">
        <v>1</v>
      </c>
      <c r="L577" s="267">
        <v>-454628.87476579822</v>
      </c>
      <c r="M577" s="205">
        <f t="shared" si="69"/>
        <v>-454628.87476579822</v>
      </c>
      <c r="N577" s="207"/>
      <c r="O577" s="207"/>
      <c r="P577" s="207">
        <f t="shared" si="68"/>
        <v>0</v>
      </c>
      <c r="Q577" s="123">
        <v>1</v>
      </c>
      <c r="R577" s="267">
        <v>-454628.87476579822</v>
      </c>
      <c r="S577" s="207">
        <f t="shared" si="67"/>
        <v>-454628.87476579822</v>
      </c>
      <c r="T577" s="207"/>
      <c r="U577" s="207"/>
      <c r="V577" s="207">
        <f t="shared" si="66"/>
        <v>0</v>
      </c>
      <c r="W577" s="123"/>
      <c r="X577" s="268"/>
      <c r="Y577" s="207"/>
      <c r="Z577" s="267">
        <v>-454628.87476579822</v>
      </c>
      <c r="AA577" s="207">
        <v>0</v>
      </c>
      <c r="AB577" s="207"/>
      <c r="AC577" s="207"/>
      <c r="AD577" s="207">
        <v>0</v>
      </c>
    </row>
    <row r="578" spans="1:30" s="215" customFormat="1" ht="23.1" customHeight="1">
      <c r="A578" s="220" t="s">
        <v>1039</v>
      </c>
      <c r="B578" s="220" t="s">
        <v>1040</v>
      </c>
      <c r="C578" s="220" t="s">
        <v>1041</v>
      </c>
      <c r="D578" s="220" t="s">
        <v>143</v>
      </c>
      <c r="E578" s="229">
        <v>1</v>
      </c>
      <c r="F578" s="222"/>
      <c r="G578" s="222">
        <v>102359.01834862385</v>
      </c>
      <c r="H578" s="229">
        <v>1</v>
      </c>
      <c r="I578" s="229"/>
      <c r="J578" s="229">
        <v>90255.86</v>
      </c>
      <c r="K578" s="137"/>
      <c r="L578" s="266">
        <f>111571.33/1.09</f>
        <v>102359.01834862385</v>
      </c>
      <c r="M578" s="222">
        <f t="shared" si="69"/>
        <v>0</v>
      </c>
      <c r="N578" s="229"/>
      <c r="O578" s="229"/>
      <c r="P578" s="229">
        <f t="shared" si="68"/>
        <v>0</v>
      </c>
      <c r="Q578" s="229">
        <v>1</v>
      </c>
      <c r="R578" s="266"/>
      <c r="S578" s="229">
        <f t="shared" si="67"/>
        <v>0</v>
      </c>
      <c r="T578" s="229">
        <v>1</v>
      </c>
      <c r="U578" s="229"/>
      <c r="V578" s="229">
        <f t="shared" si="66"/>
        <v>0</v>
      </c>
      <c r="W578" s="137"/>
      <c r="X578" s="271"/>
      <c r="Y578" s="229">
        <v>1</v>
      </c>
      <c r="Z578" s="266"/>
      <c r="AA578" s="229">
        <v>0</v>
      </c>
      <c r="AB578" s="229">
        <v>1</v>
      </c>
      <c r="AC578" s="229"/>
      <c r="AD578" s="229">
        <v>0</v>
      </c>
    </row>
    <row r="579" spans="1:30" s="215" customFormat="1" ht="23.1" customHeight="1">
      <c r="A579" s="220" t="s">
        <v>1042</v>
      </c>
      <c r="B579" s="220" t="s">
        <v>1043</v>
      </c>
      <c r="C579" s="220" t="s">
        <v>1044</v>
      </c>
      <c r="D579" s="220"/>
      <c r="E579" s="229"/>
      <c r="F579" s="222"/>
      <c r="G579" s="222"/>
      <c r="H579" s="229"/>
      <c r="I579" s="229"/>
      <c r="J579" s="229"/>
      <c r="K579" s="137"/>
      <c r="L579" s="266"/>
      <c r="M579" s="222"/>
      <c r="N579" s="229"/>
      <c r="O579" s="229"/>
      <c r="P579" s="229"/>
      <c r="Q579" s="229"/>
      <c r="R579" s="266"/>
      <c r="S579" s="229"/>
      <c r="T579" s="229"/>
      <c r="U579" s="229"/>
      <c r="V579" s="206">
        <v>12150.000000000002</v>
      </c>
      <c r="W579" s="137"/>
      <c r="X579" s="271"/>
      <c r="Y579" s="229"/>
      <c r="Z579" s="266"/>
      <c r="AA579" s="229"/>
      <c r="AB579" s="229"/>
      <c r="AC579" s="229"/>
      <c r="AD579" s="229"/>
    </row>
    <row r="580" spans="1:30" s="215" customFormat="1" ht="23.1" customHeight="1">
      <c r="A580" s="220" t="s">
        <v>1045</v>
      </c>
      <c r="B580" s="284" t="s">
        <v>1046</v>
      </c>
      <c r="C580" s="284" t="s">
        <v>1047</v>
      </c>
      <c r="D580" s="220"/>
      <c r="E580" s="229"/>
      <c r="F580" s="222"/>
      <c r="G580" s="222"/>
      <c r="H580" s="229"/>
      <c r="I580" s="229"/>
      <c r="J580" s="229"/>
      <c r="K580" s="137"/>
      <c r="L580" s="266"/>
      <c r="M580" s="205">
        <f>+L580*K580</f>
        <v>0</v>
      </c>
      <c r="N580" s="229"/>
      <c r="O580" s="229"/>
      <c r="P580" s="205">
        <f>+V580-AD580</f>
        <v>402704.54867256619</v>
      </c>
      <c r="Q580" s="229"/>
      <c r="R580" s="222"/>
      <c r="S580" s="205">
        <f>+R580*Q580</f>
        <v>0</v>
      </c>
      <c r="T580" s="229"/>
      <c r="U580" s="222"/>
      <c r="V580" s="206">
        <v>1650867.0265486727</v>
      </c>
      <c r="W580" s="137"/>
      <c r="X580" s="271"/>
      <c r="Y580" s="229"/>
      <c r="Z580" s="266"/>
      <c r="AA580" s="229"/>
      <c r="AB580" s="229"/>
      <c r="AC580" s="229"/>
      <c r="AD580" s="205">
        <v>1248162.4778761065</v>
      </c>
    </row>
    <row r="581" spans="1:30" s="215" customFormat="1" ht="23.1" customHeight="1">
      <c r="A581" s="220" t="s">
        <v>1048</v>
      </c>
      <c r="B581" s="220" t="s">
        <v>1049</v>
      </c>
      <c r="C581" s="220"/>
      <c r="D581" s="220"/>
      <c r="E581" s="229"/>
      <c r="F581" s="222"/>
      <c r="G581" s="222">
        <v>0</v>
      </c>
      <c r="H581" s="229"/>
      <c r="I581" s="229"/>
      <c r="J581" s="222">
        <v>0</v>
      </c>
      <c r="K581" s="229">
        <v>1</v>
      </c>
      <c r="L581" s="229">
        <f>+R581-Z581</f>
        <v>-145001.37963122781</v>
      </c>
      <c r="M581" s="222">
        <f>+L581*K581</f>
        <v>-145001.37963122781</v>
      </c>
      <c r="N581" s="229">
        <v>1</v>
      </c>
      <c r="O581" s="229">
        <f>+U581-AC581</f>
        <v>-793543.58171914332</v>
      </c>
      <c r="P581" s="229">
        <f>+O581*N581</f>
        <v>-793543.58171914332</v>
      </c>
      <c r="Q581" s="229">
        <v>1</v>
      </c>
      <c r="R581" s="254">
        <v>1017011.89968095</v>
      </c>
      <c r="S581" s="229">
        <f>+R581*Q581</f>
        <v>1017011.89968095</v>
      </c>
      <c r="T581" s="229">
        <v>1</v>
      </c>
      <c r="U581" s="254">
        <v>1273887.55671841</v>
      </c>
      <c r="V581" s="229">
        <f>+U581*T581</f>
        <v>1273887.55671841</v>
      </c>
      <c r="W581" s="137"/>
      <c r="X581" s="269"/>
      <c r="Y581" s="229">
        <v>1</v>
      </c>
      <c r="Z581" s="254">
        <v>1162013.2793121778</v>
      </c>
      <c r="AA581" s="229">
        <v>1162013.2793121778</v>
      </c>
      <c r="AB581" s="229">
        <v>1</v>
      </c>
      <c r="AC581" s="254">
        <v>2067431.1384375533</v>
      </c>
      <c r="AD581" s="229">
        <v>2067431.1384375533</v>
      </c>
    </row>
    <row r="582" spans="1:30" s="215" customFormat="1" ht="23.1" customHeight="1">
      <c r="A582" s="472" t="s">
        <v>63</v>
      </c>
      <c r="B582" s="472"/>
      <c r="C582" s="220"/>
      <c r="D582" s="220" t="s">
        <v>47</v>
      </c>
      <c r="E582" s="229"/>
      <c r="F582" s="222"/>
      <c r="G582" s="222">
        <f>+G6+G16+G32+G168+G237+G252+G265+G278+G360+G427+G502+G578+G581+G580+G579</f>
        <v>36605671.573349737</v>
      </c>
      <c r="H582" s="229"/>
      <c r="I582" s="229"/>
      <c r="J582" s="222">
        <f>+J6+J16+J32+J168+J237+J252+J265+J278+J360+J427+J502+J578+J581+J580+J579</f>
        <v>41376860.529474653</v>
      </c>
      <c r="K582" s="137"/>
      <c r="L582" s="119"/>
      <c r="M582" s="222">
        <f>+M6+M16+M32+M168+M237+M252+M265+M278+M360+M427+M502+M578+M581+M580+M579</f>
        <v>-594003.68504380458</v>
      </c>
      <c r="N582" s="229"/>
      <c r="O582" s="229"/>
      <c r="P582" s="222">
        <f>+P6+P16+P32+P168+P237+P252+P265+P278+P360+P427+P502+P578+P581+P580+P579</f>
        <v>-51802.339278069092</v>
      </c>
      <c r="Q582" s="137"/>
      <c r="R582" s="119"/>
      <c r="S582" s="222">
        <f>+S6+S16+S32+S168+S237+S252+S265+S278+S360+S427+S502+S578+S581+S580+S579</f>
        <v>5450338.1774102151</v>
      </c>
      <c r="T582" s="229"/>
      <c r="U582" s="229"/>
      <c r="V582" s="222">
        <f>+V6+V16+V32+V168+V237+V252+V265+V278+V360+V427+V502+V578+V581+V580+V579</f>
        <v>6581032.4537174087</v>
      </c>
      <c r="W582" s="137"/>
      <c r="X582" s="269"/>
      <c r="Y582" s="229"/>
      <c r="Z582" s="119"/>
      <c r="AA582" s="222">
        <v>6066761.9095343873</v>
      </c>
      <c r="AB582" s="229"/>
      <c r="AC582" s="229"/>
      <c r="AD582" s="222">
        <v>5302836.3851193711</v>
      </c>
    </row>
    <row r="583" spans="1:30" ht="23.1" customHeight="1">
      <c r="A583" s="128"/>
      <c r="B583" s="129"/>
      <c r="C583" s="129"/>
      <c r="D583" s="130"/>
      <c r="E583" s="131"/>
      <c r="F583" s="131"/>
      <c r="G583" s="131"/>
      <c r="H583" s="131"/>
      <c r="I583" s="131"/>
      <c r="J583" s="131"/>
      <c r="K583" s="131"/>
      <c r="L583" s="132"/>
      <c r="M583" s="131"/>
      <c r="N583" s="131"/>
      <c r="O583" s="131"/>
      <c r="P583" s="131"/>
      <c r="Q583" s="131"/>
      <c r="R583" s="132"/>
      <c r="S583" s="131"/>
      <c r="T583" s="131"/>
      <c r="U583" s="131"/>
      <c r="V583" s="131"/>
      <c r="W583" s="138"/>
    </row>
    <row r="584" spans="1:30" ht="23.1" customHeight="1">
      <c r="A584" s="91"/>
      <c r="B584" s="92"/>
      <c r="C584" s="92"/>
      <c r="D584" s="93"/>
      <c r="E584" s="94"/>
      <c r="F584" s="94"/>
      <c r="G584" s="94"/>
      <c r="H584" s="94"/>
      <c r="I584" s="94"/>
      <c r="J584" s="94"/>
      <c r="K584" s="94"/>
      <c r="L584" s="95"/>
      <c r="M584" s="94"/>
      <c r="N584" s="94"/>
      <c r="O584" s="94"/>
      <c r="P584" s="94"/>
      <c r="Q584" s="94"/>
      <c r="R584" s="95"/>
      <c r="S584" s="94"/>
      <c r="T584" s="94"/>
      <c r="U584" s="94"/>
      <c r="V584" s="94"/>
      <c r="W584" s="104"/>
    </row>
    <row r="585" spans="1:30" ht="23.1" customHeight="1">
      <c r="A585" s="91"/>
      <c r="B585" s="92"/>
      <c r="C585" s="92"/>
      <c r="D585" s="93"/>
      <c r="E585" s="94"/>
      <c r="F585" s="94"/>
      <c r="G585" s="94"/>
      <c r="H585" s="94"/>
      <c r="I585" s="94"/>
      <c r="J585" s="94"/>
      <c r="K585" s="94"/>
      <c r="L585" s="95"/>
      <c r="M585" s="94"/>
      <c r="N585" s="94"/>
      <c r="O585" s="94"/>
      <c r="P585" s="94"/>
      <c r="Q585" s="94"/>
      <c r="R585" s="95"/>
      <c r="S585" s="94"/>
      <c r="T585" s="94"/>
      <c r="U585" s="94"/>
      <c r="V585" s="94"/>
      <c r="W585" s="104"/>
    </row>
    <row r="586" spans="1:30" ht="23.1" customHeight="1">
      <c r="A586" s="91"/>
      <c r="B586" s="92"/>
      <c r="C586" s="92"/>
      <c r="D586" s="93"/>
      <c r="E586" s="94"/>
      <c r="F586" s="94"/>
      <c r="G586" s="94"/>
      <c r="H586" s="94"/>
      <c r="I586" s="94"/>
      <c r="J586" s="94"/>
      <c r="K586" s="94"/>
      <c r="L586" s="95"/>
      <c r="M586" s="94"/>
      <c r="N586" s="94"/>
      <c r="O586" s="94"/>
      <c r="P586" s="94"/>
      <c r="Q586" s="94"/>
      <c r="R586" s="95"/>
      <c r="S586" s="94"/>
      <c r="T586" s="94"/>
      <c r="U586" s="94"/>
      <c r="V586" s="94"/>
      <c r="W586" s="104"/>
    </row>
    <row r="587" spans="1:30" ht="23.1" customHeight="1">
      <c r="A587" s="91"/>
      <c r="B587" s="92"/>
      <c r="C587" s="92"/>
      <c r="D587" s="93"/>
      <c r="E587" s="94"/>
      <c r="F587" s="94"/>
      <c r="G587" s="94"/>
      <c r="H587" s="94"/>
      <c r="I587" s="94"/>
      <c r="J587" s="94"/>
      <c r="K587" s="94"/>
      <c r="L587" s="95"/>
      <c r="M587" s="94"/>
      <c r="N587" s="94"/>
      <c r="O587" s="94"/>
      <c r="P587" s="94"/>
      <c r="Q587" s="94"/>
      <c r="R587" s="95"/>
      <c r="S587" s="94"/>
      <c r="T587" s="94"/>
      <c r="U587" s="94"/>
      <c r="V587" s="94"/>
      <c r="W587" s="104"/>
    </row>
    <row r="588" spans="1:30" ht="23.1" customHeight="1">
      <c r="A588" s="91"/>
      <c r="B588" s="92"/>
      <c r="C588" s="92"/>
      <c r="D588" s="93"/>
      <c r="E588" s="94"/>
      <c r="F588" s="94"/>
      <c r="G588" s="94"/>
      <c r="H588" s="94"/>
      <c r="I588" s="94"/>
      <c r="J588" s="94"/>
      <c r="K588" s="94"/>
      <c r="L588" s="95"/>
      <c r="M588" s="94"/>
      <c r="N588" s="94"/>
      <c r="O588" s="94"/>
      <c r="P588" s="94"/>
      <c r="Q588" s="94"/>
      <c r="R588" s="95"/>
      <c r="S588" s="94"/>
      <c r="T588" s="94"/>
      <c r="U588" s="94"/>
      <c r="V588" s="94"/>
      <c r="W588" s="104"/>
    </row>
    <row r="589" spans="1:30" ht="23.1" customHeight="1">
      <c r="A589" s="91"/>
      <c r="B589" s="92"/>
      <c r="C589" s="92"/>
      <c r="D589" s="93"/>
      <c r="E589" s="94"/>
      <c r="F589" s="94"/>
      <c r="G589" s="94"/>
      <c r="H589" s="94"/>
      <c r="I589" s="94"/>
      <c r="J589" s="94"/>
      <c r="K589" s="94"/>
      <c r="L589" s="95"/>
      <c r="M589" s="94"/>
      <c r="N589" s="94"/>
      <c r="O589" s="94"/>
      <c r="P589" s="94"/>
      <c r="Q589" s="94"/>
      <c r="R589" s="95"/>
      <c r="S589" s="94"/>
      <c r="T589" s="94"/>
      <c r="U589" s="94"/>
      <c r="V589" s="94"/>
      <c r="W589" s="104"/>
    </row>
    <row r="590" spans="1:30" ht="23.1" customHeight="1">
      <c r="A590" s="91"/>
      <c r="B590" s="92"/>
      <c r="C590" s="92"/>
      <c r="D590" s="93"/>
      <c r="E590" s="94"/>
      <c r="F590" s="94"/>
      <c r="G590" s="94"/>
      <c r="H590" s="94"/>
      <c r="I590" s="94"/>
      <c r="J590" s="94"/>
      <c r="K590" s="94"/>
      <c r="L590" s="95"/>
      <c r="M590" s="94"/>
      <c r="N590" s="94"/>
      <c r="O590" s="94"/>
      <c r="P590" s="94"/>
      <c r="Q590" s="94"/>
      <c r="R590" s="95"/>
      <c r="S590" s="94"/>
      <c r="T590" s="94"/>
      <c r="U590" s="94"/>
      <c r="V590" s="94"/>
      <c r="W590" s="104"/>
    </row>
    <row r="591" spans="1:30" ht="23.1" customHeight="1">
      <c r="A591" s="91"/>
      <c r="B591" s="92"/>
      <c r="C591" s="92"/>
      <c r="D591" s="93"/>
      <c r="E591" s="94"/>
      <c r="F591" s="94"/>
      <c r="G591" s="94"/>
      <c r="H591" s="94"/>
      <c r="I591" s="94"/>
      <c r="J591" s="94"/>
      <c r="K591" s="94"/>
      <c r="L591" s="95"/>
      <c r="M591" s="94"/>
      <c r="N591" s="94"/>
      <c r="O591" s="94"/>
      <c r="P591" s="94"/>
      <c r="Q591" s="94"/>
      <c r="R591" s="95"/>
      <c r="S591" s="94"/>
      <c r="T591" s="94"/>
      <c r="U591" s="94"/>
      <c r="V591" s="94"/>
      <c r="W591" s="104"/>
    </row>
    <row r="592" spans="1:30" ht="23.1" customHeight="1">
      <c r="A592" s="91"/>
      <c r="B592" s="92"/>
      <c r="C592" s="92"/>
      <c r="D592" s="93"/>
      <c r="E592" s="94"/>
      <c r="F592" s="94"/>
      <c r="G592" s="94"/>
      <c r="H592" s="94"/>
      <c r="I592" s="94"/>
      <c r="J592" s="94"/>
      <c r="K592" s="94"/>
      <c r="L592" s="95"/>
      <c r="M592" s="94"/>
      <c r="N592" s="94"/>
      <c r="O592" s="94"/>
      <c r="P592" s="94"/>
      <c r="Q592" s="94"/>
      <c r="R592" s="95"/>
      <c r="S592" s="94"/>
      <c r="T592" s="94"/>
      <c r="U592" s="94"/>
      <c r="V592" s="94"/>
      <c r="W592" s="104"/>
    </row>
    <row r="593" spans="1:23" ht="23.1" customHeight="1">
      <c r="A593" s="91"/>
      <c r="B593" s="92"/>
      <c r="C593" s="92"/>
      <c r="D593" s="93"/>
      <c r="E593" s="94"/>
      <c r="F593" s="94"/>
      <c r="G593" s="94"/>
      <c r="H593" s="94"/>
      <c r="I593" s="94"/>
      <c r="J593" s="94"/>
      <c r="K593" s="94"/>
      <c r="L593" s="95"/>
      <c r="M593" s="94"/>
      <c r="N593" s="94"/>
      <c r="O593" s="94"/>
      <c r="P593" s="94"/>
      <c r="Q593" s="94"/>
      <c r="R593" s="95"/>
      <c r="S593" s="94"/>
      <c r="T593" s="94"/>
      <c r="U593" s="94"/>
      <c r="V593" s="94"/>
      <c r="W593" s="104"/>
    </row>
    <row r="594" spans="1:23" ht="23.1" customHeight="1">
      <c r="A594" s="91"/>
      <c r="B594" s="92"/>
      <c r="C594" s="92"/>
      <c r="D594" s="93"/>
      <c r="E594" s="94"/>
      <c r="F594" s="94"/>
      <c r="G594" s="94"/>
      <c r="H594" s="94"/>
      <c r="I594" s="94"/>
      <c r="J594" s="94"/>
      <c r="K594" s="94"/>
      <c r="L594" s="95"/>
      <c r="M594" s="94"/>
      <c r="N594" s="94"/>
      <c r="O594" s="94"/>
      <c r="P594" s="94"/>
      <c r="Q594" s="94"/>
      <c r="R594" s="95"/>
      <c r="S594" s="94"/>
      <c r="T594" s="94"/>
      <c r="U594" s="94"/>
      <c r="V594" s="94"/>
      <c r="W594" s="104"/>
    </row>
    <row r="595" spans="1:23" ht="23.1" customHeight="1">
      <c r="A595" s="91"/>
      <c r="B595" s="92"/>
      <c r="C595" s="92"/>
      <c r="D595" s="93"/>
      <c r="E595" s="94"/>
      <c r="F595" s="94"/>
      <c r="G595" s="94"/>
      <c r="H595" s="94"/>
      <c r="I595" s="94"/>
      <c r="J595" s="94"/>
      <c r="K595" s="94"/>
      <c r="L595" s="95"/>
      <c r="M595" s="94"/>
      <c r="N595" s="94"/>
      <c r="O595" s="94"/>
      <c r="P595" s="94"/>
      <c r="Q595" s="94"/>
      <c r="R595" s="95"/>
      <c r="S595" s="94"/>
      <c r="T595" s="94"/>
      <c r="U595" s="94"/>
      <c r="V595" s="94"/>
      <c r="W595" s="106"/>
    </row>
    <row r="596" spans="1:23" ht="23.1" customHeight="1">
      <c r="A596" s="91"/>
      <c r="B596" s="92"/>
      <c r="C596" s="92"/>
      <c r="D596" s="93"/>
      <c r="E596" s="94"/>
      <c r="F596" s="94"/>
      <c r="G596" s="94"/>
      <c r="H596" s="94"/>
      <c r="I596" s="94"/>
      <c r="J596" s="94"/>
      <c r="K596" s="94"/>
      <c r="L596" s="95"/>
      <c r="M596" s="94"/>
      <c r="N596" s="94"/>
      <c r="O596" s="94"/>
      <c r="P596" s="94"/>
      <c r="Q596" s="94"/>
      <c r="R596" s="95"/>
      <c r="S596" s="94"/>
      <c r="T596" s="94"/>
      <c r="U596" s="94"/>
      <c r="V596" s="94"/>
      <c r="W596" s="106"/>
    </row>
    <row r="597" spans="1:23" ht="23.1" customHeight="1">
      <c r="A597" s="91"/>
      <c r="B597" s="92"/>
      <c r="C597" s="92"/>
      <c r="D597" s="93"/>
      <c r="E597" s="94"/>
      <c r="F597" s="94"/>
      <c r="G597" s="94"/>
      <c r="H597" s="94"/>
      <c r="I597" s="94"/>
      <c r="J597" s="94"/>
      <c r="K597" s="94"/>
      <c r="L597" s="95"/>
      <c r="M597" s="94"/>
      <c r="N597" s="94"/>
      <c r="O597" s="94"/>
      <c r="P597" s="94"/>
      <c r="Q597" s="94"/>
      <c r="R597" s="95"/>
      <c r="S597" s="94"/>
      <c r="T597" s="94"/>
      <c r="U597" s="94"/>
      <c r="V597" s="94"/>
      <c r="W597" s="106"/>
    </row>
    <row r="598" spans="1:23" ht="23.1" customHeight="1">
      <c r="A598" s="91"/>
      <c r="B598" s="92"/>
      <c r="C598" s="92"/>
      <c r="D598" s="93"/>
      <c r="E598" s="94"/>
      <c r="F598" s="94"/>
      <c r="G598" s="94"/>
      <c r="H598" s="94"/>
      <c r="I598" s="94"/>
      <c r="J598" s="94"/>
      <c r="K598" s="94"/>
      <c r="L598" s="95"/>
      <c r="M598" s="94"/>
      <c r="N598" s="94"/>
      <c r="O598" s="94"/>
      <c r="P598" s="94"/>
      <c r="Q598" s="94"/>
      <c r="R598" s="95"/>
      <c r="S598" s="94"/>
      <c r="T598" s="94"/>
      <c r="U598" s="94"/>
      <c r="V598" s="94"/>
      <c r="W598" s="106"/>
    </row>
    <row r="599" spans="1:23" ht="23.1" customHeight="1">
      <c r="A599" s="91"/>
      <c r="B599" s="92"/>
      <c r="C599" s="92"/>
      <c r="D599" s="93"/>
      <c r="E599" s="94"/>
      <c r="F599" s="94"/>
      <c r="G599" s="94"/>
      <c r="H599" s="94"/>
      <c r="I599" s="94"/>
      <c r="J599" s="94"/>
      <c r="K599" s="94"/>
      <c r="L599" s="95"/>
      <c r="M599" s="94"/>
      <c r="N599" s="94"/>
      <c r="O599" s="94"/>
      <c r="P599" s="94"/>
      <c r="Q599" s="94"/>
      <c r="R599" s="95"/>
      <c r="S599" s="94"/>
      <c r="T599" s="94"/>
      <c r="U599" s="94"/>
      <c r="V599" s="94"/>
      <c r="W599" s="106"/>
    </row>
    <row r="600" spans="1:23" ht="23.1" customHeight="1">
      <c r="A600" s="91"/>
      <c r="B600" s="92"/>
      <c r="C600" s="92"/>
      <c r="D600" s="93"/>
      <c r="E600" s="94"/>
      <c r="F600" s="94"/>
      <c r="G600" s="94"/>
      <c r="H600" s="94"/>
      <c r="I600" s="94"/>
      <c r="J600" s="94"/>
      <c r="K600" s="94"/>
      <c r="L600" s="95"/>
      <c r="M600" s="94"/>
      <c r="N600" s="94"/>
      <c r="O600" s="94"/>
      <c r="P600" s="94"/>
      <c r="Q600" s="94"/>
      <c r="R600" s="95"/>
      <c r="S600" s="94"/>
      <c r="T600" s="94"/>
      <c r="U600" s="94"/>
      <c r="V600" s="94"/>
      <c r="W600" s="106"/>
    </row>
    <row r="601" spans="1:23" ht="23.1" customHeight="1">
      <c r="A601" s="91"/>
      <c r="B601" s="92"/>
      <c r="C601" s="92"/>
      <c r="D601" s="93"/>
      <c r="E601" s="94"/>
      <c r="F601" s="94"/>
      <c r="G601" s="94"/>
      <c r="H601" s="94"/>
      <c r="I601" s="94"/>
      <c r="J601" s="94"/>
      <c r="K601" s="94"/>
      <c r="L601" s="95"/>
      <c r="M601" s="94"/>
      <c r="N601" s="94"/>
      <c r="O601" s="94"/>
      <c r="P601" s="94"/>
      <c r="Q601" s="94"/>
      <c r="R601" s="95"/>
      <c r="S601" s="94"/>
      <c r="T601" s="94"/>
      <c r="U601" s="94"/>
      <c r="V601" s="94"/>
      <c r="W601" s="106"/>
    </row>
    <row r="602" spans="1:23" ht="23.1" customHeight="1">
      <c r="A602" s="91"/>
      <c r="B602" s="92"/>
      <c r="C602" s="92"/>
      <c r="D602" s="93"/>
      <c r="E602" s="94"/>
      <c r="F602" s="94"/>
      <c r="G602" s="94"/>
      <c r="H602" s="94"/>
      <c r="I602" s="94"/>
      <c r="J602" s="94"/>
      <c r="K602" s="94"/>
      <c r="L602" s="95"/>
      <c r="M602" s="94"/>
      <c r="N602" s="94"/>
      <c r="O602" s="94"/>
      <c r="P602" s="94"/>
      <c r="Q602" s="94"/>
      <c r="R602" s="95"/>
      <c r="S602" s="94"/>
      <c r="T602" s="94"/>
      <c r="U602" s="94"/>
      <c r="V602" s="94"/>
      <c r="W602" s="106"/>
    </row>
    <row r="603" spans="1:23" ht="23.1" customHeight="1">
      <c r="A603" s="91"/>
      <c r="B603" s="92"/>
      <c r="C603" s="92"/>
      <c r="D603" s="93"/>
      <c r="E603" s="94"/>
      <c r="F603" s="94"/>
      <c r="G603" s="94"/>
      <c r="H603" s="94"/>
      <c r="I603" s="94"/>
      <c r="J603" s="94"/>
      <c r="K603" s="94"/>
      <c r="L603" s="95"/>
      <c r="M603" s="94"/>
      <c r="N603" s="94"/>
      <c r="O603" s="94"/>
      <c r="P603" s="94"/>
      <c r="Q603" s="94"/>
      <c r="R603" s="95"/>
      <c r="S603" s="94"/>
      <c r="T603" s="94"/>
      <c r="U603" s="94"/>
      <c r="V603" s="94"/>
      <c r="W603" s="106"/>
    </row>
    <row r="604" spans="1:23" ht="23.1" customHeight="1">
      <c r="A604" s="91"/>
      <c r="B604" s="92"/>
      <c r="C604" s="92"/>
      <c r="D604" s="93"/>
      <c r="E604" s="94"/>
      <c r="F604" s="94"/>
      <c r="G604" s="94"/>
      <c r="H604" s="94"/>
      <c r="I604" s="94"/>
      <c r="J604" s="94"/>
      <c r="K604" s="94"/>
      <c r="L604" s="95"/>
      <c r="M604" s="94"/>
      <c r="N604" s="94"/>
      <c r="O604" s="94"/>
      <c r="P604" s="94"/>
      <c r="Q604" s="94"/>
      <c r="R604" s="95"/>
      <c r="S604" s="94"/>
      <c r="T604" s="94"/>
      <c r="U604" s="94"/>
      <c r="V604" s="94"/>
      <c r="W604" s="106"/>
    </row>
    <row r="605" spans="1:23" ht="23.1" customHeight="1">
      <c r="A605" s="91"/>
      <c r="B605" s="92"/>
      <c r="C605" s="92"/>
      <c r="D605" s="93"/>
      <c r="E605" s="94"/>
      <c r="F605" s="94"/>
      <c r="G605" s="94"/>
      <c r="H605" s="94"/>
      <c r="I605" s="94"/>
      <c r="J605" s="94"/>
      <c r="K605" s="94"/>
      <c r="L605" s="95"/>
      <c r="M605" s="94"/>
      <c r="N605" s="94"/>
      <c r="O605" s="94"/>
      <c r="P605" s="94"/>
      <c r="Q605" s="94"/>
      <c r="R605" s="95"/>
      <c r="S605" s="94"/>
      <c r="T605" s="94"/>
      <c r="U605" s="94"/>
      <c r="V605" s="94"/>
      <c r="W605" s="106"/>
    </row>
    <row r="606" spans="1:23" ht="23.1" customHeight="1">
      <c r="A606" s="91"/>
      <c r="B606" s="92"/>
      <c r="C606" s="92"/>
      <c r="D606" s="93"/>
      <c r="E606" s="94"/>
      <c r="F606" s="94"/>
      <c r="G606" s="94"/>
      <c r="H606" s="94"/>
      <c r="I606" s="94"/>
      <c r="J606" s="94"/>
      <c r="K606" s="94"/>
      <c r="L606" s="95"/>
      <c r="M606" s="94"/>
      <c r="N606" s="94"/>
      <c r="O606" s="94"/>
      <c r="P606" s="94"/>
      <c r="Q606" s="94"/>
      <c r="R606" s="95"/>
      <c r="S606" s="94"/>
      <c r="T606" s="94"/>
      <c r="U606" s="94"/>
      <c r="V606" s="94"/>
      <c r="W606" s="106"/>
    </row>
    <row r="607" spans="1:23" ht="23.1" customHeight="1">
      <c r="A607" s="91"/>
      <c r="B607" s="92"/>
      <c r="C607" s="92"/>
      <c r="D607" s="93"/>
      <c r="E607" s="94"/>
      <c r="F607" s="94"/>
      <c r="G607" s="94"/>
      <c r="H607" s="94"/>
      <c r="I607" s="94"/>
      <c r="J607" s="94"/>
      <c r="K607" s="94"/>
      <c r="L607" s="95"/>
      <c r="M607" s="94"/>
      <c r="N607" s="94"/>
      <c r="O607" s="94"/>
      <c r="P607" s="94"/>
      <c r="Q607" s="94"/>
      <c r="R607" s="95"/>
      <c r="S607" s="94"/>
      <c r="T607" s="94"/>
      <c r="U607" s="94"/>
      <c r="V607" s="94"/>
      <c r="W607" s="106"/>
    </row>
    <row r="608" spans="1:23" ht="23.1" customHeight="1">
      <c r="A608" s="91"/>
      <c r="B608" s="92"/>
      <c r="C608" s="92"/>
      <c r="D608" s="93"/>
      <c r="E608" s="94"/>
      <c r="F608" s="94"/>
      <c r="G608" s="94"/>
      <c r="H608" s="94"/>
      <c r="I608" s="94"/>
      <c r="J608" s="94"/>
      <c r="K608" s="94"/>
      <c r="L608" s="95"/>
      <c r="M608" s="94"/>
      <c r="N608" s="94"/>
      <c r="O608" s="94"/>
      <c r="P608" s="94"/>
      <c r="Q608" s="94"/>
      <c r="R608" s="95"/>
      <c r="S608" s="94"/>
      <c r="T608" s="94"/>
      <c r="U608" s="94"/>
      <c r="V608" s="94"/>
      <c r="W608" s="106"/>
    </row>
    <row r="609" spans="1:23" ht="23.1" customHeight="1">
      <c r="A609" s="91"/>
      <c r="B609" s="92"/>
      <c r="C609" s="92"/>
      <c r="D609" s="93"/>
      <c r="E609" s="94"/>
      <c r="F609" s="94"/>
      <c r="G609" s="94"/>
      <c r="H609" s="94"/>
      <c r="I609" s="94"/>
      <c r="J609" s="94"/>
      <c r="K609" s="94"/>
      <c r="L609" s="95"/>
      <c r="M609" s="94"/>
      <c r="N609" s="94"/>
      <c r="O609" s="94"/>
      <c r="P609" s="94"/>
      <c r="Q609" s="94"/>
      <c r="R609" s="95"/>
      <c r="S609" s="94"/>
      <c r="T609" s="94"/>
      <c r="U609" s="94"/>
      <c r="V609" s="94"/>
      <c r="W609" s="106"/>
    </row>
    <row r="610" spans="1:23" ht="23.1" customHeight="1">
      <c r="A610" s="91"/>
      <c r="B610" s="92"/>
      <c r="C610" s="92"/>
      <c r="D610" s="93"/>
      <c r="E610" s="94"/>
      <c r="F610" s="94"/>
      <c r="G610" s="94"/>
      <c r="H610" s="94"/>
      <c r="I610" s="94"/>
      <c r="J610" s="94"/>
      <c r="K610" s="94"/>
      <c r="L610" s="95"/>
      <c r="M610" s="94"/>
      <c r="N610" s="94"/>
      <c r="O610" s="94"/>
      <c r="P610" s="94"/>
      <c r="Q610" s="94"/>
      <c r="R610" s="95"/>
      <c r="S610" s="94"/>
      <c r="T610" s="94"/>
      <c r="U610" s="94"/>
      <c r="V610" s="94"/>
      <c r="W610" s="106"/>
    </row>
    <row r="611" spans="1:23" ht="23.1" customHeight="1">
      <c r="A611" s="91"/>
      <c r="B611" s="92"/>
      <c r="C611" s="92"/>
      <c r="D611" s="93"/>
      <c r="E611" s="94"/>
      <c r="F611" s="94"/>
      <c r="G611" s="94"/>
      <c r="H611" s="94"/>
      <c r="I611" s="94"/>
      <c r="J611" s="94"/>
      <c r="K611" s="94"/>
      <c r="L611" s="95"/>
      <c r="M611" s="94"/>
      <c r="N611" s="94"/>
      <c r="O611" s="94"/>
      <c r="P611" s="94"/>
      <c r="Q611" s="94"/>
      <c r="R611" s="95"/>
      <c r="S611" s="94"/>
      <c r="T611" s="94"/>
      <c r="U611" s="94"/>
      <c r="V611" s="94"/>
      <c r="W611" s="106"/>
    </row>
    <row r="612" spans="1:23" ht="23.1" customHeight="1">
      <c r="A612" s="91"/>
      <c r="B612" s="92"/>
      <c r="C612" s="92"/>
      <c r="D612" s="93"/>
      <c r="E612" s="94"/>
      <c r="F612" s="94"/>
      <c r="G612" s="94"/>
      <c r="H612" s="94"/>
      <c r="I612" s="94"/>
      <c r="J612" s="94"/>
      <c r="K612" s="94"/>
      <c r="L612" s="95"/>
      <c r="M612" s="94"/>
      <c r="N612" s="94"/>
      <c r="O612" s="94"/>
      <c r="P612" s="94"/>
      <c r="Q612" s="94"/>
      <c r="R612" s="95"/>
      <c r="S612" s="94"/>
      <c r="T612" s="94"/>
      <c r="U612" s="94"/>
      <c r="V612" s="94"/>
      <c r="W612" s="106"/>
    </row>
    <row r="613" spans="1:23" ht="23.1" customHeight="1">
      <c r="A613" s="91"/>
      <c r="B613" s="92"/>
      <c r="C613" s="92"/>
      <c r="D613" s="93"/>
      <c r="E613" s="94"/>
      <c r="F613" s="94"/>
      <c r="G613" s="94"/>
      <c r="H613" s="94"/>
      <c r="I613" s="94"/>
      <c r="J613" s="94"/>
      <c r="K613" s="94"/>
      <c r="L613" s="95"/>
      <c r="M613" s="94"/>
      <c r="N613" s="94"/>
      <c r="O613" s="94"/>
      <c r="P613" s="94"/>
      <c r="Q613" s="94"/>
      <c r="R613" s="95"/>
      <c r="S613" s="94"/>
      <c r="T613" s="94"/>
      <c r="U613" s="94"/>
      <c r="V613" s="94"/>
      <c r="W613" s="106"/>
    </row>
    <row r="614" spans="1:23" ht="23.1" customHeight="1">
      <c r="A614" s="91"/>
      <c r="B614" s="92"/>
      <c r="C614" s="92"/>
      <c r="D614" s="93"/>
      <c r="E614" s="94"/>
      <c r="F614" s="94"/>
      <c r="G614" s="94"/>
      <c r="H614" s="94"/>
      <c r="I614" s="94"/>
      <c r="J614" s="94"/>
      <c r="K614" s="94"/>
      <c r="L614" s="95"/>
      <c r="M614" s="94"/>
      <c r="N614" s="94"/>
      <c r="O614" s="94"/>
      <c r="P614" s="94"/>
      <c r="Q614" s="94"/>
      <c r="R614" s="95"/>
      <c r="S614" s="94"/>
      <c r="T614" s="94"/>
      <c r="U614" s="94"/>
      <c r="V614" s="94"/>
      <c r="W614" s="106"/>
    </row>
    <row r="615" spans="1:23" ht="23.1" customHeight="1">
      <c r="A615" s="91"/>
      <c r="B615" s="92"/>
      <c r="C615" s="92"/>
      <c r="D615" s="93"/>
      <c r="E615" s="94"/>
      <c r="F615" s="94"/>
      <c r="G615" s="94"/>
      <c r="H615" s="94"/>
      <c r="I615" s="94"/>
      <c r="J615" s="94"/>
      <c r="K615" s="94"/>
      <c r="L615" s="95"/>
      <c r="M615" s="94"/>
      <c r="N615" s="94"/>
      <c r="O615" s="94"/>
      <c r="P615" s="94"/>
      <c r="Q615" s="94"/>
      <c r="R615" s="95"/>
      <c r="S615" s="94"/>
      <c r="T615" s="94"/>
      <c r="U615" s="94"/>
      <c r="V615" s="94"/>
      <c r="W615" s="106"/>
    </row>
    <row r="616" spans="1:23" ht="23.1" customHeight="1">
      <c r="A616" s="91"/>
      <c r="B616" s="92"/>
      <c r="C616" s="92"/>
      <c r="D616" s="93"/>
      <c r="E616" s="94"/>
      <c r="F616" s="94"/>
      <c r="G616" s="94"/>
      <c r="H616" s="94"/>
      <c r="I616" s="94"/>
      <c r="J616" s="94"/>
      <c r="K616" s="94"/>
      <c r="L616" s="95"/>
      <c r="M616" s="94"/>
      <c r="N616" s="94"/>
      <c r="O616" s="94"/>
      <c r="P616" s="94"/>
      <c r="Q616" s="94"/>
      <c r="R616" s="95"/>
      <c r="S616" s="94"/>
      <c r="T616" s="94"/>
      <c r="U616" s="94"/>
      <c r="V616" s="94"/>
      <c r="W616" s="106"/>
    </row>
    <row r="617" spans="1:23" ht="23.1" customHeight="1">
      <c r="A617" s="91"/>
      <c r="B617" s="92"/>
      <c r="C617" s="92"/>
      <c r="D617" s="93"/>
      <c r="E617" s="94"/>
      <c r="F617" s="94"/>
      <c r="G617" s="94"/>
      <c r="H617" s="94"/>
      <c r="I617" s="94"/>
      <c r="J617" s="94"/>
      <c r="K617" s="94"/>
      <c r="L617" s="95"/>
      <c r="M617" s="94"/>
      <c r="N617" s="94"/>
      <c r="O617" s="94"/>
      <c r="P617" s="94"/>
      <c r="Q617" s="94"/>
      <c r="R617" s="95"/>
      <c r="S617" s="94"/>
      <c r="T617" s="94"/>
      <c r="U617" s="94"/>
      <c r="V617" s="94"/>
      <c r="W617" s="106"/>
    </row>
    <row r="618" spans="1:23" ht="23.1" customHeight="1">
      <c r="A618" s="91"/>
      <c r="B618" s="92"/>
      <c r="C618" s="92"/>
      <c r="D618" s="93"/>
      <c r="E618" s="94"/>
      <c r="F618" s="94"/>
      <c r="G618" s="94"/>
      <c r="H618" s="94"/>
      <c r="I618" s="94"/>
      <c r="J618" s="94"/>
      <c r="K618" s="94"/>
      <c r="L618" s="95"/>
      <c r="M618" s="94"/>
      <c r="N618" s="94"/>
      <c r="O618" s="94"/>
      <c r="P618" s="94"/>
      <c r="Q618" s="94"/>
      <c r="R618" s="95"/>
      <c r="S618" s="94"/>
      <c r="T618" s="94"/>
      <c r="U618" s="94"/>
      <c r="V618" s="94"/>
      <c r="W618" s="106"/>
    </row>
    <row r="619" spans="1:23" ht="23.1" customHeight="1">
      <c r="A619" s="91"/>
      <c r="B619" s="92"/>
      <c r="C619" s="92"/>
      <c r="D619" s="93"/>
      <c r="E619" s="94"/>
      <c r="F619" s="94"/>
      <c r="G619" s="94"/>
      <c r="H619" s="94"/>
      <c r="I619" s="94"/>
      <c r="J619" s="94"/>
      <c r="K619" s="94"/>
      <c r="L619" s="95"/>
      <c r="M619" s="94"/>
      <c r="N619" s="94"/>
      <c r="O619" s="94"/>
      <c r="P619" s="94"/>
      <c r="Q619" s="94"/>
      <c r="R619" s="95"/>
      <c r="S619" s="94"/>
      <c r="T619" s="94"/>
      <c r="U619" s="94"/>
      <c r="V619" s="94"/>
      <c r="W619" s="106"/>
    </row>
    <row r="620" spans="1:23" ht="23.1" customHeight="1">
      <c r="A620" s="91"/>
      <c r="B620" s="92"/>
      <c r="C620" s="92"/>
      <c r="D620" s="93"/>
      <c r="E620" s="94"/>
      <c r="F620" s="94"/>
      <c r="G620" s="94"/>
      <c r="H620" s="94"/>
      <c r="I620" s="94"/>
      <c r="J620" s="94"/>
      <c r="K620" s="94"/>
      <c r="L620" s="95"/>
      <c r="M620" s="94"/>
      <c r="N620" s="94"/>
      <c r="O620" s="94"/>
      <c r="P620" s="94"/>
      <c r="Q620" s="94"/>
      <c r="R620" s="95"/>
      <c r="S620" s="94"/>
      <c r="T620" s="94"/>
      <c r="U620" s="94"/>
      <c r="V620" s="94"/>
      <c r="W620" s="106"/>
    </row>
    <row r="621" spans="1:23" ht="23.1" customHeight="1">
      <c r="A621" s="91"/>
      <c r="B621" s="92"/>
      <c r="C621" s="92"/>
      <c r="D621" s="93"/>
      <c r="E621" s="94"/>
      <c r="F621" s="94"/>
      <c r="G621" s="94"/>
      <c r="H621" s="94"/>
      <c r="I621" s="94"/>
      <c r="J621" s="94"/>
      <c r="K621" s="94"/>
      <c r="L621" s="95"/>
      <c r="M621" s="94"/>
      <c r="N621" s="94"/>
      <c r="O621" s="94"/>
      <c r="P621" s="94"/>
      <c r="Q621" s="94"/>
      <c r="R621" s="95"/>
      <c r="S621" s="94"/>
      <c r="T621" s="94"/>
      <c r="U621" s="94"/>
      <c r="V621" s="94"/>
      <c r="W621" s="106"/>
    </row>
    <row r="622" spans="1:23" ht="23.1" customHeight="1">
      <c r="A622" s="91"/>
      <c r="B622" s="92"/>
      <c r="C622" s="92"/>
      <c r="D622" s="93"/>
      <c r="E622" s="94"/>
      <c r="F622" s="94"/>
      <c r="G622" s="94"/>
      <c r="H622" s="94"/>
      <c r="I622" s="94"/>
      <c r="J622" s="94"/>
      <c r="K622" s="94"/>
      <c r="L622" s="95"/>
      <c r="M622" s="94"/>
      <c r="N622" s="94"/>
      <c r="O622" s="94"/>
      <c r="P622" s="94"/>
      <c r="Q622" s="94"/>
      <c r="R622" s="95"/>
      <c r="S622" s="94"/>
      <c r="T622" s="94"/>
      <c r="U622" s="94"/>
      <c r="V622" s="94"/>
      <c r="W622" s="106"/>
    </row>
    <row r="623" spans="1:23" ht="23.1" customHeight="1">
      <c r="A623" s="91"/>
      <c r="B623" s="92"/>
      <c r="C623" s="92"/>
      <c r="D623" s="93"/>
      <c r="E623" s="94"/>
      <c r="F623" s="94"/>
      <c r="G623" s="94"/>
      <c r="H623" s="94"/>
      <c r="I623" s="94"/>
      <c r="J623" s="94"/>
      <c r="K623" s="94"/>
      <c r="L623" s="95"/>
      <c r="M623" s="94"/>
      <c r="N623" s="94"/>
      <c r="O623" s="94"/>
      <c r="P623" s="94"/>
      <c r="Q623" s="94"/>
      <c r="R623" s="95"/>
      <c r="S623" s="94"/>
      <c r="T623" s="94"/>
      <c r="U623" s="94"/>
      <c r="V623" s="94"/>
      <c r="W623" s="106"/>
    </row>
    <row r="624" spans="1:23" ht="23.1" customHeight="1">
      <c r="A624" s="91"/>
      <c r="B624" s="92"/>
      <c r="C624" s="92"/>
      <c r="D624" s="93"/>
      <c r="E624" s="94"/>
      <c r="F624" s="94"/>
      <c r="G624" s="94"/>
      <c r="H624" s="94"/>
      <c r="I624" s="94"/>
      <c r="J624" s="94"/>
      <c r="K624" s="94"/>
      <c r="L624" s="95"/>
      <c r="M624" s="94"/>
      <c r="N624" s="94"/>
      <c r="O624" s="94"/>
      <c r="P624" s="94"/>
      <c r="Q624" s="94"/>
      <c r="R624" s="95"/>
      <c r="S624" s="94"/>
      <c r="T624" s="94"/>
      <c r="U624" s="94"/>
      <c r="V624" s="94"/>
      <c r="W624" s="106"/>
    </row>
    <row r="625" spans="1:23" ht="23.1" customHeight="1">
      <c r="A625" s="91"/>
      <c r="B625" s="92"/>
      <c r="C625" s="92"/>
      <c r="D625" s="93"/>
      <c r="E625" s="94"/>
      <c r="F625" s="94"/>
      <c r="G625" s="94"/>
      <c r="H625" s="94"/>
      <c r="I625" s="94"/>
      <c r="J625" s="94"/>
      <c r="K625" s="94"/>
      <c r="L625" s="95"/>
      <c r="M625" s="94"/>
      <c r="N625" s="94"/>
      <c r="O625" s="94"/>
      <c r="P625" s="94"/>
      <c r="Q625" s="94"/>
      <c r="R625" s="95"/>
      <c r="S625" s="94"/>
      <c r="T625" s="94"/>
      <c r="U625" s="94"/>
      <c r="V625" s="94"/>
      <c r="W625" s="106"/>
    </row>
    <row r="626" spans="1:23" ht="23.1" customHeight="1">
      <c r="A626" s="91"/>
      <c r="B626" s="92"/>
      <c r="C626" s="92"/>
      <c r="D626" s="93"/>
      <c r="E626" s="94"/>
      <c r="F626" s="94"/>
      <c r="G626" s="94"/>
      <c r="H626" s="94"/>
      <c r="I626" s="94"/>
      <c r="J626" s="94"/>
      <c r="K626" s="94"/>
      <c r="L626" s="95"/>
      <c r="M626" s="94"/>
      <c r="N626" s="94"/>
      <c r="O626" s="94"/>
      <c r="P626" s="94"/>
      <c r="Q626" s="94"/>
      <c r="R626" s="95"/>
      <c r="S626" s="94"/>
      <c r="T626" s="94"/>
      <c r="U626" s="94"/>
      <c r="V626" s="94"/>
      <c r="W626" s="106"/>
    </row>
    <row r="627" spans="1:23" ht="23.1" customHeight="1">
      <c r="A627" s="91"/>
      <c r="B627" s="92"/>
      <c r="C627" s="92"/>
      <c r="D627" s="93"/>
      <c r="E627" s="94"/>
      <c r="F627" s="94"/>
      <c r="G627" s="94"/>
      <c r="H627" s="94"/>
      <c r="I627" s="94"/>
      <c r="J627" s="94"/>
      <c r="K627" s="94"/>
      <c r="L627" s="95"/>
      <c r="M627" s="94"/>
      <c r="N627" s="94"/>
      <c r="O627" s="94"/>
      <c r="P627" s="94"/>
      <c r="Q627" s="94"/>
      <c r="R627" s="95"/>
      <c r="S627" s="94"/>
      <c r="T627" s="94"/>
      <c r="U627" s="94"/>
      <c r="V627" s="94"/>
      <c r="W627" s="106"/>
    </row>
    <row r="628" spans="1:23" ht="23.1" customHeight="1">
      <c r="A628" s="91"/>
      <c r="B628" s="92"/>
      <c r="C628" s="92"/>
      <c r="D628" s="93"/>
      <c r="E628" s="94"/>
      <c r="F628" s="94"/>
      <c r="G628" s="94"/>
      <c r="H628" s="94"/>
      <c r="I628" s="94"/>
      <c r="J628" s="94"/>
      <c r="K628" s="94"/>
      <c r="L628" s="95"/>
      <c r="M628" s="94"/>
      <c r="N628" s="94"/>
      <c r="O628" s="94"/>
      <c r="P628" s="94"/>
      <c r="Q628" s="94"/>
      <c r="R628" s="95"/>
      <c r="S628" s="94"/>
      <c r="T628" s="94"/>
      <c r="U628" s="94"/>
      <c r="V628" s="94"/>
      <c r="W628" s="106"/>
    </row>
    <row r="629" spans="1:23" ht="23.1" customHeight="1">
      <c r="A629" s="91"/>
      <c r="B629" s="92"/>
      <c r="C629" s="92"/>
      <c r="D629" s="93"/>
      <c r="E629" s="94"/>
      <c r="F629" s="94"/>
      <c r="G629" s="94"/>
      <c r="H629" s="94"/>
      <c r="I629" s="94"/>
      <c r="J629" s="94"/>
      <c r="K629" s="94"/>
      <c r="L629" s="95"/>
      <c r="M629" s="94"/>
      <c r="N629" s="94"/>
      <c r="O629" s="94"/>
      <c r="P629" s="94"/>
      <c r="Q629" s="94"/>
      <c r="R629" s="95"/>
      <c r="S629" s="94"/>
      <c r="T629" s="94"/>
      <c r="U629" s="94"/>
      <c r="V629" s="94"/>
      <c r="W629" s="106"/>
    </row>
    <row r="630" spans="1:23" ht="23.1" customHeight="1">
      <c r="A630" s="91"/>
      <c r="B630" s="92"/>
      <c r="C630" s="92"/>
      <c r="D630" s="93"/>
      <c r="E630" s="94"/>
      <c r="F630" s="94"/>
      <c r="G630" s="94"/>
      <c r="H630" s="94"/>
      <c r="I630" s="94"/>
      <c r="J630" s="94"/>
      <c r="K630" s="94"/>
      <c r="L630" s="95"/>
      <c r="M630" s="94"/>
      <c r="N630" s="94"/>
      <c r="O630" s="94"/>
      <c r="P630" s="94"/>
      <c r="Q630" s="94"/>
      <c r="R630" s="95"/>
      <c r="S630" s="94"/>
      <c r="T630" s="94"/>
      <c r="U630" s="94"/>
      <c r="V630" s="94"/>
      <c r="W630" s="106"/>
    </row>
    <row r="631" spans="1:23" ht="23.1" customHeight="1">
      <c r="A631" s="91"/>
      <c r="B631" s="92"/>
      <c r="C631" s="92"/>
      <c r="D631" s="93"/>
      <c r="E631" s="94"/>
      <c r="F631" s="94"/>
      <c r="G631" s="94"/>
      <c r="H631" s="94"/>
      <c r="I631" s="94"/>
      <c r="J631" s="94"/>
      <c r="K631" s="94"/>
      <c r="L631" s="95"/>
      <c r="M631" s="94"/>
      <c r="N631" s="94"/>
      <c r="O631" s="94"/>
      <c r="P631" s="94"/>
      <c r="Q631" s="94"/>
      <c r="R631" s="95"/>
      <c r="S631" s="94"/>
      <c r="T631" s="94"/>
      <c r="U631" s="94"/>
      <c r="V631" s="94"/>
      <c r="W631" s="106"/>
    </row>
    <row r="632" spans="1:23" ht="23.1" customHeight="1">
      <c r="A632" s="91"/>
      <c r="B632" s="92"/>
      <c r="C632" s="92"/>
      <c r="D632" s="93"/>
      <c r="E632" s="94"/>
      <c r="F632" s="94"/>
      <c r="G632" s="94"/>
      <c r="H632" s="94"/>
      <c r="I632" s="94"/>
      <c r="J632" s="94"/>
      <c r="K632" s="94"/>
      <c r="L632" s="95"/>
      <c r="M632" s="94"/>
      <c r="N632" s="94"/>
      <c r="O632" s="94"/>
      <c r="P632" s="94"/>
      <c r="Q632" s="94"/>
      <c r="R632" s="95"/>
      <c r="S632" s="94"/>
      <c r="T632" s="94"/>
      <c r="U632" s="94"/>
      <c r="V632" s="94"/>
      <c r="W632" s="106"/>
    </row>
    <row r="633" spans="1:23" ht="23.1" customHeight="1">
      <c r="A633" s="91"/>
      <c r="B633" s="92"/>
      <c r="C633" s="92"/>
      <c r="D633" s="93"/>
      <c r="E633" s="94"/>
      <c r="F633" s="94"/>
      <c r="G633" s="94"/>
      <c r="H633" s="94"/>
      <c r="I633" s="94"/>
      <c r="J633" s="94"/>
      <c r="K633" s="94"/>
      <c r="L633" s="95"/>
      <c r="M633" s="94"/>
      <c r="N633" s="94"/>
      <c r="O633" s="94"/>
      <c r="P633" s="94"/>
      <c r="Q633" s="94"/>
      <c r="R633" s="95"/>
      <c r="S633" s="94"/>
      <c r="T633" s="94"/>
      <c r="U633" s="94"/>
      <c r="V633" s="94"/>
      <c r="W633" s="106"/>
    </row>
    <row r="634" spans="1:23" ht="23.1" customHeight="1">
      <c r="A634" s="91"/>
      <c r="B634" s="92"/>
      <c r="C634" s="92"/>
      <c r="D634" s="93"/>
      <c r="E634" s="94"/>
      <c r="F634" s="94"/>
      <c r="G634" s="94"/>
      <c r="H634" s="94"/>
      <c r="I634" s="94"/>
      <c r="J634" s="94"/>
      <c r="K634" s="94"/>
      <c r="L634" s="95"/>
      <c r="M634" s="94"/>
      <c r="N634" s="94"/>
      <c r="O634" s="94"/>
      <c r="P634" s="94"/>
      <c r="Q634" s="94"/>
      <c r="R634" s="95"/>
      <c r="S634" s="94"/>
      <c r="T634" s="94"/>
      <c r="U634" s="94"/>
      <c r="V634" s="94"/>
      <c r="W634" s="106"/>
    </row>
    <row r="635" spans="1:23" ht="23.1" customHeight="1">
      <c r="A635" s="91"/>
      <c r="B635" s="92"/>
      <c r="C635" s="92"/>
      <c r="D635" s="93"/>
      <c r="E635" s="94"/>
      <c r="F635" s="94"/>
      <c r="G635" s="94"/>
      <c r="H635" s="94"/>
      <c r="I635" s="94"/>
      <c r="J635" s="94"/>
      <c r="K635" s="94"/>
      <c r="L635" s="95"/>
      <c r="M635" s="94"/>
      <c r="N635" s="94"/>
      <c r="O635" s="94"/>
      <c r="P635" s="94"/>
      <c r="Q635" s="94"/>
      <c r="R635" s="95"/>
      <c r="S635" s="94"/>
      <c r="T635" s="94"/>
      <c r="U635" s="94"/>
      <c r="V635" s="94"/>
      <c r="W635" s="106"/>
    </row>
    <row r="636" spans="1:23" ht="23.1" customHeight="1">
      <c r="A636" s="91"/>
      <c r="B636" s="92"/>
      <c r="C636" s="92"/>
      <c r="D636" s="93"/>
      <c r="E636" s="94"/>
      <c r="F636" s="94"/>
      <c r="G636" s="94"/>
      <c r="H636" s="94"/>
      <c r="I636" s="94"/>
      <c r="J636" s="94"/>
      <c r="K636" s="94"/>
      <c r="L636" s="95"/>
      <c r="M636" s="94"/>
      <c r="N636" s="94"/>
      <c r="O636" s="94"/>
      <c r="P636" s="94"/>
      <c r="Q636" s="94"/>
      <c r="R636" s="95"/>
      <c r="S636" s="94"/>
      <c r="T636" s="94"/>
      <c r="U636" s="94"/>
      <c r="V636" s="94"/>
      <c r="W636" s="106"/>
    </row>
    <row r="637" spans="1:23" ht="23.1" customHeight="1">
      <c r="A637" s="91"/>
      <c r="B637" s="92"/>
      <c r="C637" s="92"/>
      <c r="D637" s="93"/>
      <c r="E637" s="94"/>
      <c r="F637" s="94"/>
      <c r="G637" s="94"/>
      <c r="H637" s="94"/>
      <c r="I637" s="94"/>
      <c r="J637" s="94"/>
      <c r="K637" s="94"/>
      <c r="L637" s="95"/>
      <c r="M637" s="94"/>
      <c r="N637" s="94"/>
      <c r="O637" s="94"/>
      <c r="P637" s="94"/>
      <c r="Q637" s="94"/>
      <c r="R637" s="95"/>
      <c r="S637" s="94"/>
      <c r="T637" s="94"/>
      <c r="U637" s="94"/>
      <c r="V637" s="94"/>
      <c r="W637" s="106"/>
    </row>
    <row r="638" spans="1:23" ht="23.1" customHeight="1">
      <c r="A638" s="91"/>
      <c r="B638" s="92"/>
      <c r="C638" s="92"/>
      <c r="D638" s="93"/>
      <c r="E638" s="94"/>
      <c r="F638" s="94"/>
      <c r="G638" s="94"/>
      <c r="H638" s="94"/>
      <c r="I638" s="94"/>
      <c r="J638" s="94"/>
      <c r="K638" s="94"/>
      <c r="L638" s="95"/>
      <c r="M638" s="94"/>
      <c r="N638" s="94"/>
      <c r="O638" s="94"/>
      <c r="P638" s="94"/>
      <c r="Q638" s="94"/>
      <c r="R638" s="95"/>
      <c r="S638" s="94"/>
      <c r="T638" s="94"/>
      <c r="U638" s="94"/>
      <c r="V638" s="94"/>
      <c r="W638" s="106"/>
    </row>
    <row r="639" spans="1:23" ht="23.1" customHeight="1">
      <c r="A639" s="91"/>
      <c r="B639" s="92"/>
      <c r="C639" s="92"/>
      <c r="D639" s="93"/>
      <c r="E639" s="94"/>
      <c r="F639" s="94"/>
      <c r="G639" s="94"/>
      <c r="H639" s="94"/>
      <c r="I639" s="94"/>
      <c r="J639" s="94"/>
      <c r="K639" s="94"/>
      <c r="L639" s="95"/>
      <c r="M639" s="94"/>
      <c r="N639" s="94"/>
      <c r="O639" s="94"/>
      <c r="P639" s="94"/>
      <c r="Q639" s="94"/>
      <c r="R639" s="95"/>
      <c r="S639" s="94"/>
      <c r="T639" s="94"/>
      <c r="U639" s="94"/>
      <c r="V639" s="94"/>
      <c r="W639" s="106"/>
    </row>
    <row r="640" spans="1:23" ht="23.1" customHeight="1">
      <c r="A640" s="91"/>
      <c r="B640" s="92"/>
      <c r="C640" s="92"/>
      <c r="D640" s="93"/>
      <c r="E640" s="94"/>
      <c r="F640" s="94"/>
      <c r="G640" s="94"/>
      <c r="H640" s="94"/>
      <c r="I640" s="94"/>
      <c r="J640" s="94"/>
      <c r="K640" s="94"/>
      <c r="L640" s="95"/>
      <c r="M640" s="94"/>
      <c r="N640" s="94"/>
      <c r="O640" s="94"/>
      <c r="P640" s="94"/>
      <c r="Q640" s="94"/>
      <c r="R640" s="95"/>
      <c r="S640" s="94"/>
      <c r="T640" s="94"/>
      <c r="U640" s="94"/>
      <c r="V640" s="94"/>
      <c r="W640" s="106"/>
    </row>
    <row r="641" spans="1:23" ht="23.1" customHeight="1">
      <c r="A641" s="91"/>
      <c r="B641" s="92"/>
      <c r="C641" s="92"/>
      <c r="D641" s="93"/>
      <c r="E641" s="94"/>
      <c r="F641" s="94"/>
      <c r="G641" s="94"/>
      <c r="H641" s="94"/>
      <c r="I641" s="94"/>
      <c r="J641" s="94"/>
      <c r="K641" s="94"/>
      <c r="L641" s="95"/>
      <c r="M641" s="94"/>
      <c r="N641" s="94"/>
      <c r="O641" s="94"/>
      <c r="P641" s="94"/>
      <c r="Q641" s="94"/>
      <c r="R641" s="95"/>
      <c r="S641" s="94"/>
      <c r="T641" s="94"/>
      <c r="U641" s="94"/>
      <c r="V641" s="94"/>
      <c r="W641" s="106"/>
    </row>
    <row r="642" spans="1:23" ht="23.1" customHeight="1">
      <c r="A642" s="91"/>
      <c r="B642" s="92"/>
      <c r="C642" s="92"/>
      <c r="D642" s="93"/>
      <c r="E642" s="94"/>
      <c r="F642" s="94"/>
      <c r="G642" s="94"/>
      <c r="H642" s="94"/>
      <c r="I642" s="94"/>
      <c r="J642" s="94"/>
      <c r="K642" s="94"/>
      <c r="L642" s="95"/>
      <c r="M642" s="94"/>
      <c r="N642" s="94"/>
      <c r="O642" s="94"/>
      <c r="P642" s="94"/>
      <c r="Q642" s="94"/>
      <c r="R642" s="95"/>
      <c r="S642" s="94"/>
      <c r="T642" s="94"/>
      <c r="U642" s="94"/>
      <c r="V642" s="94"/>
      <c r="W642" s="106"/>
    </row>
    <row r="643" spans="1:23" ht="23.1" customHeight="1">
      <c r="A643" s="91"/>
      <c r="B643" s="92"/>
      <c r="C643" s="92"/>
      <c r="D643" s="93"/>
      <c r="E643" s="94"/>
      <c r="F643" s="94"/>
      <c r="G643" s="94"/>
      <c r="H643" s="94"/>
      <c r="I643" s="94"/>
      <c r="J643" s="94"/>
      <c r="K643" s="94"/>
      <c r="L643" s="95"/>
      <c r="M643" s="94"/>
      <c r="N643" s="94"/>
      <c r="O643" s="94"/>
      <c r="P643" s="94"/>
      <c r="Q643" s="94"/>
      <c r="R643" s="95"/>
      <c r="S643" s="94"/>
      <c r="T643" s="94"/>
      <c r="U643" s="94"/>
      <c r="V643" s="94"/>
      <c r="W643" s="106"/>
    </row>
    <row r="644" spans="1:23" ht="23.1" customHeight="1">
      <c r="A644" s="91"/>
      <c r="B644" s="92"/>
      <c r="C644" s="92"/>
      <c r="D644" s="93"/>
      <c r="E644" s="94"/>
      <c r="F644" s="94"/>
      <c r="G644" s="94"/>
      <c r="H644" s="94"/>
      <c r="I644" s="94"/>
      <c r="J644" s="94"/>
      <c r="K644" s="94"/>
      <c r="L644" s="95"/>
      <c r="M644" s="94"/>
      <c r="N644" s="94"/>
      <c r="O644" s="94"/>
      <c r="P644" s="94"/>
      <c r="Q644" s="94"/>
      <c r="R644" s="95"/>
      <c r="S644" s="94"/>
      <c r="T644" s="94"/>
      <c r="U644" s="94"/>
      <c r="V644" s="94"/>
      <c r="W644" s="106"/>
    </row>
    <row r="645" spans="1:23" ht="23.1" customHeight="1">
      <c r="A645" s="91"/>
      <c r="B645" s="92"/>
      <c r="C645" s="92"/>
      <c r="D645" s="93"/>
      <c r="E645" s="94"/>
      <c r="F645" s="94"/>
      <c r="G645" s="94"/>
      <c r="H645" s="94"/>
      <c r="I645" s="94"/>
      <c r="J645" s="94"/>
      <c r="K645" s="94"/>
      <c r="L645" s="95"/>
      <c r="M645" s="94"/>
      <c r="N645" s="94"/>
      <c r="O645" s="94"/>
      <c r="P645" s="94"/>
      <c r="Q645" s="94"/>
      <c r="R645" s="95"/>
      <c r="S645" s="94"/>
      <c r="T645" s="94"/>
      <c r="U645" s="94"/>
      <c r="V645" s="94"/>
      <c r="W645" s="106"/>
    </row>
    <row r="646" spans="1:23" ht="23.1" customHeight="1">
      <c r="A646" s="91"/>
      <c r="B646" s="92"/>
      <c r="C646" s="92"/>
      <c r="D646" s="93"/>
      <c r="E646" s="94"/>
      <c r="F646" s="94"/>
      <c r="G646" s="94"/>
      <c r="H646" s="94"/>
      <c r="I646" s="94"/>
      <c r="J646" s="94"/>
      <c r="K646" s="94"/>
      <c r="L646" s="95"/>
      <c r="M646" s="94"/>
      <c r="N646" s="94"/>
      <c r="O646" s="94"/>
      <c r="P646" s="94"/>
      <c r="Q646" s="94"/>
      <c r="R646" s="95"/>
      <c r="S646" s="94"/>
      <c r="T646" s="94"/>
      <c r="U646" s="94"/>
      <c r="V646" s="94"/>
      <c r="W646" s="106"/>
    </row>
    <row r="647" spans="1:23" ht="23.1" customHeight="1">
      <c r="A647" s="91"/>
      <c r="B647" s="92"/>
      <c r="C647" s="92"/>
      <c r="D647" s="93"/>
      <c r="E647" s="94"/>
      <c r="F647" s="94"/>
      <c r="G647" s="94"/>
      <c r="H647" s="94"/>
      <c r="I647" s="94"/>
      <c r="J647" s="94"/>
      <c r="K647" s="94"/>
      <c r="L647" s="95"/>
      <c r="M647" s="94"/>
      <c r="N647" s="94"/>
      <c r="O647" s="94"/>
      <c r="P647" s="94"/>
      <c r="Q647" s="94"/>
      <c r="R647" s="95"/>
      <c r="S647" s="94"/>
      <c r="T647" s="94"/>
      <c r="U647" s="94"/>
      <c r="V647" s="94"/>
      <c r="W647" s="106"/>
    </row>
    <row r="648" spans="1:23" ht="23.1" customHeight="1">
      <c r="A648" s="91"/>
      <c r="B648" s="92"/>
      <c r="C648" s="92"/>
      <c r="D648" s="93"/>
      <c r="E648" s="94"/>
      <c r="F648" s="94"/>
      <c r="G648" s="94"/>
      <c r="H648" s="94"/>
      <c r="I648" s="94"/>
      <c r="J648" s="94"/>
      <c r="K648" s="94"/>
      <c r="L648" s="95"/>
      <c r="M648" s="94"/>
      <c r="N648" s="94"/>
      <c r="O648" s="94"/>
      <c r="P648" s="94"/>
      <c r="Q648" s="94"/>
      <c r="R648" s="95"/>
      <c r="S648" s="94"/>
      <c r="T648" s="94"/>
      <c r="U648" s="94"/>
      <c r="V648" s="94"/>
      <c r="W648" s="106"/>
    </row>
    <row r="649" spans="1:23" ht="23.1" customHeight="1">
      <c r="A649" s="91"/>
      <c r="B649" s="92"/>
      <c r="C649" s="92"/>
      <c r="D649" s="93"/>
      <c r="E649" s="94"/>
      <c r="F649" s="94"/>
      <c r="G649" s="94"/>
      <c r="H649" s="94"/>
      <c r="I649" s="94"/>
      <c r="J649" s="94"/>
      <c r="K649" s="94"/>
      <c r="L649" s="95"/>
      <c r="M649" s="94"/>
      <c r="N649" s="94"/>
      <c r="O649" s="94"/>
      <c r="P649" s="94"/>
      <c r="Q649" s="94"/>
      <c r="R649" s="95"/>
      <c r="S649" s="94"/>
      <c r="T649" s="94"/>
      <c r="U649" s="94"/>
      <c r="V649" s="94"/>
      <c r="W649" s="106"/>
    </row>
    <row r="650" spans="1:23" ht="23.1" customHeight="1">
      <c r="A650" s="91"/>
      <c r="B650" s="92"/>
      <c r="C650" s="92"/>
      <c r="D650" s="93"/>
      <c r="E650" s="94"/>
      <c r="F650" s="94"/>
      <c r="G650" s="94"/>
      <c r="H650" s="94"/>
      <c r="I650" s="94"/>
      <c r="J650" s="94"/>
      <c r="K650" s="94"/>
      <c r="L650" s="95"/>
      <c r="M650" s="94"/>
      <c r="N650" s="94"/>
      <c r="O650" s="94"/>
      <c r="P650" s="94"/>
      <c r="Q650" s="94"/>
      <c r="R650" s="95"/>
      <c r="S650" s="94"/>
      <c r="T650" s="94"/>
      <c r="U650" s="94"/>
      <c r="V650" s="94"/>
      <c r="W650" s="106"/>
    </row>
    <row r="651" spans="1:23" ht="23.1" customHeight="1">
      <c r="A651" s="91"/>
      <c r="B651" s="92"/>
      <c r="C651" s="92"/>
      <c r="D651" s="93"/>
      <c r="E651" s="94"/>
      <c r="F651" s="94"/>
      <c r="G651" s="94"/>
      <c r="H651" s="94"/>
      <c r="I651" s="94"/>
      <c r="J651" s="94"/>
      <c r="K651" s="94"/>
      <c r="L651" s="95"/>
      <c r="M651" s="94"/>
      <c r="N651" s="94"/>
      <c r="O651" s="94"/>
      <c r="P651" s="94"/>
      <c r="Q651" s="94"/>
      <c r="R651" s="95"/>
      <c r="S651" s="94"/>
      <c r="T651" s="94"/>
      <c r="U651" s="94"/>
      <c r="V651" s="94"/>
      <c r="W651" s="106"/>
    </row>
    <row r="652" spans="1:23" ht="23.1" customHeight="1">
      <c r="A652" s="91"/>
      <c r="B652" s="92"/>
      <c r="C652" s="92"/>
      <c r="D652" s="93"/>
      <c r="E652" s="94"/>
      <c r="F652" s="94"/>
      <c r="G652" s="94"/>
      <c r="H652" s="94"/>
      <c r="I652" s="94"/>
      <c r="J652" s="94"/>
      <c r="K652" s="94"/>
      <c r="L652" s="95"/>
      <c r="M652" s="94"/>
      <c r="N652" s="94"/>
      <c r="O652" s="94"/>
      <c r="P652" s="94"/>
      <c r="Q652" s="94"/>
      <c r="R652" s="95"/>
      <c r="S652" s="94"/>
      <c r="T652" s="94"/>
      <c r="U652" s="94"/>
      <c r="V652" s="94"/>
      <c r="W652" s="106"/>
    </row>
    <row r="653" spans="1:23" ht="23.1" customHeight="1">
      <c r="A653" s="91"/>
      <c r="B653" s="92"/>
      <c r="C653" s="92"/>
      <c r="D653" s="93"/>
      <c r="E653" s="94"/>
      <c r="F653" s="94"/>
      <c r="G653" s="94"/>
      <c r="H653" s="94"/>
      <c r="I653" s="94"/>
      <c r="J653" s="94"/>
      <c r="K653" s="94"/>
      <c r="L653" s="95"/>
      <c r="M653" s="94"/>
      <c r="N653" s="94"/>
      <c r="O653" s="94"/>
      <c r="P653" s="94"/>
      <c r="Q653" s="94"/>
      <c r="R653" s="95"/>
      <c r="S653" s="94"/>
      <c r="T653" s="94"/>
      <c r="U653" s="94"/>
      <c r="V653" s="94"/>
      <c r="W653" s="106"/>
    </row>
    <row r="654" spans="1:23" ht="23.1" customHeight="1">
      <c r="A654" s="91"/>
      <c r="B654" s="92"/>
      <c r="C654" s="92"/>
      <c r="D654" s="93"/>
      <c r="E654" s="94"/>
      <c r="F654" s="94"/>
      <c r="G654" s="94"/>
      <c r="H654" s="94"/>
      <c r="I654" s="94"/>
      <c r="J654" s="94"/>
      <c r="K654" s="94"/>
      <c r="L654" s="95"/>
      <c r="M654" s="94"/>
      <c r="N654" s="94"/>
      <c r="O654" s="94"/>
      <c r="P654" s="94"/>
      <c r="Q654" s="94"/>
      <c r="R654" s="95"/>
      <c r="S654" s="94"/>
      <c r="T654" s="94"/>
      <c r="U654" s="94"/>
      <c r="V654" s="94"/>
      <c r="W654" s="106"/>
    </row>
    <row r="655" spans="1:23" ht="23.1" customHeight="1">
      <c r="A655" s="91"/>
      <c r="B655" s="92"/>
      <c r="C655" s="92"/>
      <c r="D655" s="93"/>
      <c r="E655" s="94"/>
      <c r="F655" s="94"/>
      <c r="G655" s="94"/>
      <c r="H655" s="94"/>
      <c r="I655" s="94"/>
      <c r="J655" s="94"/>
      <c r="K655" s="94"/>
      <c r="L655" s="95"/>
      <c r="M655" s="94"/>
      <c r="N655" s="94"/>
      <c r="O655" s="94"/>
      <c r="P655" s="94"/>
      <c r="Q655" s="94"/>
      <c r="R655" s="95"/>
      <c r="S655" s="94"/>
      <c r="T655" s="94"/>
      <c r="U655" s="94"/>
      <c r="V655" s="94"/>
      <c r="W655" s="106"/>
    </row>
    <row r="656" spans="1:23" ht="23.1" customHeight="1">
      <c r="A656" s="91"/>
      <c r="B656" s="92"/>
      <c r="C656" s="92"/>
      <c r="D656" s="93"/>
      <c r="E656" s="94"/>
      <c r="F656" s="94"/>
      <c r="G656" s="94"/>
      <c r="H656" s="94"/>
      <c r="I656" s="94"/>
      <c r="J656" s="94"/>
      <c r="K656" s="94"/>
      <c r="L656" s="95"/>
      <c r="M656" s="94"/>
      <c r="N656" s="94"/>
      <c r="O656" s="94"/>
      <c r="P656" s="94"/>
      <c r="Q656" s="94"/>
      <c r="R656" s="95"/>
      <c r="S656" s="94"/>
      <c r="T656" s="94"/>
      <c r="U656" s="94"/>
      <c r="V656" s="94"/>
      <c r="W656" s="106"/>
    </row>
    <row r="657" spans="1:23" ht="23.1" customHeight="1">
      <c r="A657" s="91"/>
      <c r="B657" s="92"/>
      <c r="C657" s="92"/>
      <c r="D657" s="93"/>
      <c r="E657" s="94"/>
      <c r="F657" s="94"/>
      <c r="G657" s="94"/>
      <c r="H657" s="94"/>
      <c r="I657" s="94"/>
      <c r="J657" s="94"/>
      <c r="K657" s="94"/>
      <c r="L657" s="95"/>
      <c r="M657" s="94"/>
      <c r="N657" s="94"/>
      <c r="O657" s="94"/>
      <c r="P657" s="94"/>
      <c r="Q657" s="94"/>
      <c r="R657" s="95"/>
      <c r="S657" s="94"/>
      <c r="T657" s="94"/>
      <c r="U657" s="94"/>
      <c r="V657" s="94"/>
      <c r="W657" s="106"/>
    </row>
    <row r="658" spans="1:23" ht="23.1" customHeight="1">
      <c r="A658" s="91"/>
      <c r="B658" s="92"/>
      <c r="C658" s="92"/>
      <c r="D658" s="93"/>
      <c r="E658" s="94"/>
      <c r="F658" s="94"/>
      <c r="G658" s="94"/>
      <c r="H658" s="94"/>
      <c r="I658" s="94"/>
      <c r="J658" s="94"/>
      <c r="K658" s="94"/>
      <c r="L658" s="95"/>
      <c r="M658" s="94"/>
      <c r="N658" s="94"/>
      <c r="O658" s="94"/>
      <c r="P658" s="94"/>
      <c r="Q658" s="94"/>
      <c r="R658" s="95"/>
      <c r="S658" s="94"/>
      <c r="T658" s="94"/>
      <c r="U658" s="94"/>
      <c r="V658" s="94"/>
      <c r="W658" s="106"/>
    </row>
    <row r="659" spans="1:23" ht="23.1" customHeight="1">
      <c r="A659" s="91"/>
      <c r="B659" s="92"/>
      <c r="C659" s="92"/>
      <c r="D659" s="93"/>
      <c r="E659" s="94"/>
      <c r="F659" s="94"/>
      <c r="G659" s="94"/>
      <c r="H659" s="94"/>
      <c r="I659" s="94"/>
      <c r="J659" s="94"/>
      <c r="K659" s="94"/>
      <c r="L659" s="95"/>
      <c r="M659" s="94"/>
      <c r="N659" s="94"/>
      <c r="O659" s="94"/>
      <c r="P659" s="94"/>
      <c r="Q659" s="94"/>
      <c r="R659" s="95"/>
      <c r="S659" s="94"/>
      <c r="T659" s="94"/>
      <c r="U659" s="94"/>
      <c r="V659" s="94"/>
      <c r="W659" s="106"/>
    </row>
    <row r="660" spans="1:23" ht="23.1" customHeight="1">
      <c r="A660" s="91"/>
      <c r="B660" s="92"/>
      <c r="C660" s="92"/>
      <c r="D660" s="93"/>
      <c r="E660" s="94"/>
      <c r="F660" s="94"/>
      <c r="G660" s="94"/>
      <c r="H660" s="94"/>
      <c r="I660" s="94"/>
      <c r="J660" s="94"/>
      <c r="K660" s="94"/>
      <c r="L660" s="95"/>
      <c r="M660" s="94"/>
      <c r="N660" s="94"/>
      <c r="O660" s="94"/>
      <c r="P660" s="94"/>
      <c r="Q660" s="94"/>
      <c r="R660" s="95"/>
      <c r="S660" s="94"/>
      <c r="T660" s="94"/>
      <c r="U660" s="94"/>
      <c r="V660" s="94"/>
      <c r="W660" s="106"/>
    </row>
    <row r="661" spans="1:23" ht="23.1" customHeight="1">
      <c r="A661" s="91"/>
      <c r="B661" s="92"/>
      <c r="C661" s="92"/>
      <c r="D661" s="93"/>
      <c r="E661" s="94"/>
      <c r="F661" s="94"/>
      <c r="G661" s="94"/>
      <c r="H661" s="94"/>
      <c r="I661" s="94"/>
      <c r="J661" s="94"/>
      <c r="K661" s="94"/>
      <c r="L661" s="95"/>
      <c r="M661" s="94"/>
      <c r="N661" s="94"/>
      <c r="O661" s="94"/>
      <c r="P661" s="94"/>
      <c r="Q661" s="94"/>
      <c r="R661" s="95"/>
      <c r="S661" s="94"/>
      <c r="T661" s="94"/>
      <c r="U661" s="94"/>
      <c r="V661" s="94"/>
      <c r="W661" s="106"/>
    </row>
    <row r="662" spans="1:23" ht="23.1" customHeight="1">
      <c r="A662" s="91"/>
      <c r="B662" s="92"/>
      <c r="C662" s="92"/>
      <c r="D662" s="93"/>
      <c r="E662" s="94"/>
      <c r="F662" s="94"/>
      <c r="G662" s="94"/>
      <c r="H662" s="94"/>
      <c r="I662" s="94"/>
      <c r="J662" s="94"/>
      <c r="K662" s="94"/>
      <c r="L662" s="95"/>
      <c r="M662" s="94"/>
      <c r="N662" s="94"/>
      <c r="O662" s="94"/>
      <c r="P662" s="94"/>
      <c r="Q662" s="94"/>
      <c r="R662" s="95"/>
      <c r="S662" s="94"/>
      <c r="T662" s="94"/>
      <c r="U662" s="94"/>
      <c r="V662" s="94"/>
      <c r="W662" s="106"/>
    </row>
    <row r="663" spans="1:23" ht="23.1" customHeight="1">
      <c r="A663" s="91"/>
      <c r="B663" s="92"/>
      <c r="C663" s="92"/>
      <c r="D663" s="93"/>
      <c r="E663" s="94"/>
      <c r="F663" s="94"/>
      <c r="G663" s="94"/>
      <c r="H663" s="94"/>
      <c r="I663" s="94"/>
      <c r="J663" s="94"/>
      <c r="K663" s="94"/>
      <c r="L663" s="95"/>
      <c r="M663" s="94"/>
      <c r="N663" s="94"/>
      <c r="O663" s="94"/>
      <c r="P663" s="94"/>
      <c r="Q663" s="94"/>
      <c r="R663" s="95"/>
      <c r="S663" s="94"/>
      <c r="T663" s="94"/>
      <c r="U663" s="94"/>
      <c r="V663" s="94"/>
      <c r="W663" s="106"/>
    </row>
    <row r="664" spans="1:23" ht="23.1" customHeight="1">
      <c r="A664" s="91"/>
      <c r="B664" s="92"/>
      <c r="C664" s="92"/>
      <c r="D664" s="93"/>
      <c r="E664" s="94"/>
      <c r="F664" s="94"/>
      <c r="G664" s="94"/>
      <c r="H664" s="94"/>
      <c r="I664" s="94"/>
      <c r="J664" s="94"/>
      <c r="K664" s="94"/>
      <c r="L664" s="95"/>
      <c r="M664" s="94"/>
      <c r="N664" s="94"/>
      <c r="O664" s="94"/>
      <c r="P664" s="94"/>
      <c r="Q664" s="94"/>
      <c r="R664" s="95"/>
      <c r="S664" s="94"/>
      <c r="T664" s="94"/>
      <c r="U664" s="94"/>
      <c r="V664" s="94"/>
      <c r="W664" s="106"/>
    </row>
    <row r="665" spans="1:23" ht="23.1" customHeight="1">
      <c r="A665" s="91"/>
      <c r="B665" s="92"/>
      <c r="C665" s="92"/>
      <c r="D665" s="93"/>
      <c r="E665" s="94"/>
      <c r="F665" s="94"/>
      <c r="G665" s="94"/>
      <c r="H665" s="94"/>
      <c r="I665" s="94"/>
      <c r="J665" s="94"/>
      <c r="K665" s="94"/>
      <c r="L665" s="95"/>
      <c r="M665" s="94"/>
      <c r="N665" s="94"/>
      <c r="O665" s="94"/>
      <c r="P665" s="94"/>
      <c r="Q665" s="94"/>
      <c r="R665" s="95"/>
      <c r="S665" s="94"/>
      <c r="T665" s="94"/>
      <c r="U665" s="94"/>
      <c r="V665" s="94"/>
      <c r="W665" s="106"/>
    </row>
    <row r="666" spans="1:23" ht="23.1" customHeight="1">
      <c r="A666" s="91"/>
      <c r="B666" s="92"/>
      <c r="C666" s="92"/>
      <c r="D666" s="93"/>
      <c r="E666" s="94"/>
      <c r="F666" s="94"/>
      <c r="G666" s="94"/>
      <c r="H666" s="94"/>
      <c r="I666" s="94"/>
      <c r="J666" s="94"/>
      <c r="K666" s="94"/>
      <c r="L666" s="95"/>
      <c r="M666" s="94"/>
      <c r="N666" s="94"/>
      <c r="O666" s="94"/>
      <c r="P666" s="94"/>
      <c r="Q666" s="94"/>
      <c r="R666" s="95"/>
      <c r="S666" s="94"/>
      <c r="T666" s="94"/>
      <c r="U666" s="94"/>
      <c r="V666" s="94"/>
      <c r="W666" s="106"/>
    </row>
    <row r="667" spans="1:23" ht="23.1" customHeight="1">
      <c r="A667" s="91"/>
      <c r="B667" s="92"/>
      <c r="C667" s="92"/>
      <c r="D667" s="93"/>
      <c r="E667" s="94"/>
      <c r="F667" s="94"/>
      <c r="G667" s="94"/>
      <c r="H667" s="94"/>
      <c r="I667" s="94"/>
      <c r="J667" s="94"/>
      <c r="K667" s="94"/>
      <c r="L667" s="95"/>
      <c r="M667" s="94"/>
      <c r="N667" s="94"/>
      <c r="O667" s="94"/>
      <c r="P667" s="94"/>
      <c r="Q667" s="94"/>
      <c r="R667" s="95"/>
      <c r="S667" s="94"/>
      <c r="T667" s="94"/>
      <c r="U667" s="94"/>
      <c r="V667" s="94"/>
      <c r="W667" s="106"/>
    </row>
    <row r="668" spans="1:23" ht="23.1" customHeight="1">
      <c r="A668" s="91"/>
      <c r="B668" s="92"/>
      <c r="C668" s="92"/>
      <c r="D668" s="93"/>
      <c r="E668" s="94"/>
      <c r="F668" s="94"/>
      <c r="G668" s="94"/>
      <c r="H668" s="94"/>
      <c r="I668" s="94"/>
      <c r="J668" s="94"/>
      <c r="K668" s="94"/>
      <c r="L668" s="95"/>
      <c r="M668" s="94"/>
      <c r="N668" s="94"/>
      <c r="O668" s="94"/>
      <c r="P668" s="94"/>
      <c r="Q668" s="94"/>
      <c r="R668" s="95"/>
      <c r="S668" s="94"/>
      <c r="T668" s="94"/>
      <c r="U668" s="94"/>
      <c r="V668" s="94"/>
      <c r="W668" s="106"/>
    </row>
    <row r="669" spans="1:23" ht="23.1" customHeight="1">
      <c r="A669" s="91"/>
      <c r="B669" s="92"/>
      <c r="C669" s="92"/>
      <c r="D669" s="93"/>
      <c r="E669" s="94"/>
      <c r="F669" s="94"/>
      <c r="G669" s="94"/>
      <c r="H669" s="94"/>
      <c r="I669" s="94"/>
      <c r="J669" s="94"/>
      <c r="K669" s="94"/>
      <c r="L669" s="95"/>
      <c r="M669" s="94"/>
      <c r="N669" s="94"/>
      <c r="O669" s="94"/>
      <c r="P669" s="94"/>
      <c r="Q669" s="94"/>
      <c r="R669" s="95"/>
      <c r="S669" s="94"/>
      <c r="T669" s="94"/>
      <c r="U669" s="94"/>
      <c r="V669" s="94"/>
      <c r="W669" s="106"/>
    </row>
    <row r="670" spans="1:23" ht="23.1" customHeight="1">
      <c r="A670" s="91"/>
      <c r="B670" s="92"/>
      <c r="C670" s="92"/>
      <c r="D670" s="93"/>
      <c r="E670" s="94"/>
      <c r="F670" s="94"/>
      <c r="G670" s="94"/>
      <c r="H670" s="94"/>
      <c r="I670" s="94"/>
      <c r="J670" s="94"/>
      <c r="K670" s="94"/>
      <c r="L670" s="95"/>
      <c r="M670" s="94"/>
      <c r="N670" s="94"/>
      <c r="O670" s="94"/>
      <c r="P670" s="94"/>
      <c r="Q670" s="94"/>
      <c r="R670" s="95"/>
      <c r="S670" s="94"/>
      <c r="T670" s="94"/>
      <c r="U670" s="94"/>
      <c r="V670" s="94"/>
      <c r="W670" s="106"/>
    </row>
    <row r="671" spans="1:23" ht="23.1" customHeight="1">
      <c r="A671" s="91"/>
      <c r="B671" s="92"/>
      <c r="C671" s="92"/>
      <c r="D671" s="93"/>
      <c r="E671" s="94"/>
      <c r="F671" s="94"/>
      <c r="G671" s="94"/>
      <c r="H671" s="94"/>
      <c r="I671" s="94"/>
      <c r="J671" s="94"/>
      <c r="K671" s="94"/>
      <c r="L671" s="95"/>
      <c r="M671" s="94"/>
      <c r="N671" s="94"/>
      <c r="O671" s="94"/>
      <c r="P671" s="94"/>
      <c r="Q671" s="94"/>
      <c r="R671" s="95"/>
      <c r="S671" s="94"/>
      <c r="T671" s="94"/>
      <c r="U671" s="94"/>
      <c r="V671" s="94"/>
      <c r="W671" s="106"/>
    </row>
    <row r="672" spans="1:23" ht="23.1" customHeight="1">
      <c r="A672" s="91"/>
      <c r="B672" s="92"/>
      <c r="C672" s="92"/>
      <c r="D672" s="93"/>
      <c r="E672" s="94"/>
      <c r="F672" s="94"/>
      <c r="G672" s="94"/>
      <c r="H672" s="94"/>
      <c r="I672" s="94"/>
      <c r="J672" s="94"/>
      <c r="K672" s="94"/>
      <c r="L672" s="95"/>
      <c r="M672" s="94"/>
      <c r="N672" s="94"/>
      <c r="O672" s="94"/>
      <c r="P672" s="94"/>
      <c r="Q672" s="94"/>
      <c r="R672" s="95"/>
      <c r="S672" s="94"/>
      <c r="T672" s="94"/>
      <c r="U672" s="94"/>
      <c r="V672" s="94"/>
      <c r="W672" s="106"/>
    </row>
    <row r="673" spans="1:23" ht="23.1" customHeight="1">
      <c r="A673" s="91"/>
      <c r="B673" s="92"/>
      <c r="C673" s="92"/>
      <c r="D673" s="93"/>
      <c r="E673" s="94"/>
      <c r="F673" s="94"/>
      <c r="G673" s="94"/>
      <c r="H673" s="94"/>
      <c r="I673" s="94"/>
      <c r="J673" s="94"/>
      <c r="K673" s="94"/>
      <c r="L673" s="95"/>
      <c r="M673" s="94"/>
      <c r="N673" s="94"/>
      <c r="O673" s="94"/>
      <c r="P673" s="94"/>
      <c r="Q673" s="94"/>
      <c r="R673" s="95"/>
      <c r="S673" s="94"/>
      <c r="T673" s="94"/>
      <c r="U673" s="94"/>
      <c r="V673" s="94"/>
      <c r="W673" s="106"/>
    </row>
    <row r="674" spans="1:23" ht="23.1" customHeight="1">
      <c r="A674" s="91"/>
      <c r="B674" s="92"/>
      <c r="C674" s="92"/>
      <c r="D674" s="93"/>
      <c r="E674" s="94"/>
      <c r="F674" s="94"/>
      <c r="G674" s="94"/>
      <c r="H674" s="94"/>
      <c r="I674" s="94"/>
      <c r="J674" s="94"/>
      <c r="K674" s="94"/>
      <c r="L674" s="95"/>
      <c r="M674" s="94"/>
      <c r="N674" s="94"/>
      <c r="O674" s="94"/>
      <c r="P674" s="94"/>
      <c r="Q674" s="94"/>
      <c r="R674" s="95"/>
      <c r="S674" s="94"/>
      <c r="T674" s="94"/>
      <c r="U674" s="94"/>
      <c r="V674" s="94"/>
      <c r="W674" s="106"/>
    </row>
    <row r="675" spans="1:23" ht="23.1" customHeight="1">
      <c r="A675" s="91"/>
      <c r="B675" s="92"/>
      <c r="C675" s="92"/>
      <c r="D675" s="93"/>
      <c r="E675" s="94"/>
      <c r="F675" s="94"/>
      <c r="G675" s="94"/>
      <c r="H675" s="94"/>
      <c r="I675" s="94"/>
      <c r="J675" s="94"/>
      <c r="K675" s="94"/>
      <c r="L675" s="95"/>
      <c r="M675" s="94"/>
      <c r="N675" s="94"/>
      <c r="O675" s="94"/>
      <c r="P675" s="94"/>
      <c r="Q675" s="94"/>
      <c r="R675" s="95"/>
      <c r="S675" s="94"/>
      <c r="T675" s="94"/>
      <c r="U675" s="94"/>
      <c r="V675" s="94"/>
      <c r="W675" s="106"/>
    </row>
    <row r="676" spans="1:23" ht="23.1" customHeight="1">
      <c r="A676" s="91"/>
      <c r="B676" s="92"/>
      <c r="C676" s="92"/>
      <c r="D676" s="93"/>
      <c r="E676" s="94"/>
      <c r="F676" s="94"/>
      <c r="G676" s="94"/>
      <c r="H676" s="94"/>
      <c r="I676" s="94"/>
      <c r="J676" s="94"/>
      <c r="K676" s="94"/>
      <c r="L676" s="95"/>
      <c r="M676" s="94"/>
      <c r="N676" s="94"/>
      <c r="O676" s="94"/>
      <c r="P676" s="94"/>
      <c r="Q676" s="94"/>
      <c r="R676" s="95"/>
      <c r="S676" s="94"/>
      <c r="T676" s="94"/>
      <c r="U676" s="94"/>
      <c r="V676" s="94"/>
      <c r="W676" s="106"/>
    </row>
    <row r="677" spans="1:23" ht="23.1" customHeight="1">
      <c r="A677" s="91"/>
      <c r="B677" s="92"/>
      <c r="C677" s="92"/>
      <c r="D677" s="93"/>
      <c r="E677" s="94"/>
      <c r="F677" s="94"/>
      <c r="G677" s="94"/>
      <c r="H677" s="94"/>
      <c r="I677" s="94"/>
      <c r="J677" s="94"/>
      <c r="K677" s="94"/>
      <c r="L677" s="95"/>
      <c r="M677" s="94"/>
      <c r="N677" s="94"/>
      <c r="O677" s="94"/>
      <c r="P677" s="94"/>
      <c r="Q677" s="94"/>
      <c r="R677" s="95"/>
      <c r="S677" s="94"/>
      <c r="T677" s="94"/>
      <c r="U677" s="94"/>
      <c r="V677" s="94"/>
      <c r="W677" s="106"/>
    </row>
    <row r="678" spans="1:23" ht="23.1" customHeight="1">
      <c r="A678" s="91"/>
      <c r="B678" s="92"/>
      <c r="C678" s="92"/>
      <c r="D678" s="93"/>
      <c r="E678" s="94"/>
      <c r="F678" s="94"/>
      <c r="G678" s="94"/>
      <c r="H678" s="94"/>
      <c r="I678" s="94"/>
      <c r="J678" s="94"/>
      <c r="K678" s="94"/>
      <c r="L678" s="95"/>
      <c r="M678" s="94"/>
      <c r="N678" s="94"/>
      <c r="O678" s="94"/>
      <c r="P678" s="94"/>
      <c r="Q678" s="94"/>
      <c r="R678" s="95"/>
      <c r="S678" s="94"/>
      <c r="T678" s="94"/>
      <c r="U678" s="94"/>
      <c r="V678" s="94"/>
      <c r="W678" s="106"/>
    </row>
    <row r="679" spans="1:23" ht="23.1" customHeight="1">
      <c r="A679" s="91"/>
      <c r="B679" s="92"/>
      <c r="C679" s="92"/>
      <c r="D679" s="93"/>
      <c r="E679" s="94"/>
      <c r="F679" s="94"/>
      <c r="G679" s="94"/>
      <c r="H679" s="94"/>
      <c r="I679" s="94"/>
      <c r="J679" s="94"/>
      <c r="K679" s="94"/>
      <c r="L679" s="95"/>
      <c r="M679" s="94"/>
      <c r="N679" s="94"/>
      <c r="O679" s="94"/>
      <c r="P679" s="94"/>
      <c r="Q679" s="94"/>
      <c r="R679" s="95"/>
      <c r="S679" s="94"/>
      <c r="T679" s="94"/>
      <c r="U679" s="94"/>
      <c r="V679" s="94"/>
      <c r="W679" s="106"/>
    </row>
    <row r="680" spans="1:23" ht="23.1" customHeight="1">
      <c r="A680" s="91"/>
      <c r="B680" s="92"/>
      <c r="C680" s="92"/>
      <c r="D680" s="93"/>
      <c r="E680" s="94"/>
      <c r="F680" s="94"/>
      <c r="G680" s="94"/>
      <c r="H680" s="94"/>
      <c r="I680" s="94"/>
      <c r="J680" s="94"/>
      <c r="K680" s="94"/>
      <c r="L680" s="95"/>
      <c r="M680" s="94"/>
      <c r="N680" s="94"/>
      <c r="O680" s="94"/>
      <c r="P680" s="94"/>
      <c r="Q680" s="94"/>
      <c r="R680" s="95"/>
      <c r="S680" s="94"/>
      <c r="T680" s="94"/>
      <c r="U680" s="94"/>
      <c r="V680" s="94"/>
      <c r="W680" s="106"/>
    </row>
    <row r="681" spans="1:23" ht="23.1" customHeight="1">
      <c r="A681" s="91"/>
      <c r="B681" s="92"/>
      <c r="C681" s="92"/>
      <c r="D681" s="93"/>
      <c r="E681" s="94"/>
      <c r="F681" s="94"/>
      <c r="G681" s="94"/>
      <c r="H681" s="94"/>
      <c r="I681" s="94"/>
      <c r="J681" s="94"/>
      <c r="K681" s="94"/>
      <c r="L681" s="95"/>
      <c r="M681" s="94"/>
      <c r="N681" s="94"/>
      <c r="O681" s="94"/>
      <c r="P681" s="94"/>
      <c r="Q681" s="94"/>
      <c r="R681" s="95"/>
      <c r="S681" s="94"/>
      <c r="T681" s="94"/>
      <c r="U681" s="94"/>
      <c r="V681" s="94"/>
      <c r="W681" s="106"/>
    </row>
    <row r="682" spans="1:23" ht="23.1" customHeight="1">
      <c r="A682" s="91"/>
      <c r="B682" s="92"/>
      <c r="C682" s="92"/>
      <c r="D682" s="93"/>
      <c r="E682" s="94"/>
      <c r="F682" s="94"/>
      <c r="G682" s="94"/>
      <c r="H682" s="94"/>
      <c r="I682" s="94"/>
      <c r="J682" s="94"/>
      <c r="K682" s="94"/>
      <c r="L682" s="95"/>
      <c r="M682" s="94"/>
      <c r="N682" s="94"/>
      <c r="O682" s="94"/>
      <c r="P682" s="94"/>
      <c r="Q682" s="94"/>
      <c r="R682" s="95"/>
      <c r="S682" s="94"/>
      <c r="T682" s="94"/>
      <c r="U682" s="94"/>
      <c r="V682" s="94"/>
      <c r="W682" s="106"/>
    </row>
    <row r="683" spans="1:23" ht="23.1" customHeight="1">
      <c r="A683" s="91"/>
      <c r="B683" s="92"/>
      <c r="C683" s="92"/>
      <c r="D683" s="93"/>
      <c r="E683" s="94"/>
      <c r="F683" s="94"/>
      <c r="G683" s="94"/>
      <c r="H683" s="94"/>
      <c r="I683" s="94"/>
      <c r="J683" s="94"/>
      <c r="K683" s="94"/>
      <c r="L683" s="95"/>
      <c r="M683" s="94"/>
      <c r="N683" s="94"/>
      <c r="O683" s="94"/>
      <c r="P683" s="94"/>
      <c r="Q683" s="94"/>
      <c r="R683" s="95"/>
      <c r="S683" s="94"/>
      <c r="T683" s="94"/>
      <c r="U683" s="94"/>
      <c r="V683" s="94"/>
      <c r="W683" s="106"/>
    </row>
    <row r="684" spans="1:23" ht="23.1" customHeight="1">
      <c r="A684" s="91"/>
      <c r="B684" s="92"/>
      <c r="C684" s="92"/>
      <c r="D684" s="93"/>
      <c r="E684" s="94"/>
      <c r="F684" s="94"/>
      <c r="G684" s="94"/>
      <c r="H684" s="94"/>
      <c r="I684" s="94"/>
      <c r="J684" s="94"/>
      <c r="K684" s="94"/>
      <c r="L684" s="95"/>
      <c r="M684" s="94"/>
      <c r="N684" s="94"/>
      <c r="O684" s="94"/>
      <c r="P684" s="94"/>
      <c r="Q684" s="94"/>
      <c r="R684" s="95"/>
      <c r="S684" s="94"/>
      <c r="T684" s="94"/>
      <c r="U684" s="94"/>
      <c r="V684" s="94"/>
      <c r="W684" s="106"/>
    </row>
    <row r="685" spans="1:23" ht="23.1" customHeight="1">
      <c r="A685" s="91"/>
      <c r="B685" s="92"/>
      <c r="C685" s="92"/>
      <c r="D685" s="93"/>
      <c r="E685" s="94"/>
      <c r="F685" s="94"/>
      <c r="G685" s="94"/>
      <c r="H685" s="94"/>
      <c r="I685" s="94"/>
      <c r="J685" s="94"/>
      <c r="K685" s="94"/>
      <c r="L685" s="95"/>
      <c r="M685" s="94"/>
      <c r="N685" s="94"/>
      <c r="O685" s="94"/>
      <c r="P685" s="94"/>
      <c r="Q685" s="94"/>
      <c r="R685" s="95"/>
      <c r="S685" s="94"/>
      <c r="T685" s="94"/>
      <c r="U685" s="94"/>
      <c r="V685" s="94"/>
      <c r="W685" s="106"/>
    </row>
    <row r="686" spans="1:23" ht="23.1" customHeight="1">
      <c r="A686" s="91"/>
      <c r="B686" s="92"/>
      <c r="C686" s="92"/>
      <c r="D686" s="93"/>
      <c r="E686" s="94"/>
      <c r="F686" s="94"/>
      <c r="G686" s="94"/>
      <c r="H686" s="94"/>
      <c r="I686" s="94"/>
      <c r="J686" s="94"/>
      <c r="K686" s="94"/>
      <c r="L686" s="95"/>
      <c r="M686" s="94"/>
      <c r="N686" s="94"/>
      <c r="O686" s="94"/>
      <c r="P686" s="94"/>
      <c r="Q686" s="94"/>
      <c r="R686" s="95"/>
      <c r="S686" s="94"/>
      <c r="T686" s="94"/>
      <c r="U686" s="94"/>
      <c r="V686" s="94"/>
      <c r="W686" s="106"/>
    </row>
    <row r="687" spans="1:23" ht="23.1" customHeight="1">
      <c r="A687" s="91"/>
      <c r="B687" s="92"/>
      <c r="C687" s="92"/>
      <c r="D687" s="93"/>
      <c r="E687" s="94"/>
      <c r="F687" s="94"/>
      <c r="G687" s="94"/>
      <c r="H687" s="94"/>
      <c r="I687" s="94"/>
      <c r="J687" s="94"/>
      <c r="K687" s="94"/>
      <c r="L687" s="95"/>
      <c r="M687" s="94"/>
      <c r="N687" s="94"/>
      <c r="O687" s="94"/>
      <c r="P687" s="94"/>
      <c r="Q687" s="94"/>
      <c r="R687" s="95"/>
      <c r="S687" s="94"/>
      <c r="T687" s="94"/>
      <c r="U687" s="94"/>
      <c r="V687" s="94"/>
      <c r="W687" s="106"/>
    </row>
    <row r="688" spans="1:23" ht="23.1" customHeight="1">
      <c r="A688" s="91"/>
      <c r="B688" s="92"/>
      <c r="C688" s="92"/>
      <c r="D688" s="93"/>
      <c r="E688" s="94"/>
      <c r="F688" s="94"/>
      <c r="G688" s="94"/>
      <c r="H688" s="94"/>
      <c r="I688" s="94"/>
      <c r="J688" s="94"/>
      <c r="K688" s="94"/>
      <c r="L688" s="95"/>
      <c r="M688" s="94"/>
      <c r="N688" s="94"/>
      <c r="O688" s="94"/>
      <c r="P688" s="94"/>
      <c r="Q688" s="94"/>
      <c r="R688" s="95"/>
      <c r="S688" s="94"/>
      <c r="T688" s="94"/>
      <c r="U688" s="94"/>
      <c r="V688" s="94"/>
      <c r="W688" s="106"/>
    </row>
    <row r="689" spans="1:23" ht="23.1" customHeight="1">
      <c r="A689" s="91"/>
      <c r="B689" s="92"/>
      <c r="C689" s="92"/>
      <c r="D689" s="93"/>
      <c r="E689" s="94"/>
      <c r="F689" s="94"/>
      <c r="G689" s="94"/>
      <c r="H689" s="94"/>
      <c r="I689" s="94"/>
      <c r="J689" s="94"/>
      <c r="K689" s="94"/>
      <c r="L689" s="95"/>
      <c r="M689" s="94"/>
      <c r="N689" s="94"/>
      <c r="O689" s="94"/>
      <c r="P689" s="94"/>
      <c r="Q689" s="94"/>
      <c r="R689" s="95"/>
      <c r="S689" s="94"/>
      <c r="T689" s="94"/>
      <c r="U689" s="94"/>
      <c r="V689" s="94"/>
      <c r="W689" s="106"/>
    </row>
    <row r="690" spans="1:23" ht="23.1" customHeight="1">
      <c r="A690" s="91"/>
      <c r="B690" s="92"/>
      <c r="C690" s="92"/>
      <c r="D690" s="93"/>
      <c r="E690" s="94"/>
      <c r="F690" s="94"/>
      <c r="G690" s="94"/>
      <c r="H690" s="94"/>
      <c r="I690" s="94"/>
      <c r="J690" s="94"/>
      <c r="K690" s="94"/>
      <c r="L690" s="95"/>
      <c r="M690" s="94"/>
      <c r="N690" s="94"/>
      <c r="O690" s="94"/>
      <c r="P690" s="94"/>
      <c r="Q690" s="94"/>
      <c r="R690" s="95"/>
      <c r="S690" s="94"/>
      <c r="T690" s="94"/>
      <c r="U690" s="94"/>
      <c r="V690" s="94"/>
      <c r="W690" s="106"/>
    </row>
    <row r="691" spans="1:23" ht="23.1" customHeight="1">
      <c r="A691" s="91"/>
      <c r="B691" s="92"/>
      <c r="C691" s="92"/>
      <c r="D691" s="93"/>
      <c r="E691" s="94"/>
      <c r="F691" s="94"/>
      <c r="G691" s="94"/>
      <c r="H691" s="94"/>
      <c r="I691" s="94"/>
      <c r="J691" s="94"/>
      <c r="K691" s="94"/>
      <c r="L691" s="95"/>
      <c r="M691" s="94"/>
      <c r="N691" s="94"/>
      <c r="O691" s="94"/>
      <c r="P691" s="94"/>
      <c r="Q691" s="94"/>
      <c r="R691" s="95"/>
      <c r="S691" s="94"/>
      <c r="T691" s="94"/>
      <c r="U691" s="94"/>
      <c r="V691" s="94"/>
      <c r="W691" s="106"/>
    </row>
    <row r="692" spans="1:23" ht="23.1" customHeight="1">
      <c r="A692" s="91"/>
      <c r="B692" s="92"/>
      <c r="C692" s="92"/>
      <c r="D692" s="93"/>
      <c r="E692" s="94"/>
      <c r="F692" s="94"/>
      <c r="G692" s="94"/>
      <c r="H692" s="94"/>
      <c r="I692" s="94"/>
      <c r="J692" s="94"/>
      <c r="K692" s="94"/>
      <c r="L692" s="95"/>
      <c r="M692" s="94"/>
      <c r="N692" s="94"/>
      <c r="O692" s="94"/>
      <c r="P692" s="94"/>
      <c r="Q692" s="94"/>
      <c r="R692" s="95"/>
      <c r="S692" s="94"/>
      <c r="T692" s="94"/>
      <c r="U692" s="94"/>
      <c r="V692" s="94"/>
      <c r="W692" s="106"/>
    </row>
    <row r="693" spans="1:23" ht="23.1" customHeight="1">
      <c r="A693" s="91"/>
      <c r="B693" s="92"/>
      <c r="C693" s="92"/>
      <c r="D693" s="93"/>
      <c r="E693" s="94"/>
      <c r="F693" s="94"/>
      <c r="G693" s="94"/>
      <c r="H693" s="94"/>
      <c r="I693" s="94"/>
      <c r="J693" s="94"/>
      <c r="K693" s="94"/>
      <c r="L693" s="95"/>
      <c r="M693" s="94"/>
      <c r="N693" s="94"/>
      <c r="O693" s="94"/>
      <c r="P693" s="94"/>
      <c r="Q693" s="94"/>
      <c r="R693" s="95"/>
      <c r="S693" s="94"/>
      <c r="T693" s="94"/>
      <c r="U693" s="94"/>
      <c r="V693" s="94"/>
      <c r="W693" s="106"/>
    </row>
    <row r="694" spans="1:23" ht="23.1" customHeight="1">
      <c r="A694" s="91"/>
      <c r="B694" s="92"/>
      <c r="C694" s="92"/>
      <c r="D694" s="93"/>
      <c r="E694" s="94"/>
      <c r="F694" s="94"/>
      <c r="G694" s="94"/>
      <c r="H694" s="94"/>
      <c r="I694" s="94"/>
      <c r="J694" s="94"/>
      <c r="K694" s="94"/>
      <c r="L694" s="95"/>
      <c r="M694" s="94"/>
      <c r="N694" s="94"/>
      <c r="O694" s="94"/>
      <c r="P694" s="94"/>
      <c r="Q694" s="94"/>
      <c r="R694" s="95"/>
      <c r="S694" s="94"/>
      <c r="T694" s="94"/>
      <c r="U694" s="94"/>
      <c r="V694" s="94"/>
      <c r="W694" s="106"/>
    </row>
    <row r="695" spans="1:23" ht="23.1" customHeight="1">
      <c r="A695" s="91"/>
      <c r="B695" s="92"/>
      <c r="C695" s="92"/>
      <c r="D695" s="93"/>
      <c r="E695" s="94"/>
      <c r="F695" s="94"/>
      <c r="G695" s="94"/>
      <c r="H695" s="94"/>
      <c r="I695" s="94"/>
      <c r="J695" s="94"/>
      <c r="K695" s="94"/>
      <c r="L695" s="95"/>
      <c r="M695" s="94"/>
      <c r="N695" s="94"/>
      <c r="O695" s="94"/>
      <c r="P695" s="94"/>
      <c r="Q695" s="94"/>
      <c r="R695" s="95"/>
      <c r="S695" s="94"/>
      <c r="T695" s="94"/>
      <c r="U695" s="94"/>
      <c r="V695" s="94"/>
      <c r="W695" s="106"/>
    </row>
    <row r="696" spans="1:23" ht="23.1" customHeight="1">
      <c r="A696" s="91"/>
      <c r="B696" s="92"/>
      <c r="C696" s="92"/>
      <c r="D696" s="93"/>
      <c r="E696" s="94"/>
      <c r="F696" s="94"/>
      <c r="G696" s="94"/>
      <c r="H696" s="94"/>
      <c r="I696" s="94"/>
      <c r="J696" s="94"/>
      <c r="K696" s="94"/>
      <c r="L696" s="95"/>
      <c r="M696" s="94"/>
      <c r="N696" s="94"/>
      <c r="O696" s="94"/>
      <c r="P696" s="94"/>
      <c r="Q696" s="94"/>
      <c r="R696" s="95"/>
      <c r="S696" s="94"/>
      <c r="T696" s="94"/>
      <c r="U696" s="94"/>
      <c r="V696" s="94"/>
      <c r="W696" s="106"/>
    </row>
    <row r="697" spans="1:23" ht="23.1" customHeight="1">
      <c r="A697" s="91"/>
      <c r="B697" s="92"/>
      <c r="C697" s="92"/>
      <c r="D697" s="93"/>
      <c r="E697" s="94"/>
      <c r="F697" s="94"/>
      <c r="G697" s="94"/>
      <c r="H697" s="94"/>
      <c r="I697" s="94"/>
      <c r="J697" s="94"/>
      <c r="K697" s="94"/>
      <c r="L697" s="95"/>
      <c r="M697" s="94"/>
      <c r="N697" s="94"/>
      <c r="O697" s="94"/>
      <c r="P697" s="94"/>
      <c r="Q697" s="94"/>
      <c r="R697" s="95"/>
      <c r="S697" s="94"/>
      <c r="T697" s="94"/>
      <c r="U697" s="94"/>
      <c r="V697" s="94"/>
      <c r="W697" s="106"/>
    </row>
    <row r="698" spans="1:23" ht="23.1" customHeight="1">
      <c r="A698" s="91"/>
      <c r="B698" s="92"/>
      <c r="C698" s="92"/>
      <c r="D698" s="93"/>
      <c r="E698" s="94"/>
      <c r="F698" s="94"/>
      <c r="G698" s="94"/>
      <c r="H698" s="94"/>
      <c r="I698" s="94"/>
      <c r="J698" s="94"/>
      <c r="K698" s="94"/>
      <c r="L698" s="95"/>
      <c r="M698" s="94"/>
      <c r="N698" s="94"/>
      <c r="O698" s="94"/>
      <c r="P698" s="94"/>
      <c r="Q698" s="94"/>
      <c r="R698" s="95"/>
      <c r="S698" s="94"/>
      <c r="T698" s="94"/>
      <c r="U698" s="94"/>
      <c r="V698" s="94"/>
      <c r="W698" s="106"/>
    </row>
    <row r="699" spans="1:23" ht="23.1" customHeight="1">
      <c r="A699" s="91"/>
      <c r="B699" s="92"/>
      <c r="C699" s="92"/>
      <c r="D699" s="93"/>
      <c r="E699" s="94"/>
      <c r="F699" s="94"/>
      <c r="G699" s="94"/>
      <c r="H699" s="94"/>
      <c r="I699" s="94"/>
      <c r="J699" s="94"/>
      <c r="K699" s="94"/>
      <c r="L699" s="95"/>
      <c r="M699" s="94"/>
      <c r="N699" s="94"/>
      <c r="O699" s="94"/>
      <c r="P699" s="94"/>
      <c r="Q699" s="94"/>
      <c r="R699" s="95"/>
      <c r="S699" s="94"/>
      <c r="T699" s="94"/>
      <c r="U699" s="94"/>
      <c r="V699" s="94"/>
      <c r="W699" s="106"/>
    </row>
    <row r="700" spans="1:23" ht="23.1" customHeight="1">
      <c r="A700" s="91"/>
      <c r="B700" s="92"/>
      <c r="C700" s="92"/>
      <c r="D700" s="93"/>
      <c r="E700" s="94"/>
      <c r="F700" s="94"/>
      <c r="G700" s="94"/>
      <c r="H700" s="94"/>
      <c r="I700" s="94"/>
      <c r="J700" s="94"/>
      <c r="K700" s="94"/>
      <c r="L700" s="95"/>
      <c r="M700" s="94"/>
      <c r="N700" s="94"/>
      <c r="O700" s="94"/>
      <c r="P700" s="94"/>
      <c r="Q700" s="94"/>
      <c r="R700" s="95"/>
      <c r="S700" s="94"/>
      <c r="T700" s="94"/>
      <c r="U700" s="94"/>
      <c r="V700" s="94"/>
      <c r="W700" s="106"/>
    </row>
    <row r="701" spans="1:23" ht="23.1" customHeight="1">
      <c r="A701" s="91"/>
      <c r="B701" s="92"/>
      <c r="C701" s="92"/>
      <c r="D701" s="93"/>
      <c r="E701" s="94"/>
      <c r="F701" s="94"/>
      <c r="G701" s="94"/>
      <c r="H701" s="94"/>
      <c r="I701" s="94"/>
      <c r="J701" s="94"/>
      <c r="K701" s="94"/>
      <c r="L701" s="95"/>
      <c r="M701" s="94"/>
      <c r="N701" s="94"/>
      <c r="O701" s="94"/>
      <c r="P701" s="94"/>
      <c r="Q701" s="94"/>
      <c r="R701" s="95"/>
      <c r="S701" s="94"/>
      <c r="T701" s="94"/>
      <c r="U701" s="94"/>
      <c r="V701" s="94"/>
      <c r="W701" s="106"/>
    </row>
    <row r="702" spans="1:23" ht="23.1" customHeight="1">
      <c r="A702" s="91"/>
      <c r="B702" s="92"/>
      <c r="C702" s="92"/>
      <c r="D702" s="93"/>
      <c r="E702" s="94"/>
      <c r="F702" s="94"/>
      <c r="G702" s="94"/>
      <c r="H702" s="94"/>
      <c r="I702" s="94"/>
      <c r="J702" s="94"/>
      <c r="K702" s="94"/>
      <c r="L702" s="95"/>
      <c r="M702" s="94"/>
      <c r="N702" s="94"/>
      <c r="O702" s="94"/>
      <c r="P702" s="94"/>
      <c r="Q702" s="94"/>
      <c r="R702" s="95"/>
      <c r="S702" s="94"/>
      <c r="T702" s="94"/>
      <c r="U702" s="94"/>
      <c r="V702" s="94"/>
      <c r="W702" s="106"/>
    </row>
    <row r="703" spans="1:23" ht="23.1" customHeight="1">
      <c r="A703" s="91"/>
      <c r="B703" s="92"/>
      <c r="C703" s="92"/>
      <c r="D703" s="93"/>
      <c r="E703" s="94"/>
      <c r="F703" s="94"/>
      <c r="G703" s="94"/>
      <c r="H703" s="94"/>
      <c r="I703" s="94"/>
      <c r="J703" s="94"/>
      <c r="K703" s="94"/>
      <c r="L703" s="95"/>
      <c r="M703" s="94"/>
      <c r="N703" s="94"/>
      <c r="O703" s="94"/>
      <c r="P703" s="94"/>
      <c r="Q703" s="94"/>
      <c r="R703" s="95"/>
      <c r="S703" s="94"/>
      <c r="T703" s="94"/>
      <c r="U703" s="94"/>
      <c r="V703" s="94"/>
      <c r="W703" s="106"/>
    </row>
    <row r="704" spans="1:23" ht="23.1" customHeight="1">
      <c r="A704" s="91"/>
      <c r="B704" s="92"/>
      <c r="C704" s="92"/>
      <c r="D704" s="93"/>
      <c r="E704" s="94"/>
      <c r="F704" s="94"/>
      <c r="G704" s="94"/>
      <c r="H704" s="94"/>
      <c r="I704" s="94"/>
      <c r="J704" s="94"/>
      <c r="K704" s="94"/>
      <c r="L704" s="95"/>
      <c r="M704" s="94"/>
      <c r="N704" s="94"/>
      <c r="O704" s="94"/>
      <c r="P704" s="94"/>
      <c r="Q704" s="94"/>
      <c r="R704" s="95"/>
      <c r="S704" s="94"/>
      <c r="T704" s="94"/>
      <c r="U704" s="94"/>
      <c r="V704" s="94"/>
      <c r="W704" s="106"/>
    </row>
    <row r="705" spans="1:23" ht="23.1" customHeight="1">
      <c r="A705" s="91"/>
      <c r="B705" s="92"/>
      <c r="C705" s="92"/>
      <c r="D705" s="93"/>
      <c r="E705" s="94"/>
      <c r="F705" s="94"/>
      <c r="G705" s="94"/>
      <c r="H705" s="94"/>
      <c r="I705" s="94"/>
      <c r="J705" s="94"/>
      <c r="K705" s="94"/>
      <c r="L705" s="95"/>
      <c r="M705" s="94"/>
      <c r="N705" s="94"/>
      <c r="O705" s="94"/>
      <c r="P705" s="94"/>
      <c r="Q705" s="94"/>
      <c r="R705" s="95"/>
      <c r="S705" s="94"/>
      <c r="T705" s="94"/>
      <c r="U705" s="94"/>
      <c r="V705" s="94"/>
      <c r="W705" s="106"/>
    </row>
    <row r="706" spans="1:23" ht="23.1" customHeight="1">
      <c r="A706" s="91"/>
      <c r="B706" s="92"/>
      <c r="C706" s="92"/>
      <c r="D706" s="93"/>
      <c r="E706" s="94"/>
      <c r="F706" s="94"/>
      <c r="G706" s="94"/>
      <c r="H706" s="94"/>
      <c r="I706" s="94"/>
      <c r="J706" s="94"/>
      <c r="K706" s="94"/>
      <c r="L706" s="95"/>
      <c r="M706" s="94"/>
      <c r="N706" s="94"/>
      <c r="O706" s="94"/>
      <c r="P706" s="94"/>
      <c r="Q706" s="94"/>
      <c r="R706" s="95"/>
      <c r="S706" s="94"/>
      <c r="T706" s="94"/>
      <c r="U706" s="94"/>
      <c r="V706" s="94"/>
      <c r="W706" s="106"/>
    </row>
    <row r="707" spans="1:23" ht="23.1" customHeight="1">
      <c r="A707" s="91"/>
      <c r="B707" s="92"/>
      <c r="C707" s="92"/>
      <c r="D707" s="93"/>
      <c r="E707" s="94"/>
      <c r="F707" s="94"/>
      <c r="G707" s="94"/>
      <c r="H707" s="94"/>
      <c r="I707" s="94"/>
      <c r="J707" s="94"/>
      <c r="K707" s="94"/>
      <c r="L707" s="95"/>
      <c r="M707" s="94"/>
      <c r="N707" s="94"/>
      <c r="O707" s="94"/>
      <c r="P707" s="94"/>
      <c r="Q707" s="94"/>
      <c r="R707" s="95"/>
      <c r="S707" s="94"/>
      <c r="T707" s="94"/>
      <c r="U707" s="94"/>
      <c r="V707" s="94"/>
      <c r="W707" s="106"/>
    </row>
    <row r="708" spans="1:23" ht="23.1" customHeight="1">
      <c r="A708" s="91"/>
      <c r="B708" s="92"/>
      <c r="C708" s="92"/>
      <c r="D708" s="93"/>
      <c r="E708" s="94"/>
      <c r="F708" s="94"/>
      <c r="G708" s="94"/>
      <c r="H708" s="94"/>
      <c r="I708" s="94"/>
      <c r="J708" s="94"/>
      <c r="K708" s="94"/>
      <c r="L708" s="95"/>
      <c r="M708" s="94"/>
      <c r="N708" s="94"/>
      <c r="O708" s="94"/>
      <c r="P708" s="94"/>
      <c r="Q708" s="94"/>
      <c r="R708" s="95"/>
      <c r="S708" s="94"/>
      <c r="T708" s="94"/>
      <c r="U708" s="94"/>
      <c r="V708" s="94"/>
      <c r="W708" s="106"/>
    </row>
    <row r="709" spans="1:23" ht="23.1" customHeight="1">
      <c r="A709" s="91"/>
      <c r="B709" s="92"/>
      <c r="C709" s="92"/>
      <c r="D709" s="93"/>
      <c r="E709" s="94"/>
      <c r="F709" s="94"/>
      <c r="G709" s="94"/>
      <c r="H709" s="94"/>
      <c r="I709" s="94"/>
      <c r="J709" s="94"/>
      <c r="K709" s="94"/>
      <c r="L709" s="95"/>
      <c r="M709" s="94"/>
      <c r="N709" s="94"/>
      <c r="O709" s="94"/>
      <c r="P709" s="94"/>
      <c r="Q709" s="94"/>
      <c r="R709" s="95"/>
      <c r="S709" s="94"/>
      <c r="T709" s="94"/>
      <c r="U709" s="94"/>
      <c r="V709" s="94"/>
      <c r="W709" s="106"/>
    </row>
    <row r="710" spans="1:23" ht="23.1" customHeight="1">
      <c r="A710" s="91"/>
      <c r="B710" s="92"/>
      <c r="C710" s="92"/>
      <c r="D710" s="93"/>
      <c r="E710" s="94"/>
      <c r="F710" s="94"/>
      <c r="G710" s="94"/>
      <c r="H710" s="94"/>
      <c r="I710" s="94"/>
      <c r="J710" s="94"/>
      <c r="K710" s="94"/>
      <c r="L710" s="95"/>
      <c r="M710" s="94"/>
      <c r="N710" s="94"/>
      <c r="O710" s="94"/>
      <c r="P710" s="94"/>
      <c r="Q710" s="94"/>
      <c r="R710" s="95"/>
      <c r="S710" s="94"/>
      <c r="T710" s="94"/>
      <c r="U710" s="94"/>
      <c r="V710" s="94"/>
      <c r="W710" s="106"/>
    </row>
    <row r="711" spans="1:23" ht="23.1" customHeight="1">
      <c r="A711" s="91"/>
      <c r="B711" s="92"/>
      <c r="C711" s="92"/>
      <c r="D711" s="93"/>
      <c r="E711" s="94"/>
      <c r="F711" s="94"/>
      <c r="G711" s="94"/>
      <c r="H711" s="94"/>
      <c r="I711" s="94"/>
      <c r="J711" s="94"/>
      <c r="K711" s="94"/>
      <c r="L711" s="95"/>
      <c r="M711" s="94"/>
      <c r="N711" s="94"/>
      <c r="O711" s="94"/>
      <c r="P711" s="94"/>
      <c r="Q711" s="94"/>
      <c r="R711" s="95"/>
      <c r="S711" s="94"/>
      <c r="T711" s="94"/>
      <c r="U711" s="94"/>
      <c r="V711" s="94"/>
      <c r="W711" s="106"/>
    </row>
    <row r="712" spans="1:23" ht="23.1" customHeight="1">
      <c r="A712" s="91"/>
      <c r="B712" s="92"/>
      <c r="C712" s="92"/>
      <c r="D712" s="93"/>
      <c r="E712" s="94"/>
      <c r="F712" s="94"/>
      <c r="G712" s="94"/>
      <c r="H712" s="94"/>
      <c r="I712" s="94"/>
      <c r="J712" s="94"/>
      <c r="K712" s="94"/>
      <c r="L712" s="95"/>
      <c r="M712" s="94"/>
      <c r="N712" s="94"/>
      <c r="O712" s="94"/>
      <c r="P712" s="94"/>
      <c r="Q712" s="94"/>
      <c r="R712" s="95"/>
      <c r="S712" s="94"/>
      <c r="T712" s="94"/>
      <c r="U712" s="94"/>
      <c r="V712" s="94"/>
      <c r="W712" s="106"/>
    </row>
    <row r="713" spans="1:23" ht="23.1" customHeight="1">
      <c r="A713" s="91"/>
      <c r="B713" s="92"/>
      <c r="C713" s="92"/>
      <c r="D713" s="93"/>
      <c r="E713" s="94"/>
      <c r="F713" s="94"/>
      <c r="G713" s="94"/>
      <c r="H713" s="94"/>
      <c r="I713" s="94"/>
      <c r="J713" s="94"/>
      <c r="K713" s="94"/>
      <c r="L713" s="95"/>
      <c r="M713" s="94"/>
      <c r="N713" s="94"/>
      <c r="O713" s="94"/>
      <c r="P713" s="94"/>
      <c r="Q713" s="94"/>
      <c r="R713" s="95"/>
      <c r="S713" s="94"/>
      <c r="T713" s="94"/>
      <c r="U713" s="94"/>
      <c r="V713" s="94"/>
      <c r="W713" s="106"/>
    </row>
    <row r="714" spans="1:23" ht="23.1" customHeight="1">
      <c r="A714" s="91"/>
      <c r="B714" s="92"/>
      <c r="C714" s="92"/>
      <c r="D714" s="93"/>
      <c r="E714" s="94"/>
      <c r="F714" s="94"/>
      <c r="G714" s="94"/>
      <c r="H714" s="94"/>
      <c r="I714" s="94"/>
      <c r="J714" s="94"/>
      <c r="K714" s="94"/>
      <c r="L714" s="95"/>
      <c r="M714" s="94"/>
      <c r="N714" s="94"/>
      <c r="O714" s="94"/>
      <c r="P714" s="94"/>
      <c r="Q714" s="94"/>
      <c r="R714" s="95"/>
      <c r="S714" s="94"/>
      <c r="T714" s="94"/>
      <c r="U714" s="94"/>
      <c r="V714" s="94"/>
      <c r="W714" s="106"/>
    </row>
    <row r="715" spans="1:23" ht="23.1" customHeight="1">
      <c r="A715" s="91"/>
      <c r="B715" s="92"/>
      <c r="C715" s="92"/>
      <c r="D715" s="93"/>
      <c r="E715" s="94"/>
      <c r="F715" s="94"/>
      <c r="G715" s="94"/>
      <c r="H715" s="94"/>
      <c r="I715" s="94"/>
      <c r="J715" s="94"/>
      <c r="K715" s="94"/>
      <c r="L715" s="95"/>
      <c r="M715" s="94"/>
      <c r="N715" s="94"/>
      <c r="O715" s="94"/>
      <c r="P715" s="94"/>
      <c r="Q715" s="94"/>
      <c r="R715" s="95"/>
      <c r="S715" s="94"/>
      <c r="T715" s="94"/>
      <c r="U715" s="94"/>
      <c r="V715" s="94"/>
      <c r="W715" s="106"/>
    </row>
    <row r="716" spans="1:23" ht="23.1" customHeight="1">
      <c r="A716" s="91"/>
      <c r="B716" s="92"/>
      <c r="C716" s="92"/>
      <c r="D716" s="93"/>
      <c r="E716" s="94"/>
      <c r="F716" s="94"/>
      <c r="G716" s="94"/>
      <c r="H716" s="94"/>
      <c r="I716" s="94"/>
      <c r="J716" s="94"/>
      <c r="K716" s="94"/>
      <c r="L716" s="95"/>
      <c r="M716" s="94"/>
      <c r="N716" s="94"/>
      <c r="O716" s="94"/>
      <c r="P716" s="94"/>
      <c r="Q716" s="94"/>
      <c r="R716" s="95"/>
      <c r="S716" s="94"/>
      <c r="T716" s="94"/>
      <c r="U716" s="94"/>
      <c r="V716" s="94"/>
      <c r="W716" s="106"/>
    </row>
    <row r="717" spans="1:23" ht="23.1" customHeight="1">
      <c r="A717" s="91"/>
      <c r="B717" s="92"/>
      <c r="C717" s="92"/>
      <c r="D717" s="93"/>
      <c r="E717" s="94"/>
      <c r="F717" s="94"/>
      <c r="G717" s="94"/>
      <c r="H717" s="94"/>
      <c r="I717" s="94"/>
      <c r="J717" s="94"/>
      <c r="K717" s="94"/>
      <c r="L717" s="95"/>
      <c r="M717" s="94"/>
      <c r="N717" s="94"/>
      <c r="O717" s="94"/>
      <c r="P717" s="94"/>
      <c r="Q717" s="94"/>
      <c r="R717" s="95"/>
      <c r="S717" s="94"/>
      <c r="T717" s="94"/>
      <c r="U717" s="94"/>
      <c r="V717" s="94"/>
      <c r="W717" s="106"/>
    </row>
    <row r="718" spans="1:23" ht="23.1" customHeight="1">
      <c r="A718" s="91"/>
      <c r="B718" s="92"/>
      <c r="C718" s="92"/>
      <c r="D718" s="93"/>
      <c r="E718" s="94"/>
      <c r="F718" s="94"/>
      <c r="G718" s="94"/>
      <c r="H718" s="94"/>
      <c r="I718" s="94"/>
      <c r="J718" s="94"/>
      <c r="K718" s="94"/>
      <c r="L718" s="95"/>
      <c r="M718" s="94"/>
      <c r="N718" s="94"/>
      <c r="O718" s="94"/>
      <c r="P718" s="94"/>
      <c r="Q718" s="94"/>
      <c r="R718" s="95"/>
      <c r="S718" s="94"/>
      <c r="T718" s="94"/>
      <c r="U718" s="94"/>
      <c r="V718" s="94"/>
      <c r="W718" s="106"/>
    </row>
    <row r="719" spans="1:23" ht="23.1" customHeight="1">
      <c r="A719" s="91"/>
      <c r="B719" s="92"/>
      <c r="C719" s="92"/>
      <c r="D719" s="93"/>
      <c r="E719" s="94"/>
      <c r="F719" s="94"/>
      <c r="G719" s="94"/>
      <c r="H719" s="94"/>
      <c r="I719" s="94"/>
      <c r="J719" s="94"/>
      <c r="K719" s="94"/>
      <c r="L719" s="95"/>
      <c r="M719" s="94"/>
      <c r="N719" s="94"/>
      <c r="O719" s="94"/>
      <c r="P719" s="94"/>
      <c r="Q719" s="94"/>
      <c r="R719" s="95"/>
      <c r="S719" s="94"/>
      <c r="T719" s="94"/>
      <c r="U719" s="94"/>
      <c r="V719" s="94"/>
      <c r="W719" s="106"/>
    </row>
    <row r="720" spans="1:23" ht="23.1" customHeight="1">
      <c r="A720" s="91"/>
      <c r="B720" s="92"/>
      <c r="C720" s="92"/>
      <c r="D720" s="93"/>
      <c r="E720" s="94"/>
      <c r="F720" s="94"/>
      <c r="G720" s="94"/>
      <c r="H720" s="94"/>
      <c r="I720" s="94"/>
      <c r="J720" s="94"/>
      <c r="K720" s="94"/>
      <c r="L720" s="95"/>
      <c r="M720" s="94"/>
      <c r="N720" s="94"/>
      <c r="O720" s="94"/>
      <c r="P720" s="94"/>
      <c r="Q720" s="94"/>
      <c r="R720" s="95"/>
      <c r="S720" s="94"/>
      <c r="T720" s="94"/>
      <c r="U720" s="94"/>
      <c r="V720" s="94"/>
      <c r="W720" s="106"/>
    </row>
    <row r="721" spans="1:23" ht="23.1" customHeight="1">
      <c r="A721" s="91"/>
      <c r="B721" s="92"/>
      <c r="C721" s="92"/>
      <c r="D721" s="93"/>
      <c r="E721" s="94"/>
      <c r="F721" s="94"/>
      <c r="G721" s="94"/>
      <c r="H721" s="94"/>
      <c r="I721" s="94"/>
      <c r="J721" s="94"/>
      <c r="K721" s="94"/>
      <c r="L721" s="95"/>
      <c r="M721" s="94"/>
      <c r="N721" s="94"/>
      <c r="O721" s="94"/>
      <c r="P721" s="94"/>
      <c r="Q721" s="94"/>
      <c r="R721" s="95"/>
      <c r="S721" s="94"/>
      <c r="T721" s="94"/>
      <c r="U721" s="94"/>
      <c r="V721" s="94"/>
      <c r="W721" s="106"/>
    </row>
    <row r="722" spans="1:23" ht="23.1" customHeight="1">
      <c r="A722" s="91"/>
      <c r="B722" s="92"/>
      <c r="C722" s="92"/>
      <c r="D722" s="93"/>
      <c r="E722" s="94"/>
      <c r="F722" s="94"/>
      <c r="G722" s="94"/>
      <c r="H722" s="94"/>
      <c r="I722" s="94"/>
      <c r="J722" s="94"/>
      <c r="K722" s="94"/>
      <c r="L722" s="95"/>
      <c r="M722" s="94"/>
      <c r="N722" s="94"/>
      <c r="O722" s="94"/>
      <c r="P722" s="94"/>
      <c r="Q722" s="94"/>
      <c r="R722" s="95"/>
      <c r="S722" s="94"/>
      <c r="T722" s="94"/>
      <c r="U722" s="94"/>
      <c r="V722" s="94"/>
      <c r="W722" s="106"/>
    </row>
    <row r="723" spans="1:23" ht="23.1" customHeight="1">
      <c r="A723" s="91"/>
      <c r="B723" s="92"/>
      <c r="C723" s="92"/>
      <c r="D723" s="93"/>
      <c r="E723" s="94"/>
      <c r="F723" s="94"/>
      <c r="G723" s="94"/>
      <c r="H723" s="94"/>
      <c r="I723" s="94"/>
      <c r="J723" s="94"/>
      <c r="K723" s="94"/>
      <c r="L723" s="95"/>
      <c r="M723" s="94"/>
      <c r="N723" s="94"/>
      <c r="O723" s="94"/>
      <c r="P723" s="94"/>
      <c r="Q723" s="94"/>
      <c r="R723" s="95"/>
      <c r="S723" s="94"/>
      <c r="T723" s="94"/>
      <c r="U723" s="94"/>
      <c r="V723" s="94"/>
      <c r="W723" s="106"/>
    </row>
    <row r="724" spans="1:23" ht="23.1" customHeight="1">
      <c r="A724" s="91"/>
      <c r="B724" s="92"/>
      <c r="C724" s="92"/>
      <c r="D724" s="93"/>
      <c r="E724" s="94"/>
      <c r="F724" s="94"/>
      <c r="G724" s="94"/>
      <c r="H724" s="94"/>
      <c r="I724" s="94"/>
      <c r="J724" s="94"/>
      <c r="K724" s="94"/>
      <c r="L724" s="95"/>
      <c r="M724" s="94"/>
      <c r="N724" s="94"/>
      <c r="O724" s="94"/>
      <c r="P724" s="94"/>
      <c r="Q724" s="94"/>
      <c r="R724" s="95"/>
      <c r="S724" s="94"/>
      <c r="T724" s="94"/>
      <c r="U724" s="94"/>
      <c r="V724" s="94"/>
      <c r="W724" s="106"/>
    </row>
    <row r="725" spans="1:23" ht="23.1" customHeight="1">
      <c r="A725" s="91"/>
      <c r="B725" s="92"/>
      <c r="C725" s="92"/>
      <c r="D725" s="93"/>
      <c r="E725" s="94"/>
      <c r="F725" s="94"/>
      <c r="G725" s="94"/>
      <c r="H725" s="94"/>
      <c r="I725" s="94"/>
      <c r="J725" s="94"/>
      <c r="K725" s="94"/>
      <c r="L725" s="95"/>
      <c r="M725" s="94"/>
      <c r="N725" s="94"/>
      <c r="O725" s="94"/>
      <c r="P725" s="94"/>
      <c r="Q725" s="94"/>
      <c r="R725" s="95"/>
      <c r="S725" s="94"/>
      <c r="T725" s="94"/>
      <c r="U725" s="94"/>
      <c r="V725" s="94"/>
      <c r="W725" s="106"/>
    </row>
    <row r="726" spans="1:23" ht="23.1" customHeight="1">
      <c r="A726" s="91"/>
      <c r="B726" s="92"/>
      <c r="C726" s="92"/>
      <c r="D726" s="93"/>
      <c r="E726" s="94"/>
      <c r="F726" s="94"/>
      <c r="G726" s="94"/>
      <c r="H726" s="94"/>
      <c r="I726" s="94"/>
      <c r="J726" s="94"/>
      <c r="K726" s="94"/>
      <c r="L726" s="95"/>
      <c r="M726" s="94"/>
      <c r="N726" s="94"/>
      <c r="O726" s="94"/>
      <c r="P726" s="94"/>
      <c r="Q726" s="94"/>
      <c r="R726" s="95"/>
      <c r="S726" s="94"/>
      <c r="T726" s="94"/>
      <c r="U726" s="94"/>
      <c r="V726" s="94"/>
      <c r="W726" s="106"/>
    </row>
    <row r="727" spans="1:23" ht="23.1" customHeight="1">
      <c r="A727" s="91"/>
      <c r="B727" s="92"/>
      <c r="C727" s="92"/>
      <c r="D727" s="93"/>
      <c r="E727" s="94"/>
      <c r="F727" s="94"/>
      <c r="G727" s="94"/>
      <c r="H727" s="94"/>
      <c r="I727" s="94"/>
      <c r="J727" s="94"/>
      <c r="K727" s="94"/>
      <c r="L727" s="95"/>
      <c r="M727" s="94"/>
      <c r="N727" s="94"/>
      <c r="O727" s="94"/>
      <c r="P727" s="94"/>
      <c r="Q727" s="94"/>
      <c r="R727" s="95"/>
      <c r="S727" s="94"/>
      <c r="T727" s="94"/>
      <c r="U727" s="94"/>
      <c r="V727" s="94"/>
      <c r="W727" s="106"/>
    </row>
    <row r="728" spans="1:23" ht="23.1" customHeight="1">
      <c r="A728" s="91"/>
      <c r="B728" s="92"/>
      <c r="C728" s="92"/>
      <c r="D728" s="93"/>
      <c r="E728" s="94"/>
      <c r="F728" s="94"/>
      <c r="G728" s="94"/>
      <c r="H728" s="94"/>
      <c r="I728" s="94"/>
      <c r="J728" s="94"/>
      <c r="K728" s="94"/>
      <c r="L728" s="95"/>
      <c r="M728" s="94"/>
      <c r="N728" s="94"/>
      <c r="O728" s="94"/>
      <c r="P728" s="94"/>
      <c r="Q728" s="94"/>
      <c r="R728" s="95"/>
      <c r="S728" s="94"/>
      <c r="T728" s="94"/>
      <c r="U728" s="94"/>
      <c r="V728" s="94"/>
      <c r="W728" s="106"/>
    </row>
    <row r="729" spans="1:23" ht="23.1" customHeight="1">
      <c r="A729" s="91"/>
      <c r="B729" s="92"/>
      <c r="C729" s="92"/>
      <c r="D729" s="93"/>
      <c r="E729" s="94"/>
      <c r="F729" s="94"/>
      <c r="G729" s="94"/>
      <c r="H729" s="94"/>
      <c r="I729" s="94"/>
      <c r="J729" s="94"/>
      <c r="K729" s="94"/>
      <c r="L729" s="95"/>
      <c r="M729" s="94"/>
      <c r="N729" s="94"/>
      <c r="O729" s="94"/>
      <c r="P729" s="94"/>
      <c r="Q729" s="94"/>
      <c r="R729" s="95"/>
      <c r="S729" s="94"/>
      <c r="T729" s="94"/>
      <c r="U729" s="94"/>
      <c r="V729" s="94"/>
      <c r="W729" s="106"/>
    </row>
    <row r="730" spans="1:23" ht="23.1" customHeight="1">
      <c r="A730" s="91"/>
      <c r="B730" s="92"/>
      <c r="C730" s="92"/>
      <c r="D730" s="93"/>
      <c r="E730" s="94"/>
      <c r="F730" s="94"/>
      <c r="G730" s="94"/>
      <c r="H730" s="94"/>
      <c r="I730" s="94"/>
      <c r="J730" s="94"/>
      <c r="K730" s="94"/>
      <c r="L730" s="95"/>
      <c r="M730" s="94"/>
      <c r="N730" s="94"/>
      <c r="O730" s="94"/>
      <c r="P730" s="94"/>
      <c r="Q730" s="94"/>
      <c r="R730" s="95"/>
      <c r="S730" s="94"/>
      <c r="T730" s="94"/>
      <c r="U730" s="94"/>
      <c r="V730" s="94"/>
      <c r="W730" s="106"/>
    </row>
    <row r="731" spans="1:23" ht="23.1" customHeight="1">
      <c r="A731" s="91"/>
      <c r="B731" s="92"/>
      <c r="C731" s="92"/>
      <c r="D731" s="93"/>
      <c r="E731" s="94"/>
      <c r="F731" s="94"/>
      <c r="G731" s="94"/>
      <c r="H731" s="94"/>
      <c r="I731" s="94"/>
      <c r="J731" s="94"/>
      <c r="K731" s="94"/>
      <c r="L731" s="95"/>
      <c r="M731" s="94"/>
      <c r="N731" s="94"/>
      <c r="O731" s="94"/>
      <c r="P731" s="94"/>
      <c r="Q731" s="94"/>
      <c r="R731" s="95"/>
      <c r="S731" s="94"/>
      <c r="T731" s="94"/>
      <c r="U731" s="94"/>
      <c r="V731" s="94"/>
      <c r="W731" s="106"/>
    </row>
    <row r="732" spans="1:23" ht="23.1" customHeight="1">
      <c r="A732" s="91"/>
      <c r="B732" s="92"/>
      <c r="C732" s="92"/>
      <c r="D732" s="93"/>
      <c r="E732" s="94"/>
      <c r="F732" s="94"/>
      <c r="G732" s="94"/>
      <c r="H732" s="94"/>
      <c r="I732" s="94"/>
      <c r="J732" s="94"/>
      <c r="K732" s="94"/>
      <c r="L732" s="95"/>
      <c r="M732" s="94"/>
      <c r="N732" s="94"/>
      <c r="O732" s="94"/>
      <c r="P732" s="94"/>
      <c r="Q732" s="94"/>
      <c r="R732" s="95"/>
      <c r="S732" s="94"/>
      <c r="T732" s="94"/>
      <c r="U732" s="94"/>
      <c r="V732" s="94"/>
      <c r="W732" s="106"/>
    </row>
    <row r="733" spans="1:23" ht="23.1" customHeight="1">
      <c r="A733" s="91"/>
      <c r="B733" s="92"/>
      <c r="C733" s="92"/>
      <c r="D733" s="93"/>
      <c r="E733" s="94"/>
      <c r="F733" s="94"/>
      <c r="G733" s="94"/>
      <c r="H733" s="94"/>
      <c r="I733" s="94"/>
      <c r="J733" s="94"/>
      <c r="K733" s="94"/>
      <c r="L733" s="95"/>
      <c r="M733" s="94"/>
      <c r="N733" s="94"/>
      <c r="O733" s="94"/>
      <c r="P733" s="94"/>
      <c r="Q733" s="94"/>
      <c r="R733" s="95"/>
      <c r="S733" s="94"/>
      <c r="T733" s="94"/>
      <c r="U733" s="94"/>
      <c r="V733" s="94"/>
      <c r="W733" s="106"/>
    </row>
    <row r="734" spans="1:23" ht="23.1" customHeight="1">
      <c r="A734" s="91"/>
      <c r="B734" s="92"/>
      <c r="C734" s="92"/>
      <c r="D734" s="93"/>
      <c r="E734" s="94"/>
      <c r="F734" s="94"/>
      <c r="G734" s="94"/>
      <c r="H734" s="94"/>
      <c r="I734" s="94"/>
      <c r="J734" s="94"/>
      <c r="K734" s="94"/>
      <c r="L734" s="95"/>
      <c r="M734" s="94"/>
      <c r="N734" s="94"/>
      <c r="O734" s="94"/>
      <c r="P734" s="94"/>
      <c r="Q734" s="94"/>
      <c r="R734" s="95"/>
      <c r="S734" s="94"/>
      <c r="T734" s="94"/>
      <c r="U734" s="94"/>
      <c r="V734" s="94"/>
      <c r="W734" s="106"/>
    </row>
    <row r="735" spans="1:23" ht="23.1" customHeight="1">
      <c r="A735" s="91"/>
      <c r="B735" s="92"/>
      <c r="C735" s="92"/>
      <c r="D735" s="93"/>
      <c r="E735" s="94"/>
      <c r="F735" s="94"/>
      <c r="G735" s="94"/>
      <c r="H735" s="94"/>
      <c r="I735" s="94"/>
      <c r="J735" s="94"/>
      <c r="K735" s="94"/>
      <c r="L735" s="95"/>
      <c r="M735" s="94"/>
      <c r="N735" s="94"/>
      <c r="O735" s="94"/>
      <c r="P735" s="94"/>
      <c r="Q735" s="94"/>
      <c r="R735" s="95"/>
      <c r="S735" s="94"/>
      <c r="T735" s="94"/>
      <c r="U735" s="94"/>
      <c r="V735" s="94"/>
      <c r="W735" s="106"/>
    </row>
    <row r="736" spans="1:23" ht="23.1" customHeight="1">
      <c r="A736" s="91"/>
      <c r="B736" s="92"/>
      <c r="C736" s="92"/>
      <c r="D736" s="93"/>
      <c r="E736" s="94"/>
      <c r="F736" s="94"/>
      <c r="G736" s="94"/>
      <c r="H736" s="94"/>
      <c r="I736" s="94"/>
      <c r="J736" s="94"/>
      <c r="K736" s="94"/>
      <c r="L736" s="95"/>
      <c r="M736" s="94"/>
      <c r="N736" s="94"/>
      <c r="O736" s="94"/>
      <c r="P736" s="94"/>
      <c r="Q736" s="94"/>
      <c r="R736" s="95"/>
      <c r="S736" s="94"/>
      <c r="T736" s="94"/>
      <c r="U736" s="94"/>
      <c r="V736" s="94"/>
      <c r="W736" s="106"/>
    </row>
    <row r="737" spans="1:23" ht="23.1" customHeight="1">
      <c r="A737" s="91"/>
      <c r="B737" s="92"/>
      <c r="C737" s="92"/>
      <c r="D737" s="93"/>
      <c r="E737" s="94"/>
      <c r="F737" s="94"/>
      <c r="G737" s="94"/>
      <c r="H737" s="94"/>
      <c r="I737" s="94"/>
      <c r="J737" s="94"/>
      <c r="K737" s="94"/>
      <c r="L737" s="95"/>
      <c r="M737" s="94"/>
      <c r="N737" s="94"/>
      <c r="O737" s="94"/>
      <c r="P737" s="94"/>
      <c r="Q737" s="94"/>
      <c r="R737" s="95"/>
      <c r="S737" s="94"/>
      <c r="T737" s="94"/>
      <c r="U737" s="94"/>
      <c r="V737" s="94"/>
      <c r="W737" s="106"/>
    </row>
    <row r="738" spans="1:23" ht="23.1" customHeight="1">
      <c r="A738" s="91"/>
      <c r="B738" s="92"/>
      <c r="C738" s="92"/>
      <c r="D738" s="93"/>
      <c r="E738" s="94"/>
      <c r="F738" s="94"/>
      <c r="G738" s="94"/>
      <c r="H738" s="94"/>
      <c r="I738" s="94"/>
      <c r="J738" s="94"/>
      <c r="K738" s="94"/>
      <c r="L738" s="95"/>
      <c r="M738" s="94"/>
      <c r="N738" s="94"/>
      <c r="O738" s="94"/>
      <c r="P738" s="94"/>
      <c r="Q738" s="94"/>
      <c r="R738" s="95"/>
      <c r="S738" s="94"/>
      <c r="T738" s="94"/>
      <c r="U738" s="94"/>
      <c r="V738" s="94"/>
      <c r="W738" s="106"/>
    </row>
    <row r="739" spans="1:23" ht="23.1" customHeight="1">
      <c r="A739" s="91"/>
      <c r="B739" s="92"/>
      <c r="C739" s="92"/>
      <c r="D739" s="93"/>
      <c r="E739" s="94"/>
      <c r="F739" s="94"/>
      <c r="G739" s="94"/>
      <c r="H739" s="94"/>
      <c r="I739" s="94"/>
      <c r="J739" s="94"/>
      <c r="K739" s="94"/>
      <c r="L739" s="95"/>
      <c r="M739" s="94"/>
      <c r="N739" s="94"/>
      <c r="O739" s="94"/>
      <c r="P739" s="94"/>
      <c r="Q739" s="94"/>
      <c r="R739" s="95"/>
      <c r="S739" s="94"/>
      <c r="T739" s="94"/>
      <c r="U739" s="94"/>
      <c r="V739" s="94"/>
      <c r="W739" s="106"/>
    </row>
    <row r="740" spans="1:23" ht="23.1" customHeight="1">
      <c r="A740" s="91"/>
      <c r="B740" s="92"/>
      <c r="C740" s="92"/>
      <c r="D740" s="93"/>
      <c r="E740" s="94"/>
      <c r="F740" s="94"/>
      <c r="G740" s="94"/>
      <c r="H740" s="94"/>
      <c r="I740" s="94"/>
      <c r="J740" s="94"/>
      <c r="K740" s="94"/>
      <c r="L740" s="95"/>
      <c r="M740" s="94"/>
      <c r="N740" s="94"/>
      <c r="O740" s="94"/>
      <c r="P740" s="94"/>
      <c r="Q740" s="94"/>
      <c r="R740" s="95"/>
      <c r="S740" s="94"/>
      <c r="T740" s="94"/>
      <c r="U740" s="94"/>
      <c r="V740" s="94"/>
      <c r="W740" s="106"/>
    </row>
    <row r="741" spans="1:23" ht="23.1" customHeight="1">
      <c r="A741" s="91"/>
      <c r="B741" s="92"/>
      <c r="C741" s="92"/>
      <c r="D741" s="93"/>
      <c r="E741" s="94"/>
      <c r="F741" s="94"/>
      <c r="G741" s="94"/>
      <c r="H741" s="94"/>
      <c r="I741" s="94"/>
      <c r="J741" s="94"/>
      <c r="K741" s="94"/>
      <c r="L741" s="95"/>
      <c r="M741" s="94"/>
      <c r="N741" s="94"/>
      <c r="O741" s="94"/>
      <c r="P741" s="94"/>
      <c r="Q741" s="94"/>
      <c r="R741" s="95"/>
      <c r="S741" s="94"/>
      <c r="T741" s="94"/>
      <c r="U741" s="94"/>
      <c r="V741" s="94"/>
      <c r="W741" s="106"/>
    </row>
    <row r="742" spans="1:23" ht="23.1" customHeight="1">
      <c r="A742" s="91"/>
      <c r="B742" s="92"/>
      <c r="C742" s="92"/>
      <c r="D742" s="93"/>
      <c r="E742" s="94"/>
      <c r="F742" s="94"/>
      <c r="G742" s="94"/>
      <c r="H742" s="94"/>
      <c r="I742" s="94"/>
      <c r="J742" s="94"/>
      <c r="K742" s="94"/>
      <c r="L742" s="95"/>
      <c r="M742" s="94"/>
      <c r="N742" s="94"/>
      <c r="O742" s="94"/>
      <c r="P742" s="94"/>
      <c r="Q742" s="94"/>
      <c r="R742" s="95"/>
      <c r="S742" s="94"/>
      <c r="T742" s="94"/>
      <c r="U742" s="94"/>
      <c r="V742" s="94"/>
      <c r="W742" s="106"/>
    </row>
    <row r="743" spans="1:23" ht="23.1" customHeight="1">
      <c r="A743" s="91"/>
      <c r="B743" s="92"/>
      <c r="C743" s="92"/>
      <c r="D743" s="93"/>
      <c r="E743" s="94"/>
      <c r="F743" s="94"/>
      <c r="G743" s="94"/>
      <c r="H743" s="94"/>
      <c r="I743" s="94"/>
      <c r="J743" s="94"/>
      <c r="K743" s="94"/>
      <c r="L743" s="95"/>
      <c r="M743" s="94"/>
      <c r="N743" s="94"/>
      <c r="O743" s="94"/>
      <c r="P743" s="94"/>
      <c r="Q743" s="94"/>
      <c r="R743" s="95"/>
      <c r="S743" s="94"/>
      <c r="T743" s="94"/>
      <c r="U743" s="94"/>
      <c r="V743" s="94"/>
      <c r="W743" s="106"/>
    </row>
    <row r="744" spans="1:23" ht="23.1" customHeight="1">
      <c r="A744" s="91"/>
      <c r="B744" s="92"/>
      <c r="C744" s="92"/>
      <c r="D744" s="93"/>
      <c r="E744" s="94"/>
      <c r="F744" s="94"/>
      <c r="G744" s="94"/>
      <c r="H744" s="94"/>
      <c r="I744" s="94"/>
      <c r="J744" s="94"/>
      <c r="K744" s="94"/>
      <c r="L744" s="95"/>
      <c r="M744" s="94"/>
      <c r="N744" s="94"/>
      <c r="O744" s="94"/>
      <c r="P744" s="94"/>
      <c r="Q744" s="94"/>
      <c r="R744" s="95"/>
      <c r="S744" s="94"/>
      <c r="T744" s="94"/>
      <c r="U744" s="94"/>
      <c r="V744" s="94"/>
      <c r="W744" s="106"/>
    </row>
    <row r="745" spans="1:23" ht="23.1" customHeight="1">
      <c r="A745" s="91"/>
      <c r="B745" s="92"/>
      <c r="C745" s="92"/>
      <c r="D745" s="93"/>
      <c r="E745" s="94"/>
      <c r="F745" s="94"/>
      <c r="G745" s="94"/>
      <c r="H745" s="94"/>
      <c r="I745" s="94"/>
      <c r="J745" s="94"/>
      <c r="K745" s="94"/>
      <c r="L745" s="95"/>
      <c r="M745" s="94"/>
      <c r="N745" s="94"/>
      <c r="O745" s="94"/>
      <c r="P745" s="94"/>
      <c r="Q745" s="94"/>
      <c r="R745" s="95"/>
      <c r="S745" s="94"/>
      <c r="T745" s="94"/>
      <c r="U745" s="94"/>
      <c r="V745" s="94"/>
      <c r="W745" s="106"/>
    </row>
    <row r="746" spans="1:23" ht="23.1" customHeight="1">
      <c r="A746" s="91"/>
      <c r="B746" s="92"/>
      <c r="C746" s="92"/>
      <c r="D746" s="93"/>
      <c r="E746" s="94"/>
      <c r="F746" s="94"/>
      <c r="G746" s="94"/>
      <c r="H746" s="94"/>
      <c r="I746" s="94"/>
      <c r="J746" s="94"/>
      <c r="K746" s="94"/>
      <c r="L746" s="95"/>
      <c r="M746" s="94"/>
      <c r="N746" s="94"/>
      <c r="O746" s="94"/>
      <c r="P746" s="94"/>
      <c r="Q746" s="94"/>
      <c r="R746" s="95"/>
      <c r="S746" s="94"/>
      <c r="T746" s="94"/>
      <c r="U746" s="94"/>
      <c r="V746" s="94"/>
      <c r="W746" s="106"/>
    </row>
    <row r="747" spans="1:23" ht="23.1" customHeight="1">
      <c r="A747" s="91"/>
      <c r="B747" s="92"/>
      <c r="C747" s="92"/>
      <c r="D747" s="93"/>
      <c r="E747" s="94"/>
      <c r="F747" s="94"/>
      <c r="G747" s="94"/>
      <c r="H747" s="94"/>
      <c r="I747" s="94"/>
      <c r="J747" s="94"/>
      <c r="K747" s="94"/>
      <c r="L747" s="95"/>
      <c r="M747" s="94"/>
      <c r="N747" s="94"/>
      <c r="O747" s="94"/>
      <c r="P747" s="94"/>
      <c r="Q747" s="94"/>
      <c r="R747" s="95"/>
      <c r="S747" s="94"/>
      <c r="T747" s="94"/>
      <c r="U747" s="94"/>
      <c r="V747" s="94"/>
      <c r="W747" s="106"/>
    </row>
    <row r="748" spans="1:23" ht="23.1" customHeight="1">
      <c r="A748" s="91"/>
      <c r="B748" s="92"/>
      <c r="C748" s="92"/>
      <c r="D748" s="93"/>
      <c r="E748" s="94"/>
      <c r="F748" s="94"/>
      <c r="G748" s="94"/>
      <c r="H748" s="94"/>
      <c r="I748" s="94"/>
      <c r="J748" s="94"/>
      <c r="K748" s="94"/>
      <c r="L748" s="95"/>
      <c r="M748" s="94"/>
      <c r="N748" s="94"/>
      <c r="O748" s="94"/>
      <c r="P748" s="94"/>
      <c r="Q748" s="94"/>
      <c r="R748" s="95"/>
      <c r="S748" s="94"/>
      <c r="T748" s="94"/>
      <c r="U748" s="94"/>
      <c r="V748" s="94"/>
      <c r="W748" s="106"/>
    </row>
    <row r="749" spans="1:23" ht="23.1" customHeight="1">
      <c r="A749" s="91"/>
      <c r="B749" s="92"/>
      <c r="C749" s="92"/>
      <c r="D749" s="93"/>
      <c r="E749" s="94"/>
      <c r="F749" s="94"/>
      <c r="G749" s="94"/>
      <c r="H749" s="94"/>
      <c r="I749" s="94"/>
      <c r="J749" s="94"/>
      <c r="K749" s="94"/>
      <c r="L749" s="95"/>
      <c r="M749" s="94"/>
      <c r="N749" s="94"/>
      <c r="O749" s="94"/>
      <c r="P749" s="94"/>
      <c r="Q749" s="94"/>
      <c r="R749" s="95"/>
      <c r="S749" s="94"/>
      <c r="T749" s="94"/>
      <c r="U749" s="94"/>
      <c r="V749" s="94"/>
      <c r="W749" s="106"/>
    </row>
    <row r="750" spans="1:23" ht="23.1" customHeight="1">
      <c r="A750" s="91"/>
      <c r="B750" s="92"/>
      <c r="C750" s="92"/>
      <c r="D750" s="93"/>
      <c r="E750" s="94"/>
      <c r="F750" s="94"/>
      <c r="G750" s="94"/>
      <c r="H750" s="94"/>
      <c r="I750" s="94"/>
      <c r="J750" s="94"/>
      <c r="K750" s="94"/>
      <c r="L750" s="95"/>
      <c r="M750" s="94"/>
      <c r="N750" s="94"/>
      <c r="O750" s="94"/>
      <c r="P750" s="94"/>
      <c r="Q750" s="94"/>
      <c r="R750" s="95"/>
      <c r="S750" s="94"/>
      <c r="T750" s="94"/>
      <c r="U750" s="94"/>
      <c r="V750" s="94"/>
      <c r="W750" s="106"/>
    </row>
    <row r="751" spans="1:23" ht="23.1" customHeight="1">
      <c r="A751" s="91"/>
      <c r="B751" s="92"/>
      <c r="C751" s="92"/>
      <c r="D751" s="93"/>
      <c r="E751" s="94"/>
      <c r="F751" s="94"/>
      <c r="G751" s="94"/>
      <c r="H751" s="94"/>
      <c r="I751" s="94"/>
      <c r="J751" s="94"/>
      <c r="K751" s="94"/>
      <c r="L751" s="95"/>
      <c r="M751" s="94"/>
      <c r="N751" s="94"/>
      <c r="O751" s="94"/>
      <c r="P751" s="94"/>
      <c r="Q751" s="94"/>
      <c r="R751" s="95"/>
      <c r="S751" s="94"/>
      <c r="T751" s="94"/>
      <c r="U751" s="94"/>
      <c r="V751" s="94"/>
      <c r="W751" s="106"/>
    </row>
    <row r="752" spans="1:23" ht="23.1" customHeight="1">
      <c r="A752" s="91"/>
      <c r="B752" s="92"/>
      <c r="C752" s="92"/>
      <c r="D752" s="93"/>
      <c r="E752" s="94"/>
      <c r="F752" s="94"/>
      <c r="G752" s="94"/>
      <c r="H752" s="94"/>
      <c r="I752" s="94"/>
      <c r="J752" s="94"/>
      <c r="K752" s="94"/>
      <c r="L752" s="95"/>
      <c r="M752" s="94"/>
      <c r="N752" s="94"/>
      <c r="O752" s="94"/>
      <c r="P752" s="94"/>
      <c r="Q752" s="94"/>
      <c r="R752" s="95"/>
      <c r="S752" s="94"/>
      <c r="T752" s="94"/>
      <c r="U752" s="94"/>
      <c r="V752" s="94"/>
      <c r="W752" s="106"/>
    </row>
    <row r="753" spans="1:23" ht="23.1" customHeight="1">
      <c r="A753" s="91"/>
      <c r="B753" s="92"/>
      <c r="C753" s="92"/>
      <c r="D753" s="93"/>
      <c r="E753" s="94"/>
      <c r="F753" s="94"/>
      <c r="G753" s="94"/>
      <c r="H753" s="94"/>
      <c r="I753" s="94"/>
      <c r="J753" s="94"/>
      <c r="K753" s="94"/>
      <c r="L753" s="95"/>
      <c r="M753" s="94"/>
      <c r="N753" s="94"/>
      <c r="O753" s="94"/>
      <c r="P753" s="94"/>
      <c r="Q753" s="94"/>
      <c r="R753" s="95"/>
      <c r="S753" s="94"/>
      <c r="T753" s="94"/>
      <c r="U753" s="94"/>
      <c r="V753" s="94"/>
      <c r="W753" s="106"/>
    </row>
    <row r="754" spans="1:23" ht="23.1" customHeight="1">
      <c r="A754" s="91"/>
      <c r="B754" s="92"/>
      <c r="C754" s="92"/>
      <c r="D754" s="93"/>
      <c r="E754" s="94"/>
      <c r="F754" s="94"/>
      <c r="G754" s="94"/>
      <c r="H754" s="94"/>
      <c r="I754" s="94"/>
      <c r="J754" s="94"/>
      <c r="K754" s="94"/>
      <c r="L754" s="95"/>
      <c r="M754" s="94"/>
      <c r="N754" s="94"/>
      <c r="O754" s="94"/>
      <c r="P754" s="94"/>
      <c r="Q754" s="94"/>
      <c r="R754" s="95"/>
      <c r="S754" s="94"/>
      <c r="T754" s="94"/>
      <c r="U754" s="94"/>
      <c r="V754" s="94"/>
      <c r="W754" s="106"/>
    </row>
    <row r="755" spans="1:23" ht="23.1" customHeight="1">
      <c r="A755" s="91"/>
      <c r="B755" s="92"/>
      <c r="C755" s="92"/>
      <c r="D755" s="93"/>
      <c r="E755" s="94"/>
      <c r="F755" s="94"/>
      <c r="G755" s="94"/>
      <c r="H755" s="94"/>
      <c r="I755" s="94"/>
      <c r="J755" s="94"/>
      <c r="K755" s="94"/>
      <c r="L755" s="95"/>
      <c r="M755" s="94"/>
      <c r="N755" s="94"/>
      <c r="O755" s="94"/>
      <c r="P755" s="94"/>
      <c r="Q755" s="94"/>
      <c r="R755" s="95"/>
      <c r="S755" s="94"/>
      <c r="T755" s="94"/>
      <c r="U755" s="94"/>
      <c r="V755" s="94"/>
      <c r="W755" s="106"/>
    </row>
    <row r="756" spans="1:23" ht="23.1" customHeight="1">
      <c r="A756" s="91"/>
      <c r="B756" s="92"/>
      <c r="C756" s="92"/>
      <c r="D756" s="93"/>
      <c r="E756" s="94"/>
      <c r="F756" s="94"/>
      <c r="G756" s="94"/>
      <c r="H756" s="94"/>
      <c r="I756" s="94"/>
      <c r="J756" s="94"/>
      <c r="K756" s="94"/>
      <c r="L756" s="95"/>
      <c r="M756" s="94"/>
      <c r="N756" s="94"/>
      <c r="O756" s="94"/>
      <c r="P756" s="94"/>
      <c r="Q756" s="94"/>
      <c r="R756" s="95"/>
      <c r="S756" s="94"/>
      <c r="T756" s="94"/>
      <c r="U756" s="94"/>
      <c r="V756" s="94"/>
      <c r="W756" s="106"/>
    </row>
    <row r="757" spans="1:23" ht="23.1" customHeight="1">
      <c r="A757" s="91"/>
      <c r="B757" s="92"/>
      <c r="C757" s="92"/>
      <c r="D757" s="93"/>
      <c r="E757" s="94"/>
      <c r="F757" s="94"/>
      <c r="G757" s="94"/>
      <c r="H757" s="94"/>
      <c r="I757" s="94"/>
      <c r="J757" s="94"/>
      <c r="K757" s="94"/>
      <c r="L757" s="95"/>
      <c r="M757" s="94"/>
      <c r="N757" s="94"/>
      <c r="O757" s="94"/>
      <c r="P757" s="94"/>
      <c r="Q757" s="94"/>
      <c r="R757" s="95"/>
      <c r="S757" s="94"/>
      <c r="T757" s="94"/>
      <c r="U757" s="94"/>
      <c r="V757" s="94"/>
      <c r="W757" s="106"/>
    </row>
    <row r="758" spans="1:23" ht="23.1" customHeight="1">
      <c r="A758" s="91"/>
      <c r="B758" s="92"/>
      <c r="C758" s="92"/>
      <c r="D758" s="93"/>
      <c r="E758" s="94"/>
      <c r="F758" s="94"/>
      <c r="G758" s="94"/>
      <c r="H758" s="94"/>
      <c r="I758" s="94"/>
      <c r="J758" s="94"/>
      <c r="K758" s="94"/>
      <c r="L758" s="95"/>
      <c r="M758" s="94"/>
      <c r="N758" s="94"/>
      <c r="O758" s="94"/>
      <c r="P758" s="94"/>
      <c r="Q758" s="94"/>
      <c r="R758" s="95"/>
      <c r="S758" s="94"/>
      <c r="T758" s="94"/>
      <c r="U758" s="94"/>
      <c r="V758" s="94"/>
      <c r="W758" s="106"/>
    </row>
    <row r="759" spans="1:23" ht="23.1" customHeight="1">
      <c r="A759" s="91"/>
      <c r="B759" s="92"/>
      <c r="C759" s="92"/>
      <c r="D759" s="93"/>
      <c r="E759" s="94"/>
      <c r="F759" s="94"/>
      <c r="G759" s="94"/>
      <c r="H759" s="94"/>
      <c r="I759" s="94"/>
      <c r="J759" s="94"/>
      <c r="K759" s="94"/>
      <c r="L759" s="95"/>
      <c r="M759" s="94"/>
      <c r="N759" s="94"/>
      <c r="O759" s="94"/>
      <c r="P759" s="94"/>
      <c r="Q759" s="94"/>
      <c r="R759" s="95"/>
      <c r="S759" s="94"/>
      <c r="T759" s="94"/>
      <c r="U759" s="94"/>
      <c r="V759" s="94"/>
      <c r="W759" s="106"/>
    </row>
    <row r="760" spans="1:23" ht="23.1" customHeight="1">
      <c r="A760" s="91"/>
      <c r="B760" s="92"/>
      <c r="C760" s="92"/>
      <c r="D760" s="93"/>
      <c r="E760" s="94"/>
      <c r="F760" s="94"/>
      <c r="G760" s="94"/>
      <c r="H760" s="94"/>
      <c r="I760" s="94"/>
      <c r="J760" s="94"/>
      <c r="K760" s="94"/>
      <c r="L760" s="95"/>
      <c r="M760" s="94"/>
      <c r="N760" s="94"/>
      <c r="O760" s="94"/>
      <c r="P760" s="94"/>
      <c r="Q760" s="94"/>
      <c r="R760" s="95"/>
      <c r="S760" s="94"/>
      <c r="T760" s="94"/>
      <c r="U760" s="94"/>
      <c r="V760" s="94"/>
      <c r="W760" s="106"/>
    </row>
    <row r="761" spans="1:23" ht="23.1" customHeight="1">
      <c r="A761" s="91"/>
      <c r="B761" s="92"/>
      <c r="C761" s="92"/>
      <c r="D761" s="93"/>
      <c r="E761" s="94"/>
      <c r="F761" s="94"/>
      <c r="G761" s="94"/>
      <c r="H761" s="94"/>
      <c r="I761" s="94"/>
      <c r="J761" s="94"/>
      <c r="K761" s="94"/>
      <c r="L761" s="95"/>
      <c r="M761" s="94"/>
      <c r="N761" s="94"/>
      <c r="O761" s="94"/>
      <c r="P761" s="94"/>
      <c r="Q761" s="94"/>
      <c r="R761" s="95"/>
      <c r="S761" s="94"/>
      <c r="T761" s="94"/>
      <c r="U761" s="94"/>
      <c r="V761" s="94"/>
      <c r="W761" s="106"/>
    </row>
    <row r="762" spans="1:23" ht="23.1" customHeight="1">
      <c r="A762" s="91"/>
      <c r="B762" s="92"/>
      <c r="C762" s="92"/>
      <c r="D762" s="93"/>
      <c r="E762" s="94"/>
      <c r="F762" s="94"/>
      <c r="G762" s="94"/>
      <c r="H762" s="94"/>
      <c r="I762" s="94"/>
      <c r="J762" s="94"/>
      <c r="K762" s="94"/>
      <c r="L762" s="95"/>
      <c r="M762" s="94"/>
      <c r="N762" s="94"/>
      <c r="O762" s="94"/>
      <c r="P762" s="94"/>
      <c r="Q762" s="94"/>
      <c r="R762" s="95"/>
      <c r="S762" s="94"/>
      <c r="T762" s="94"/>
      <c r="U762" s="94"/>
      <c r="V762" s="94"/>
      <c r="W762" s="106"/>
    </row>
    <row r="763" spans="1:23" ht="23.1" customHeight="1">
      <c r="A763" s="91"/>
      <c r="B763" s="92"/>
      <c r="C763" s="92"/>
      <c r="D763" s="93"/>
      <c r="E763" s="94"/>
      <c r="F763" s="94"/>
      <c r="G763" s="94"/>
      <c r="H763" s="94"/>
      <c r="I763" s="94"/>
      <c r="J763" s="94"/>
      <c r="K763" s="94"/>
      <c r="L763" s="95"/>
      <c r="M763" s="94"/>
      <c r="N763" s="94"/>
      <c r="O763" s="94"/>
      <c r="P763" s="94"/>
      <c r="Q763" s="94"/>
      <c r="R763" s="95"/>
      <c r="S763" s="94"/>
      <c r="T763" s="94"/>
      <c r="U763" s="94"/>
      <c r="V763" s="94"/>
      <c r="W763" s="106"/>
    </row>
    <row r="764" spans="1:23" ht="23.1" customHeight="1">
      <c r="A764" s="91"/>
      <c r="B764" s="92"/>
      <c r="C764" s="92"/>
      <c r="D764" s="93"/>
      <c r="E764" s="94"/>
      <c r="F764" s="94"/>
      <c r="G764" s="94"/>
      <c r="H764" s="94"/>
      <c r="I764" s="94"/>
      <c r="J764" s="94"/>
      <c r="K764" s="94"/>
      <c r="L764" s="95"/>
      <c r="M764" s="94"/>
      <c r="N764" s="94"/>
      <c r="O764" s="94"/>
      <c r="P764" s="94"/>
      <c r="Q764" s="94"/>
      <c r="R764" s="95"/>
      <c r="S764" s="94"/>
      <c r="T764" s="94"/>
      <c r="U764" s="94"/>
      <c r="V764" s="94"/>
      <c r="W764" s="106"/>
    </row>
    <row r="765" spans="1:23" ht="23.1" customHeight="1">
      <c r="A765" s="91"/>
      <c r="B765" s="92"/>
      <c r="C765" s="92"/>
      <c r="D765" s="93"/>
      <c r="E765" s="94"/>
      <c r="F765" s="94"/>
      <c r="G765" s="94"/>
      <c r="H765" s="94"/>
      <c r="I765" s="94"/>
      <c r="J765" s="94"/>
      <c r="K765" s="94"/>
      <c r="L765" s="95"/>
      <c r="M765" s="94"/>
      <c r="N765" s="94"/>
      <c r="O765" s="94"/>
      <c r="P765" s="94"/>
      <c r="Q765" s="94"/>
      <c r="R765" s="95"/>
      <c r="S765" s="94"/>
      <c r="T765" s="94"/>
      <c r="U765" s="94"/>
      <c r="V765" s="94"/>
      <c r="W765" s="106"/>
    </row>
    <row r="766" spans="1:23" ht="23.1" customHeight="1">
      <c r="A766" s="91"/>
      <c r="B766" s="92"/>
      <c r="C766" s="92"/>
      <c r="D766" s="93"/>
      <c r="E766" s="94"/>
      <c r="F766" s="94"/>
      <c r="G766" s="94"/>
      <c r="H766" s="94"/>
      <c r="I766" s="94"/>
      <c r="J766" s="94"/>
      <c r="K766" s="94"/>
      <c r="L766" s="95"/>
      <c r="M766" s="94"/>
      <c r="N766" s="94"/>
      <c r="O766" s="94"/>
      <c r="P766" s="94"/>
      <c r="Q766" s="94"/>
      <c r="R766" s="95"/>
      <c r="S766" s="94"/>
      <c r="T766" s="94"/>
      <c r="U766" s="94"/>
      <c r="V766" s="94"/>
      <c r="W766" s="106"/>
    </row>
    <row r="767" spans="1:23" ht="23.1" customHeight="1">
      <c r="A767" s="91"/>
      <c r="B767" s="92"/>
      <c r="C767" s="92"/>
      <c r="D767" s="93"/>
      <c r="E767" s="94"/>
      <c r="F767" s="94"/>
      <c r="G767" s="94"/>
      <c r="H767" s="94"/>
      <c r="I767" s="94"/>
      <c r="J767" s="94"/>
      <c r="K767" s="94"/>
      <c r="L767" s="95"/>
      <c r="M767" s="94"/>
      <c r="N767" s="94"/>
      <c r="O767" s="94"/>
      <c r="P767" s="94"/>
      <c r="Q767" s="94"/>
      <c r="R767" s="95"/>
      <c r="S767" s="94"/>
      <c r="T767" s="94"/>
      <c r="U767" s="94"/>
      <c r="V767" s="94"/>
      <c r="W767" s="106"/>
    </row>
    <row r="768" spans="1:23" ht="23.1" customHeight="1">
      <c r="A768" s="91"/>
      <c r="B768" s="92"/>
      <c r="C768" s="92"/>
      <c r="D768" s="93"/>
      <c r="E768" s="94"/>
      <c r="F768" s="94"/>
      <c r="G768" s="94"/>
      <c r="H768" s="94"/>
      <c r="I768" s="94"/>
      <c r="J768" s="94"/>
      <c r="K768" s="94"/>
      <c r="L768" s="95"/>
      <c r="M768" s="94"/>
      <c r="N768" s="94"/>
      <c r="O768" s="94"/>
      <c r="P768" s="94"/>
      <c r="Q768" s="94"/>
      <c r="R768" s="95"/>
      <c r="S768" s="94"/>
      <c r="T768" s="94"/>
      <c r="U768" s="94"/>
      <c r="V768" s="94"/>
      <c r="W768" s="106"/>
    </row>
    <row r="769" spans="1:23" ht="23.1" customHeight="1">
      <c r="A769" s="91"/>
      <c r="B769" s="92"/>
      <c r="C769" s="92"/>
      <c r="D769" s="93"/>
      <c r="E769" s="94"/>
      <c r="F769" s="94"/>
      <c r="G769" s="94"/>
      <c r="H769" s="94"/>
      <c r="I769" s="94"/>
      <c r="J769" s="94"/>
      <c r="K769" s="94"/>
      <c r="L769" s="95"/>
      <c r="M769" s="94"/>
      <c r="N769" s="94"/>
      <c r="O769" s="94"/>
      <c r="P769" s="94"/>
      <c r="Q769" s="94"/>
      <c r="R769" s="95"/>
      <c r="S769" s="94"/>
      <c r="T769" s="94"/>
      <c r="U769" s="94"/>
      <c r="V769" s="94"/>
      <c r="W769" s="106"/>
    </row>
    <row r="770" spans="1:23" ht="23.1" customHeight="1">
      <c r="A770" s="91"/>
      <c r="B770" s="92"/>
      <c r="C770" s="92"/>
      <c r="D770" s="93"/>
      <c r="E770" s="94"/>
      <c r="F770" s="94"/>
      <c r="G770" s="94"/>
      <c r="H770" s="94"/>
      <c r="I770" s="94"/>
      <c r="J770" s="94"/>
      <c r="K770" s="94"/>
      <c r="L770" s="95"/>
      <c r="M770" s="94"/>
      <c r="N770" s="94"/>
      <c r="O770" s="94"/>
      <c r="P770" s="94"/>
      <c r="Q770" s="94"/>
      <c r="R770" s="95"/>
      <c r="S770" s="94"/>
      <c r="T770" s="94"/>
      <c r="U770" s="94"/>
      <c r="V770" s="94"/>
      <c r="W770" s="106"/>
    </row>
    <row r="771" spans="1:23" ht="23.1" customHeight="1">
      <c r="A771" s="91"/>
      <c r="B771" s="92"/>
      <c r="C771" s="92"/>
      <c r="D771" s="93"/>
      <c r="E771" s="94"/>
      <c r="F771" s="94"/>
      <c r="G771" s="94"/>
      <c r="H771" s="94"/>
      <c r="I771" s="94"/>
      <c r="J771" s="94"/>
      <c r="K771" s="94"/>
      <c r="L771" s="95"/>
      <c r="M771" s="94"/>
      <c r="N771" s="94"/>
      <c r="O771" s="94"/>
      <c r="P771" s="94"/>
      <c r="Q771" s="94"/>
      <c r="R771" s="95"/>
      <c r="S771" s="94"/>
      <c r="T771" s="94"/>
      <c r="U771" s="94"/>
      <c r="V771" s="94"/>
      <c r="W771" s="106"/>
    </row>
    <row r="772" spans="1:23" ht="23.1" customHeight="1">
      <c r="A772" s="91"/>
      <c r="B772" s="92"/>
      <c r="C772" s="92"/>
      <c r="D772" s="93"/>
      <c r="E772" s="94"/>
      <c r="F772" s="94"/>
      <c r="G772" s="94"/>
      <c r="H772" s="94"/>
      <c r="I772" s="94"/>
      <c r="J772" s="94"/>
      <c r="K772" s="94"/>
      <c r="L772" s="95"/>
      <c r="M772" s="94"/>
      <c r="N772" s="94"/>
      <c r="O772" s="94"/>
      <c r="P772" s="94"/>
      <c r="Q772" s="94"/>
      <c r="R772" s="95"/>
      <c r="S772" s="94"/>
      <c r="T772" s="94"/>
      <c r="U772" s="94"/>
      <c r="V772" s="94"/>
      <c r="W772" s="106"/>
    </row>
    <row r="773" spans="1:23" ht="23.1" customHeight="1">
      <c r="A773" s="91"/>
      <c r="B773" s="92"/>
      <c r="C773" s="92"/>
      <c r="D773" s="93"/>
      <c r="E773" s="94"/>
      <c r="F773" s="94"/>
      <c r="G773" s="94"/>
      <c r="H773" s="94"/>
      <c r="I773" s="94"/>
      <c r="J773" s="94"/>
      <c r="K773" s="94"/>
      <c r="L773" s="95"/>
      <c r="M773" s="94"/>
      <c r="N773" s="94"/>
      <c r="O773" s="94"/>
      <c r="P773" s="94"/>
      <c r="Q773" s="94"/>
      <c r="R773" s="95"/>
      <c r="S773" s="94"/>
      <c r="T773" s="94"/>
      <c r="U773" s="94"/>
      <c r="V773" s="94"/>
      <c r="W773" s="106"/>
    </row>
    <row r="774" spans="1:23" ht="23.1" customHeight="1">
      <c r="A774" s="91"/>
      <c r="B774" s="92"/>
      <c r="C774" s="92"/>
      <c r="D774" s="93"/>
      <c r="E774" s="94"/>
      <c r="F774" s="94"/>
      <c r="G774" s="94"/>
      <c r="H774" s="94"/>
      <c r="I774" s="94"/>
      <c r="J774" s="94"/>
      <c r="K774" s="94"/>
      <c r="L774" s="95"/>
      <c r="M774" s="94"/>
      <c r="N774" s="94"/>
      <c r="O774" s="94"/>
      <c r="P774" s="94"/>
      <c r="Q774" s="94"/>
      <c r="R774" s="95"/>
      <c r="S774" s="94"/>
      <c r="T774" s="94"/>
      <c r="U774" s="94"/>
      <c r="V774" s="94"/>
      <c r="W774" s="106"/>
    </row>
    <row r="775" spans="1:23" ht="23.1" customHeight="1">
      <c r="A775" s="91"/>
      <c r="B775" s="92"/>
      <c r="C775" s="92"/>
      <c r="D775" s="93"/>
      <c r="E775" s="94"/>
      <c r="F775" s="94"/>
      <c r="G775" s="94"/>
      <c r="H775" s="94"/>
      <c r="I775" s="94"/>
      <c r="J775" s="94"/>
      <c r="K775" s="94"/>
      <c r="L775" s="95"/>
      <c r="M775" s="94"/>
      <c r="N775" s="94"/>
      <c r="O775" s="94"/>
      <c r="P775" s="94"/>
      <c r="Q775" s="94"/>
      <c r="R775" s="95"/>
      <c r="S775" s="94"/>
      <c r="T775" s="94"/>
      <c r="U775" s="94"/>
      <c r="V775" s="94"/>
      <c r="W775" s="106"/>
    </row>
    <row r="776" spans="1:23" ht="23.1" customHeight="1">
      <c r="A776" s="91"/>
      <c r="B776" s="92"/>
      <c r="C776" s="92"/>
      <c r="D776" s="93"/>
      <c r="E776" s="94"/>
      <c r="F776" s="94"/>
      <c r="G776" s="94"/>
      <c r="H776" s="94"/>
      <c r="I776" s="94"/>
      <c r="J776" s="94"/>
      <c r="K776" s="94"/>
      <c r="L776" s="95"/>
      <c r="M776" s="94"/>
      <c r="N776" s="94"/>
      <c r="O776" s="94"/>
      <c r="P776" s="94"/>
      <c r="Q776" s="94"/>
      <c r="R776" s="95"/>
      <c r="S776" s="94"/>
      <c r="T776" s="94"/>
      <c r="U776" s="94"/>
      <c r="V776" s="94"/>
      <c r="W776" s="106"/>
    </row>
    <row r="777" spans="1:23" ht="23.1" customHeight="1">
      <c r="A777" s="91"/>
      <c r="B777" s="92"/>
      <c r="C777" s="92"/>
      <c r="D777" s="93"/>
      <c r="E777" s="94"/>
      <c r="F777" s="94"/>
      <c r="G777" s="94"/>
      <c r="H777" s="94"/>
      <c r="I777" s="94"/>
      <c r="J777" s="94"/>
      <c r="K777" s="94"/>
      <c r="L777" s="95"/>
      <c r="M777" s="94"/>
      <c r="N777" s="94"/>
      <c r="O777" s="94"/>
      <c r="P777" s="94"/>
      <c r="Q777" s="94"/>
      <c r="R777" s="95"/>
      <c r="S777" s="94"/>
      <c r="T777" s="94"/>
      <c r="U777" s="94"/>
      <c r="V777" s="94"/>
      <c r="W777" s="106"/>
    </row>
    <row r="778" spans="1:23" ht="23.1" customHeight="1">
      <c r="A778" s="91"/>
      <c r="B778" s="92"/>
      <c r="C778" s="92"/>
      <c r="D778" s="93"/>
      <c r="E778" s="94"/>
      <c r="F778" s="94"/>
      <c r="G778" s="94"/>
      <c r="H778" s="94"/>
      <c r="I778" s="94"/>
      <c r="J778" s="94"/>
      <c r="K778" s="94"/>
      <c r="L778" s="95"/>
      <c r="M778" s="94"/>
      <c r="N778" s="94"/>
      <c r="O778" s="94"/>
      <c r="P778" s="94"/>
      <c r="Q778" s="94"/>
      <c r="R778" s="95"/>
      <c r="S778" s="94"/>
      <c r="T778" s="94"/>
      <c r="U778" s="94"/>
      <c r="V778" s="94"/>
      <c r="W778" s="106"/>
    </row>
    <row r="779" spans="1:23" ht="23.1" customHeight="1">
      <c r="A779" s="91"/>
      <c r="B779" s="92"/>
      <c r="C779" s="92"/>
      <c r="D779" s="93"/>
      <c r="E779" s="94"/>
      <c r="F779" s="94"/>
      <c r="G779" s="94"/>
      <c r="H779" s="94"/>
      <c r="I779" s="94"/>
      <c r="J779" s="94"/>
      <c r="K779" s="94"/>
      <c r="L779" s="95"/>
      <c r="M779" s="94"/>
      <c r="N779" s="94"/>
      <c r="O779" s="94"/>
      <c r="P779" s="94"/>
      <c r="Q779" s="94"/>
      <c r="R779" s="95"/>
      <c r="S779" s="94"/>
      <c r="T779" s="94"/>
      <c r="U779" s="94"/>
      <c r="V779" s="94"/>
      <c r="W779" s="106"/>
    </row>
    <row r="780" spans="1:23" ht="23.1" customHeight="1">
      <c r="A780" s="91"/>
      <c r="B780" s="92"/>
      <c r="C780" s="92"/>
      <c r="D780" s="93"/>
      <c r="E780" s="94"/>
      <c r="F780" s="94"/>
      <c r="G780" s="94"/>
      <c r="H780" s="94"/>
      <c r="I780" s="94"/>
      <c r="J780" s="94"/>
      <c r="K780" s="94"/>
      <c r="L780" s="95"/>
      <c r="M780" s="94"/>
      <c r="N780" s="94"/>
      <c r="O780" s="94"/>
      <c r="P780" s="94"/>
      <c r="Q780" s="94"/>
      <c r="R780" s="95"/>
      <c r="S780" s="94"/>
      <c r="T780" s="94"/>
      <c r="U780" s="94"/>
      <c r="V780" s="94"/>
      <c r="W780" s="106"/>
    </row>
    <row r="781" spans="1:23" ht="23.1" customHeight="1">
      <c r="A781" s="91"/>
      <c r="B781" s="92"/>
      <c r="C781" s="92"/>
      <c r="D781" s="93"/>
      <c r="E781" s="94"/>
      <c r="F781" s="94"/>
      <c r="G781" s="94"/>
      <c r="H781" s="94"/>
      <c r="I781" s="94"/>
      <c r="J781" s="94"/>
      <c r="K781" s="94"/>
      <c r="L781" s="95"/>
      <c r="M781" s="94"/>
      <c r="N781" s="94"/>
      <c r="O781" s="94"/>
      <c r="P781" s="94"/>
      <c r="Q781" s="94"/>
      <c r="R781" s="95"/>
      <c r="S781" s="94"/>
      <c r="T781" s="94"/>
      <c r="U781" s="94"/>
      <c r="V781" s="94"/>
      <c r="W781" s="106"/>
    </row>
    <row r="782" spans="1:23" ht="23.1" customHeight="1">
      <c r="A782" s="91"/>
      <c r="B782" s="92"/>
      <c r="C782" s="92"/>
      <c r="D782" s="93"/>
      <c r="E782" s="94"/>
      <c r="F782" s="94"/>
      <c r="G782" s="94"/>
      <c r="H782" s="94"/>
      <c r="I782" s="94"/>
      <c r="J782" s="94"/>
      <c r="K782" s="94"/>
      <c r="L782" s="95"/>
      <c r="M782" s="94"/>
      <c r="N782" s="94"/>
      <c r="O782" s="94"/>
      <c r="P782" s="94"/>
      <c r="Q782" s="94"/>
      <c r="R782" s="95"/>
      <c r="S782" s="94"/>
      <c r="T782" s="94"/>
      <c r="U782" s="94"/>
      <c r="V782" s="94"/>
      <c r="W782" s="106"/>
    </row>
    <row r="783" spans="1:23" ht="23.1" customHeight="1">
      <c r="A783" s="91"/>
      <c r="B783" s="92"/>
      <c r="C783" s="92"/>
      <c r="D783" s="93"/>
      <c r="E783" s="94"/>
      <c r="F783" s="94"/>
      <c r="G783" s="94"/>
      <c r="H783" s="94"/>
      <c r="I783" s="94"/>
      <c r="J783" s="94"/>
      <c r="K783" s="94"/>
      <c r="L783" s="95"/>
      <c r="M783" s="94"/>
      <c r="N783" s="94"/>
      <c r="O783" s="94"/>
      <c r="P783" s="94"/>
      <c r="Q783" s="94"/>
      <c r="R783" s="95"/>
      <c r="S783" s="94"/>
      <c r="T783" s="94"/>
      <c r="U783" s="94"/>
      <c r="V783" s="94"/>
      <c r="W783" s="106"/>
    </row>
    <row r="784" spans="1:23" ht="23.1" customHeight="1">
      <c r="A784" s="91"/>
      <c r="B784" s="92"/>
      <c r="C784" s="92"/>
      <c r="D784" s="93"/>
      <c r="E784" s="94"/>
      <c r="F784" s="94"/>
      <c r="G784" s="94"/>
      <c r="H784" s="94"/>
      <c r="I784" s="94"/>
      <c r="J784" s="94"/>
      <c r="K784" s="94"/>
      <c r="L784" s="95"/>
      <c r="M784" s="94"/>
      <c r="N784" s="94"/>
      <c r="O784" s="94"/>
      <c r="P784" s="94"/>
      <c r="Q784" s="94"/>
      <c r="R784" s="95"/>
      <c r="S784" s="94"/>
      <c r="T784" s="94"/>
      <c r="U784" s="94"/>
      <c r="V784" s="94"/>
      <c r="W784" s="106"/>
    </row>
    <row r="785" spans="1:23" ht="23.1" customHeight="1">
      <c r="A785" s="91"/>
      <c r="B785" s="92"/>
      <c r="C785" s="92"/>
      <c r="D785" s="93"/>
      <c r="E785" s="94"/>
      <c r="F785" s="94"/>
      <c r="G785" s="94"/>
      <c r="H785" s="94"/>
      <c r="I785" s="94"/>
      <c r="J785" s="94"/>
      <c r="K785" s="94"/>
      <c r="L785" s="95"/>
      <c r="M785" s="94"/>
      <c r="N785" s="94"/>
      <c r="O785" s="94"/>
      <c r="P785" s="94"/>
      <c r="Q785" s="94"/>
      <c r="R785" s="95"/>
      <c r="S785" s="94"/>
      <c r="T785" s="94"/>
      <c r="U785" s="94"/>
      <c r="V785" s="94"/>
      <c r="W785" s="106"/>
    </row>
    <row r="786" spans="1:23" ht="23.1" customHeight="1">
      <c r="A786" s="91"/>
      <c r="B786" s="92"/>
      <c r="C786" s="92"/>
      <c r="D786" s="93"/>
      <c r="E786" s="94"/>
      <c r="F786" s="94"/>
      <c r="G786" s="94"/>
      <c r="H786" s="94"/>
      <c r="I786" s="94"/>
      <c r="J786" s="94"/>
      <c r="K786" s="94"/>
      <c r="L786" s="95"/>
      <c r="M786" s="94"/>
      <c r="N786" s="94"/>
      <c r="O786" s="94"/>
      <c r="P786" s="94"/>
      <c r="Q786" s="94"/>
      <c r="R786" s="95"/>
      <c r="S786" s="94"/>
      <c r="T786" s="94"/>
      <c r="U786" s="94"/>
      <c r="V786" s="94"/>
      <c r="W786" s="106"/>
    </row>
    <row r="787" spans="1:23" ht="23.1" customHeight="1">
      <c r="A787" s="91"/>
      <c r="B787" s="92"/>
      <c r="C787" s="92"/>
      <c r="D787" s="93"/>
      <c r="E787" s="94"/>
      <c r="F787" s="94"/>
      <c r="G787" s="94"/>
      <c r="H787" s="94"/>
      <c r="I787" s="94"/>
      <c r="J787" s="94"/>
      <c r="K787" s="94"/>
      <c r="L787" s="95"/>
      <c r="M787" s="94"/>
      <c r="N787" s="94"/>
      <c r="O787" s="94"/>
      <c r="P787" s="94"/>
      <c r="Q787" s="94"/>
      <c r="R787" s="95"/>
      <c r="S787" s="94"/>
      <c r="T787" s="94"/>
      <c r="U787" s="94"/>
      <c r="V787" s="94"/>
      <c r="W787" s="106"/>
    </row>
    <row r="788" spans="1:23" ht="23.1" customHeight="1">
      <c r="A788" s="91"/>
      <c r="B788" s="92"/>
      <c r="C788" s="92"/>
      <c r="D788" s="93"/>
      <c r="E788" s="94"/>
      <c r="F788" s="94"/>
      <c r="G788" s="94"/>
      <c r="H788" s="94"/>
      <c r="I788" s="94"/>
      <c r="J788" s="94"/>
      <c r="K788" s="94"/>
      <c r="L788" s="95"/>
      <c r="M788" s="94"/>
      <c r="N788" s="94"/>
      <c r="O788" s="94"/>
      <c r="P788" s="94"/>
      <c r="Q788" s="94"/>
      <c r="R788" s="95"/>
      <c r="S788" s="94"/>
      <c r="T788" s="94"/>
      <c r="U788" s="94"/>
      <c r="V788" s="94"/>
      <c r="W788" s="106"/>
    </row>
    <row r="789" spans="1:23" ht="23.1" customHeight="1">
      <c r="A789" s="91"/>
      <c r="B789" s="92"/>
      <c r="C789" s="92"/>
      <c r="D789" s="93"/>
      <c r="E789" s="94"/>
      <c r="F789" s="94"/>
      <c r="G789" s="94"/>
      <c r="H789" s="94"/>
      <c r="I789" s="94"/>
      <c r="J789" s="94"/>
      <c r="K789" s="94"/>
      <c r="L789" s="95"/>
      <c r="M789" s="94"/>
      <c r="N789" s="94"/>
      <c r="O789" s="94"/>
      <c r="P789" s="94"/>
      <c r="Q789" s="94"/>
      <c r="R789" s="95"/>
      <c r="S789" s="94"/>
      <c r="T789" s="94"/>
      <c r="U789" s="94"/>
      <c r="V789" s="94"/>
      <c r="W789" s="106"/>
    </row>
    <row r="790" spans="1:23" ht="23.1" customHeight="1">
      <c r="A790" s="91"/>
      <c r="B790" s="92"/>
      <c r="C790" s="92"/>
      <c r="D790" s="93"/>
      <c r="E790" s="94"/>
      <c r="F790" s="94"/>
      <c r="G790" s="94"/>
      <c r="H790" s="94"/>
      <c r="I790" s="94"/>
      <c r="J790" s="94"/>
      <c r="K790" s="94"/>
      <c r="L790" s="95"/>
      <c r="M790" s="94"/>
      <c r="N790" s="94"/>
      <c r="O790" s="94"/>
      <c r="P790" s="94"/>
      <c r="Q790" s="94"/>
      <c r="R790" s="95"/>
      <c r="S790" s="94"/>
      <c r="T790" s="94"/>
      <c r="U790" s="94"/>
      <c r="V790" s="94"/>
      <c r="W790" s="106"/>
    </row>
    <row r="791" spans="1:23" ht="23.1" customHeight="1">
      <c r="A791" s="91"/>
      <c r="B791" s="92"/>
      <c r="C791" s="92"/>
      <c r="D791" s="93"/>
      <c r="E791" s="94"/>
      <c r="F791" s="94"/>
      <c r="G791" s="94"/>
      <c r="H791" s="94"/>
      <c r="I791" s="94"/>
      <c r="J791" s="94"/>
      <c r="K791" s="94"/>
      <c r="L791" s="95"/>
      <c r="M791" s="94"/>
      <c r="N791" s="94"/>
      <c r="O791" s="94"/>
      <c r="P791" s="94"/>
      <c r="Q791" s="94"/>
      <c r="R791" s="95"/>
      <c r="S791" s="94"/>
      <c r="T791" s="94"/>
      <c r="U791" s="94"/>
      <c r="V791" s="94"/>
      <c r="W791" s="106"/>
    </row>
    <row r="792" spans="1:23" ht="23.1" customHeight="1">
      <c r="A792" s="91"/>
      <c r="B792" s="92"/>
      <c r="C792" s="92"/>
      <c r="D792" s="93"/>
      <c r="E792" s="94"/>
      <c r="F792" s="94"/>
      <c r="G792" s="94"/>
      <c r="H792" s="94"/>
      <c r="I792" s="94"/>
      <c r="J792" s="94"/>
      <c r="K792" s="94"/>
      <c r="L792" s="95"/>
      <c r="M792" s="94"/>
      <c r="N792" s="94"/>
      <c r="O792" s="94"/>
      <c r="P792" s="94"/>
      <c r="Q792" s="94"/>
      <c r="R792" s="95"/>
      <c r="S792" s="94"/>
      <c r="T792" s="94"/>
      <c r="U792" s="94"/>
      <c r="V792" s="94"/>
      <c r="W792" s="106"/>
    </row>
    <row r="793" spans="1:23" ht="23.1" customHeight="1">
      <c r="A793" s="91"/>
      <c r="B793" s="92"/>
      <c r="C793" s="92"/>
      <c r="D793" s="93"/>
      <c r="E793" s="94"/>
      <c r="F793" s="94"/>
      <c r="G793" s="94"/>
      <c r="H793" s="94"/>
      <c r="I793" s="94"/>
      <c r="J793" s="94"/>
      <c r="K793" s="94"/>
      <c r="L793" s="95"/>
      <c r="M793" s="94"/>
      <c r="N793" s="94"/>
      <c r="O793" s="94"/>
      <c r="P793" s="94"/>
      <c r="Q793" s="94"/>
      <c r="R793" s="95"/>
      <c r="S793" s="94"/>
      <c r="T793" s="94"/>
      <c r="U793" s="94"/>
      <c r="V793" s="94"/>
      <c r="W793" s="106"/>
    </row>
    <row r="794" spans="1:23" ht="23.1" customHeight="1">
      <c r="A794" s="91"/>
      <c r="B794" s="92"/>
      <c r="C794" s="92"/>
      <c r="D794" s="93"/>
      <c r="E794" s="94"/>
      <c r="F794" s="94"/>
      <c r="G794" s="94"/>
      <c r="H794" s="94"/>
      <c r="I794" s="94"/>
      <c r="J794" s="94"/>
      <c r="K794" s="94"/>
      <c r="L794" s="95"/>
      <c r="M794" s="94"/>
      <c r="N794" s="94"/>
      <c r="O794" s="94"/>
      <c r="P794" s="94"/>
      <c r="Q794" s="94"/>
      <c r="R794" s="95"/>
      <c r="S794" s="94"/>
      <c r="T794" s="94"/>
      <c r="U794" s="94"/>
      <c r="V794" s="94"/>
      <c r="W794" s="106"/>
    </row>
    <row r="795" spans="1:23" ht="23.1" customHeight="1">
      <c r="A795" s="91"/>
      <c r="B795" s="92"/>
      <c r="C795" s="92"/>
      <c r="D795" s="93"/>
      <c r="E795" s="94"/>
      <c r="F795" s="94"/>
      <c r="G795" s="94"/>
      <c r="H795" s="94"/>
      <c r="I795" s="94"/>
      <c r="J795" s="94"/>
      <c r="K795" s="94"/>
      <c r="L795" s="95"/>
      <c r="M795" s="94"/>
      <c r="N795" s="94"/>
      <c r="O795" s="94"/>
      <c r="P795" s="94"/>
      <c r="Q795" s="94"/>
      <c r="R795" s="95"/>
      <c r="S795" s="94"/>
      <c r="T795" s="94"/>
      <c r="U795" s="94"/>
      <c r="V795" s="94"/>
      <c r="W795" s="106"/>
    </row>
    <row r="796" spans="1:23" ht="23.1" customHeight="1">
      <c r="A796" s="91"/>
      <c r="B796" s="92"/>
      <c r="C796" s="92"/>
      <c r="D796" s="93"/>
      <c r="E796" s="94"/>
      <c r="F796" s="94"/>
      <c r="G796" s="94"/>
      <c r="H796" s="94"/>
      <c r="I796" s="94"/>
      <c r="J796" s="94"/>
      <c r="K796" s="94"/>
      <c r="L796" s="95"/>
      <c r="M796" s="94"/>
      <c r="N796" s="94"/>
      <c r="O796" s="94"/>
      <c r="P796" s="94"/>
      <c r="Q796" s="94"/>
      <c r="R796" s="95"/>
      <c r="S796" s="94"/>
      <c r="T796" s="94"/>
      <c r="U796" s="94"/>
      <c r="V796" s="94"/>
      <c r="W796" s="106"/>
    </row>
    <row r="797" spans="1:23" ht="23.1" customHeight="1">
      <c r="A797" s="91"/>
      <c r="B797" s="92"/>
      <c r="C797" s="92"/>
      <c r="D797" s="93"/>
      <c r="E797" s="94"/>
      <c r="F797" s="94"/>
      <c r="G797" s="94"/>
      <c r="H797" s="94"/>
      <c r="I797" s="94"/>
      <c r="J797" s="94"/>
      <c r="K797" s="94"/>
      <c r="L797" s="95"/>
      <c r="M797" s="94"/>
      <c r="N797" s="94"/>
      <c r="O797" s="94"/>
      <c r="P797" s="94"/>
      <c r="Q797" s="94"/>
      <c r="R797" s="95"/>
      <c r="S797" s="94"/>
      <c r="T797" s="94"/>
      <c r="U797" s="94"/>
      <c r="V797" s="94"/>
      <c r="W797" s="106"/>
    </row>
    <row r="798" spans="1:23" ht="23.1" customHeight="1">
      <c r="A798" s="91"/>
      <c r="B798" s="92"/>
      <c r="C798" s="92"/>
      <c r="D798" s="93"/>
      <c r="E798" s="94"/>
      <c r="F798" s="94"/>
      <c r="G798" s="94"/>
      <c r="H798" s="94"/>
      <c r="I798" s="94"/>
      <c r="J798" s="94"/>
      <c r="K798" s="94"/>
      <c r="L798" s="95"/>
      <c r="M798" s="94"/>
      <c r="N798" s="94"/>
      <c r="O798" s="94"/>
      <c r="P798" s="94"/>
      <c r="Q798" s="94"/>
      <c r="R798" s="95"/>
      <c r="S798" s="94"/>
      <c r="T798" s="94"/>
      <c r="U798" s="94"/>
      <c r="V798" s="94"/>
      <c r="W798" s="106"/>
    </row>
    <row r="799" spans="1:23" ht="23.1" customHeight="1">
      <c r="A799" s="91"/>
      <c r="B799" s="92"/>
      <c r="C799" s="92"/>
      <c r="D799" s="93"/>
      <c r="E799" s="94"/>
      <c r="F799" s="94"/>
      <c r="G799" s="94"/>
      <c r="H799" s="94"/>
      <c r="I799" s="94"/>
      <c r="J799" s="94"/>
      <c r="K799" s="94"/>
      <c r="L799" s="95"/>
      <c r="M799" s="94"/>
      <c r="N799" s="94"/>
      <c r="O799" s="94"/>
      <c r="P799" s="94"/>
      <c r="Q799" s="94"/>
      <c r="R799" s="95"/>
      <c r="S799" s="94"/>
      <c r="T799" s="94"/>
      <c r="U799" s="94"/>
      <c r="V799" s="94"/>
      <c r="W799" s="106"/>
    </row>
    <row r="800" spans="1:23" ht="23.1" customHeight="1">
      <c r="A800" s="91"/>
      <c r="B800" s="92"/>
      <c r="C800" s="92"/>
      <c r="D800" s="93"/>
      <c r="E800" s="94"/>
      <c r="F800" s="94"/>
      <c r="G800" s="94"/>
      <c r="H800" s="94"/>
      <c r="I800" s="94"/>
      <c r="J800" s="94"/>
      <c r="K800" s="94"/>
      <c r="L800" s="95"/>
      <c r="M800" s="94"/>
      <c r="N800" s="94"/>
      <c r="O800" s="94"/>
      <c r="P800" s="94"/>
      <c r="Q800" s="94"/>
      <c r="R800" s="95"/>
      <c r="S800" s="94"/>
      <c r="T800" s="94"/>
      <c r="U800" s="94"/>
      <c r="V800" s="94"/>
      <c r="W800" s="106"/>
    </row>
    <row r="801" spans="1:23" ht="23.1" customHeight="1">
      <c r="A801" s="91"/>
      <c r="B801" s="92"/>
      <c r="C801" s="92"/>
      <c r="D801" s="93"/>
      <c r="E801" s="94"/>
      <c r="F801" s="94"/>
      <c r="G801" s="94"/>
      <c r="H801" s="94"/>
      <c r="I801" s="94"/>
      <c r="J801" s="94"/>
      <c r="K801" s="94"/>
      <c r="L801" s="95"/>
      <c r="M801" s="94"/>
      <c r="N801" s="94"/>
      <c r="O801" s="94"/>
      <c r="P801" s="94"/>
      <c r="Q801" s="94"/>
      <c r="R801" s="95"/>
      <c r="S801" s="94"/>
      <c r="T801" s="94"/>
      <c r="U801" s="94"/>
      <c r="V801" s="94"/>
      <c r="W801" s="106"/>
    </row>
    <row r="802" spans="1:23" ht="23.1" customHeight="1">
      <c r="A802" s="91"/>
      <c r="B802" s="92"/>
      <c r="C802" s="92"/>
      <c r="D802" s="93"/>
      <c r="E802" s="94"/>
      <c r="F802" s="94"/>
      <c r="G802" s="94"/>
      <c r="H802" s="94"/>
      <c r="I802" s="94"/>
      <c r="J802" s="94"/>
      <c r="K802" s="94"/>
      <c r="L802" s="95"/>
      <c r="M802" s="94"/>
      <c r="N802" s="94"/>
      <c r="O802" s="94"/>
      <c r="P802" s="94"/>
      <c r="Q802" s="94"/>
      <c r="R802" s="95"/>
      <c r="S802" s="94"/>
      <c r="T802" s="94"/>
      <c r="U802" s="94"/>
      <c r="V802" s="94"/>
      <c r="W802" s="106"/>
    </row>
    <row r="803" spans="1:23" ht="23.1" customHeight="1">
      <c r="A803" s="91"/>
      <c r="B803" s="92"/>
      <c r="C803" s="92"/>
      <c r="D803" s="93"/>
      <c r="E803" s="94"/>
      <c r="F803" s="94"/>
      <c r="G803" s="94"/>
      <c r="H803" s="94"/>
      <c r="I803" s="94"/>
      <c r="J803" s="94"/>
      <c r="K803" s="94"/>
      <c r="L803" s="95"/>
      <c r="M803" s="94"/>
      <c r="N803" s="94"/>
      <c r="O803" s="94"/>
      <c r="P803" s="94"/>
      <c r="Q803" s="94"/>
      <c r="R803" s="95"/>
      <c r="S803" s="94"/>
      <c r="T803" s="94"/>
      <c r="U803" s="94"/>
      <c r="V803" s="94"/>
      <c r="W803" s="106"/>
    </row>
    <row r="804" spans="1:23" ht="23.1" customHeight="1">
      <c r="A804" s="91"/>
      <c r="B804" s="92"/>
      <c r="C804" s="92"/>
      <c r="D804" s="93"/>
      <c r="E804" s="94"/>
      <c r="F804" s="94"/>
      <c r="G804" s="94"/>
      <c r="H804" s="94"/>
      <c r="I804" s="94"/>
      <c r="J804" s="94"/>
      <c r="K804" s="94"/>
      <c r="L804" s="95"/>
      <c r="M804" s="94"/>
      <c r="N804" s="94"/>
      <c r="O804" s="94"/>
      <c r="P804" s="94"/>
      <c r="Q804" s="94"/>
      <c r="R804" s="95"/>
      <c r="S804" s="94"/>
      <c r="T804" s="94"/>
      <c r="U804" s="94"/>
      <c r="V804" s="94"/>
      <c r="W804" s="106"/>
    </row>
    <row r="805" spans="1:23" ht="23.1" customHeight="1">
      <c r="A805" s="91"/>
      <c r="B805" s="92"/>
      <c r="C805" s="92"/>
      <c r="D805" s="93"/>
      <c r="E805" s="94"/>
      <c r="F805" s="94"/>
      <c r="G805" s="94"/>
      <c r="H805" s="94"/>
      <c r="I805" s="94"/>
      <c r="J805" s="94"/>
      <c r="K805" s="94"/>
      <c r="L805" s="95"/>
      <c r="M805" s="94"/>
      <c r="N805" s="94"/>
      <c r="O805" s="94"/>
      <c r="P805" s="94"/>
      <c r="Q805" s="94"/>
      <c r="R805" s="95"/>
      <c r="S805" s="94"/>
      <c r="T805" s="94"/>
      <c r="U805" s="94"/>
      <c r="V805" s="94"/>
      <c r="W805" s="106"/>
    </row>
    <row r="806" spans="1:23" ht="23.1" customHeight="1">
      <c r="A806" s="91"/>
      <c r="B806" s="92"/>
      <c r="C806" s="92"/>
      <c r="D806" s="93"/>
      <c r="E806" s="94"/>
      <c r="F806" s="94"/>
      <c r="G806" s="94"/>
      <c r="H806" s="94"/>
      <c r="I806" s="94"/>
      <c r="J806" s="94"/>
      <c r="K806" s="94"/>
      <c r="L806" s="95"/>
      <c r="M806" s="94"/>
      <c r="N806" s="94"/>
      <c r="O806" s="94"/>
      <c r="P806" s="94"/>
      <c r="Q806" s="94"/>
      <c r="R806" s="95"/>
      <c r="S806" s="94"/>
      <c r="T806" s="94"/>
      <c r="U806" s="94"/>
      <c r="V806" s="94"/>
      <c r="W806" s="106"/>
    </row>
    <row r="807" spans="1:23" ht="23.1" customHeight="1">
      <c r="A807" s="91"/>
      <c r="B807" s="92"/>
      <c r="C807" s="92"/>
      <c r="D807" s="93"/>
      <c r="E807" s="94"/>
      <c r="F807" s="94"/>
      <c r="G807" s="94"/>
      <c r="H807" s="94"/>
      <c r="I807" s="94"/>
      <c r="J807" s="94"/>
      <c r="K807" s="94"/>
      <c r="L807" s="95"/>
      <c r="M807" s="94"/>
      <c r="N807" s="94"/>
      <c r="O807" s="94"/>
      <c r="P807" s="94"/>
      <c r="Q807" s="94"/>
      <c r="R807" s="95"/>
      <c r="S807" s="94"/>
      <c r="T807" s="94"/>
      <c r="U807" s="94"/>
      <c r="V807" s="94"/>
      <c r="W807" s="106"/>
    </row>
    <row r="808" spans="1:23" ht="23.1" customHeight="1">
      <c r="A808" s="91"/>
      <c r="B808" s="92"/>
      <c r="C808" s="92"/>
      <c r="D808" s="93"/>
      <c r="E808" s="94"/>
      <c r="F808" s="94"/>
      <c r="G808" s="94"/>
      <c r="H808" s="94"/>
      <c r="I808" s="94"/>
      <c r="J808" s="94"/>
      <c r="K808" s="94"/>
      <c r="L808" s="95"/>
      <c r="M808" s="94"/>
      <c r="N808" s="94"/>
      <c r="O808" s="94"/>
      <c r="P808" s="94"/>
      <c r="Q808" s="94"/>
      <c r="R808" s="95"/>
      <c r="S808" s="94"/>
      <c r="T808" s="94"/>
      <c r="U808" s="94"/>
      <c r="V808" s="94"/>
      <c r="W808" s="106"/>
    </row>
    <row r="809" spans="1:23" ht="23.1" customHeight="1">
      <c r="A809" s="91"/>
      <c r="B809" s="92"/>
      <c r="C809" s="92"/>
      <c r="D809" s="93"/>
      <c r="E809" s="94"/>
      <c r="F809" s="94"/>
      <c r="G809" s="94"/>
      <c r="H809" s="94"/>
      <c r="I809" s="94"/>
      <c r="J809" s="94"/>
      <c r="K809" s="94"/>
      <c r="L809" s="95"/>
      <c r="M809" s="94"/>
      <c r="N809" s="94"/>
      <c r="O809" s="94"/>
      <c r="P809" s="94"/>
      <c r="Q809" s="94"/>
      <c r="R809" s="95"/>
      <c r="S809" s="94"/>
      <c r="T809" s="94"/>
      <c r="U809" s="94"/>
      <c r="V809" s="94"/>
      <c r="W809" s="106"/>
    </row>
    <row r="810" spans="1:23" ht="23.1" customHeight="1">
      <c r="A810" s="91"/>
      <c r="B810" s="92"/>
      <c r="C810" s="92"/>
      <c r="D810" s="93"/>
      <c r="E810" s="94"/>
      <c r="F810" s="94"/>
      <c r="G810" s="94"/>
      <c r="H810" s="94"/>
      <c r="I810" s="94"/>
      <c r="J810" s="94"/>
      <c r="K810" s="94"/>
      <c r="L810" s="95"/>
      <c r="M810" s="94"/>
      <c r="N810" s="94"/>
      <c r="O810" s="94"/>
      <c r="P810" s="94"/>
      <c r="Q810" s="94"/>
      <c r="R810" s="95"/>
      <c r="S810" s="94"/>
      <c r="T810" s="94"/>
      <c r="U810" s="94"/>
      <c r="V810" s="94"/>
      <c r="W810" s="106"/>
    </row>
    <row r="811" spans="1:23" ht="23.1" customHeight="1">
      <c r="A811" s="91"/>
      <c r="B811" s="92"/>
      <c r="C811" s="92"/>
      <c r="D811" s="93"/>
      <c r="E811" s="94"/>
      <c r="F811" s="94"/>
      <c r="G811" s="94"/>
      <c r="H811" s="94"/>
      <c r="I811" s="94"/>
      <c r="J811" s="94"/>
      <c r="K811" s="94"/>
      <c r="L811" s="95"/>
      <c r="M811" s="94"/>
      <c r="N811" s="94"/>
      <c r="O811" s="94"/>
      <c r="P811" s="94"/>
      <c r="Q811" s="94"/>
      <c r="R811" s="95"/>
      <c r="S811" s="94"/>
      <c r="T811" s="94"/>
      <c r="U811" s="94"/>
      <c r="V811" s="94"/>
      <c r="W811" s="106"/>
    </row>
    <row r="812" spans="1:23" ht="23.1" customHeight="1">
      <c r="A812" s="91"/>
      <c r="B812" s="92"/>
      <c r="C812" s="92"/>
      <c r="D812" s="93"/>
      <c r="E812" s="94"/>
      <c r="F812" s="94"/>
      <c r="G812" s="94"/>
      <c r="H812" s="94"/>
      <c r="I812" s="94"/>
      <c r="J812" s="94"/>
      <c r="K812" s="94"/>
      <c r="L812" s="95"/>
      <c r="M812" s="94"/>
      <c r="N812" s="94"/>
      <c r="O812" s="94"/>
      <c r="P812" s="94"/>
      <c r="Q812" s="94"/>
      <c r="R812" s="95"/>
      <c r="S812" s="94"/>
      <c r="T812" s="94"/>
      <c r="U812" s="94"/>
      <c r="V812" s="94"/>
      <c r="W812" s="106"/>
    </row>
    <row r="813" spans="1:23" ht="23.1" customHeight="1">
      <c r="A813" s="91"/>
      <c r="B813" s="92"/>
      <c r="C813" s="92"/>
      <c r="D813" s="93"/>
      <c r="E813" s="94"/>
      <c r="F813" s="94"/>
      <c r="G813" s="94"/>
      <c r="H813" s="94"/>
      <c r="I813" s="94"/>
      <c r="J813" s="94"/>
      <c r="K813" s="94"/>
      <c r="L813" s="95"/>
      <c r="M813" s="94"/>
      <c r="N813" s="94"/>
      <c r="O813" s="94"/>
      <c r="P813" s="94"/>
      <c r="Q813" s="94"/>
      <c r="R813" s="95"/>
      <c r="S813" s="94"/>
      <c r="T813" s="94"/>
      <c r="U813" s="94"/>
      <c r="V813" s="94"/>
      <c r="W813" s="106"/>
    </row>
    <row r="814" spans="1:23" ht="23.1" customHeight="1">
      <c r="A814" s="91"/>
      <c r="B814" s="92"/>
      <c r="C814" s="92"/>
      <c r="D814" s="93"/>
      <c r="E814" s="94"/>
      <c r="F814" s="94"/>
      <c r="G814" s="94"/>
      <c r="H814" s="94"/>
      <c r="I814" s="94"/>
      <c r="J814" s="94"/>
      <c r="K814" s="94"/>
      <c r="L814" s="95"/>
      <c r="M814" s="94"/>
      <c r="N814" s="94"/>
      <c r="O814" s="94"/>
      <c r="P814" s="94"/>
      <c r="Q814" s="94"/>
      <c r="R814" s="95"/>
      <c r="S814" s="94"/>
      <c r="T814" s="94"/>
      <c r="U814" s="94"/>
      <c r="V814" s="94"/>
      <c r="W814" s="106"/>
    </row>
    <row r="815" spans="1:23" ht="23.1" customHeight="1">
      <c r="A815" s="91"/>
      <c r="B815" s="92"/>
      <c r="C815" s="92"/>
      <c r="D815" s="93"/>
      <c r="E815" s="94"/>
      <c r="F815" s="94"/>
      <c r="G815" s="94"/>
      <c r="H815" s="94"/>
      <c r="I815" s="94"/>
      <c r="J815" s="94"/>
      <c r="K815" s="94"/>
      <c r="L815" s="95"/>
      <c r="M815" s="94"/>
      <c r="N815" s="94"/>
      <c r="O815" s="94"/>
      <c r="P815" s="94"/>
      <c r="Q815" s="94"/>
      <c r="R815" s="95"/>
      <c r="S815" s="94"/>
      <c r="T815" s="94"/>
      <c r="U815" s="94"/>
      <c r="V815" s="94"/>
      <c r="W815" s="106"/>
    </row>
    <row r="816" spans="1:23" ht="23.1" customHeight="1">
      <c r="A816" s="91"/>
      <c r="B816" s="92"/>
      <c r="C816" s="92"/>
      <c r="D816" s="93"/>
      <c r="E816" s="94"/>
      <c r="F816" s="94"/>
      <c r="G816" s="94"/>
      <c r="H816" s="94"/>
      <c r="I816" s="94"/>
      <c r="J816" s="94"/>
      <c r="K816" s="94"/>
      <c r="L816" s="95"/>
      <c r="M816" s="94"/>
      <c r="N816" s="94"/>
      <c r="O816" s="94"/>
      <c r="P816" s="94"/>
      <c r="Q816" s="94"/>
      <c r="R816" s="95"/>
      <c r="S816" s="94"/>
      <c r="T816" s="94"/>
      <c r="U816" s="94"/>
      <c r="V816" s="94"/>
      <c r="W816" s="106"/>
    </row>
    <row r="817" spans="1:23" ht="23.1" customHeight="1">
      <c r="A817" s="91"/>
      <c r="B817" s="92"/>
      <c r="C817" s="92"/>
      <c r="D817" s="93"/>
      <c r="E817" s="94"/>
      <c r="F817" s="94"/>
      <c r="G817" s="94"/>
      <c r="H817" s="94"/>
      <c r="I817" s="94"/>
      <c r="J817" s="94"/>
      <c r="K817" s="94"/>
      <c r="L817" s="95"/>
      <c r="M817" s="94"/>
      <c r="N817" s="94"/>
      <c r="O817" s="94"/>
      <c r="P817" s="94"/>
      <c r="Q817" s="94"/>
      <c r="R817" s="95"/>
      <c r="S817" s="94"/>
      <c r="T817" s="94"/>
      <c r="U817" s="94"/>
      <c r="V817" s="94"/>
      <c r="W817" s="106"/>
    </row>
    <row r="818" spans="1:23" ht="23.1" customHeight="1">
      <c r="A818" s="91"/>
      <c r="B818" s="92"/>
      <c r="C818" s="92"/>
      <c r="D818" s="93"/>
      <c r="E818" s="94"/>
      <c r="F818" s="94"/>
      <c r="G818" s="94"/>
      <c r="H818" s="94"/>
      <c r="I818" s="94"/>
      <c r="J818" s="94"/>
      <c r="K818" s="94"/>
      <c r="L818" s="95"/>
      <c r="M818" s="94"/>
      <c r="N818" s="94"/>
      <c r="O818" s="94"/>
      <c r="P818" s="94"/>
      <c r="Q818" s="94"/>
      <c r="R818" s="95"/>
      <c r="S818" s="94"/>
      <c r="T818" s="94"/>
      <c r="U818" s="94"/>
      <c r="V818" s="94"/>
      <c r="W818" s="106"/>
    </row>
    <row r="819" spans="1:23" ht="23.1" customHeight="1">
      <c r="A819" s="91"/>
      <c r="B819" s="92"/>
      <c r="C819" s="92"/>
      <c r="D819" s="93"/>
      <c r="E819" s="94"/>
      <c r="F819" s="94"/>
      <c r="G819" s="94"/>
      <c r="H819" s="94"/>
      <c r="I819" s="94"/>
      <c r="J819" s="94"/>
      <c r="K819" s="94"/>
      <c r="L819" s="95"/>
      <c r="M819" s="94"/>
      <c r="N819" s="94"/>
      <c r="O819" s="94"/>
      <c r="P819" s="94"/>
      <c r="Q819" s="94"/>
      <c r="R819" s="95"/>
      <c r="S819" s="94"/>
      <c r="T819" s="94"/>
      <c r="U819" s="94"/>
      <c r="V819" s="94"/>
      <c r="W819" s="106"/>
    </row>
    <row r="820" spans="1:23" ht="23.1" customHeight="1">
      <c r="A820" s="91"/>
      <c r="B820" s="92"/>
      <c r="C820" s="92"/>
      <c r="D820" s="93"/>
      <c r="E820" s="94"/>
      <c r="F820" s="94"/>
      <c r="G820" s="94"/>
      <c r="H820" s="94"/>
      <c r="I820" s="94"/>
      <c r="J820" s="94"/>
      <c r="K820" s="94"/>
      <c r="L820" s="95"/>
      <c r="M820" s="94"/>
      <c r="N820" s="94"/>
      <c r="O820" s="94"/>
      <c r="P820" s="94"/>
      <c r="Q820" s="94"/>
      <c r="R820" s="95"/>
      <c r="S820" s="94"/>
      <c r="T820" s="94"/>
      <c r="U820" s="94"/>
      <c r="V820" s="94"/>
      <c r="W820" s="106"/>
    </row>
    <row r="821" spans="1:23" ht="23.1" customHeight="1">
      <c r="A821" s="91"/>
      <c r="B821" s="92"/>
      <c r="C821" s="92"/>
      <c r="D821" s="93"/>
      <c r="E821" s="94"/>
      <c r="F821" s="94"/>
      <c r="G821" s="94"/>
      <c r="H821" s="94"/>
      <c r="I821" s="94"/>
      <c r="J821" s="94"/>
      <c r="K821" s="94"/>
      <c r="L821" s="95"/>
      <c r="M821" s="94"/>
      <c r="N821" s="94"/>
      <c r="O821" s="94"/>
      <c r="P821" s="94"/>
      <c r="Q821" s="94"/>
      <c r="R821" s="95"/>
      <c r="S821" s="94"/>
      <c r="T821" s="94"/>
      <c r="U821" s="94"/>
      <c r="V821" s="94"/>
      <c r="W821" s="106"/>
    </row>
    <row r="822" spans="1:23" ht="23.1" customHeight="1">
      <c r="A822" s="91"/>
      <c r="B822" s="92"/>
      <c r="C822" s="92"/>
      <c r="D822" s="93"/>
      <c r="E822" s="94"/>
      <c r="F822" s="94"/>
      <c r="G822" s="94"/>
      <c r="H822" s="94"/>
      <c r="I822" s="94"/>
      <c r="J822" s="94"/>
      <c r="K822" s="94"/>
      <c r="L822" s="95"/>
      <c r="M822" s="94"/>
      <c r="N822" s="94"/>
      <c r="O822" s="94"/>
      <c r="P822" s="94"/>
      <c r="Q822" s="94"/>
      <c r="R822" s="95"/>
      <c r="S822" s="94"/>
      <c r="T822" s="94"/>
      <c r="U822" s="94"/>
      <c r="V822" s="94"/>
      <c r="W822" s="106"/>
    </row>
    <row r="823" spans="1:23" ht="23.1" customHeight="1">
      <c r="A823" s="91"/>
      <c r="B823" s="92"/>
      <c r="C823" s="92"/>
      <c r="D823" s="93"/>
      <c r="E823" s="94"/>
      <c r="F823" s="94"/>
      <c r="G823" s="94"/>
      <c r="H823" s="94"/>
      <c r="I823" s="94"/>
      <c r="J823" s="94"/>
      <c r="K823" s="94"/>
      <c r="L823" s="95"/>
      <c r="M823" s="94"/>
      <c r="N823" s="94"/>
      <c r="O823" s="94"/>
      <c r="P823" s="94"/>
      <c r="Q823" s="94"/>
      <c r="R823" s="95"/>
      <c r="S823" s="94"/>
      <c r="T823" s="94"/>
      <c r="U823" s="94"/>
      <c r="V823" s="94"/>
      <c r="W823" s="106"/>
    </row>
    <row r="824" spans="1:23" ht="23.1" customHeight="1">
      <c r="A824" s="91"/>
      <c r="B824" s="92"/>
      <c r="C824" s="92"/>
      <c r="D824" s="93"/>
      <c r="E824" s="94"/>
      <c r="F824" s="94"/>
      <c r="G824" s="94"/>
      <c r="H824" s="94"/>
      <c r="I824" s="94"/>
      <c r="J824" s="94"/>
      <c r="K824" s="94"/>
      <c r="L824" s="95"/>
      <c r="M824" s="94"/>
      <c r="N824" s="94"/>
      <c r="O824" s="94"/>
      <c r="P824" s="94"/>
      <c r="Q824" s="94"/>
      <c r="R824" s="95"/>
      <c r="S824" s="94"/>
      <c r="T824" s="94"/>
      <c r="U824" s="94"/>
      <c r="V824" s="94"/>
      <c r="W824" s="106"/>
    </row>
    <row r="825" spans="1:23" ht="23.1" customHeight="1">
      <c r="A825" s="91"/>
      <c r="B825" s="92"/>
      <c r="C825" s="92"/>
      <c r="D825" s="93"/>
      <c r="E825" s="94"/>
      <c r="F825" s="94"/>
      <c r="G825" s="94"/>
      <c r="H825" s="94"/>
      <c r="I825" s="94"/>
      <c r="J825" s="94"/>
      <c r="K825" s="94"/>
      <c r="L825" s="95"/>
      <c r="M825" s="94"/>
      <c r="N825" s="94"/>
      <c r="O825" s="94"/>
      <c r="P825" s="94"/>
      <c r="Q825" s="94"/>
      <c r="R825" s="95"/>
      <c r="S825" s="94"/>
      <c r="T825" s="94"/>
      <c r="U825" s="94"/>
      <c r="V825" s="94"/>
      <c r="W825" s="106"/>
    </row>
    <row r="826" spans="1:23" ht="23.1" customHeight="1">
      <c r="A826" s="91"/>
      <c r="B826" s="92"/>
      <c r="C826" s="92"/>
      <c r="D826" s="93"/>
      <c r="E826" s="94"/>
      <c r="F826" s="94"/>
      <c r="G826" s="94"/>
      <c r="H826" s="94"/>
      <c r="I826" s="94"/>
      <c r="J826" s="94"/>
      <c r="K826" s="94"/>
      <c r="L826" s="95"/>
      <c r="M826" s="94"/>
      <c r="N826" s="94"/>
      <c r="O826" s="94"/>
      <c r="P826" s="94"/>
      <c r="Q826" s="94"/>
      <c r="R826" s="95"/>
      <c r="S826" s="94"/>
      <c r="T826" s="94"/>
      <c r="U826" s="94"/>
      <c r="V826" s="94"/>
      <c r="W826" s="106"/>
    </row>
    <row r="827" spans="1:23" ht="23.1" customHeight="1">
      <c r="A827" s="91"/>
      <c r="B827" s="92"/>
      <c r="C827" s="92"/>
      <c r="D827" s="93"/>
      <c r="E827" s="94"/>
      <c r="F827" s="94"/>
      <c r="G827" s="94"/>
      <c r="H827" s="94"/>
      <c r="I827" s="94"/>
      <c r="J827" s="94"/>
      <c r="K827" s="94"/>
      <c r="L827" s="95"/>
      <c r="M827" s="94"/>
      <c r="N827" s="94"/>
      <c r="O827" s="94"/>
      <c r="P827" s="94"/>
      <c r="Q827" s="94"/>
      <c r="R827" s="95"/>
      <c r="S827" s="94"/>
      <c r="T827" s="94"/>
      <c r="U827" s="94"/>
      <c r="V827" s="94"/>
      <c r="W827" s="106"/>
    </row>
    <row r="828" spans="1:23" ht="23.1" customHeight="1">
      <c r="A828" s="91"/>
      <c r="B828" s="92"/>
      <c r="C828" s="92"/>
      <c r="D828" s="93"/>
      <c r="E828" s="94"/>
      <c r="F828" s="94"/>
      <c r="G828" s="94"/>
      <c r="H828" s="94"/>
      <c r="I828" s="94"/>
      <c r="J828" s="94"/>
      <c r="K828" s="94"/>
      <c r="L828" s="95"/>
      <c r="M828" s="94"/>
      <c r="N828" s="94"/>
      <c r="O828" s="94"/>
      <c r="P828" s="94"/>
      <c r="Q828" s="94"/>
      <c r="R828" s="95"/>
      <c r="S828" s="94"/>
      <c r="T828" s="94"/>
      <c r="U828" s="94"/>
      <c r="V828" s="94"/>
      <c r="W828" s="106"/>
    </row>
    <row r="829" spans="1:23" ht="23.1" customHeight="1">
      <c r="A829" s="91"/>
      <c r="B829" s="92"/>
      <c r="C829" s="92"/>
      <c r="D829" s="93"/>
      <c r="E829" s="94"/>
      <c r="F829" s="94"/>
      <c r="G829" s="94"/>
      <c r="H829" s="94"/>
      <c r="I829" s="94"/>
      <c r="J829" s="94"/>
      <c r="K829" s="94"/>
      <c r="L829" s="95"/>
      <c r="M829" s="94"/>
      <c r="N829" s="94"/>
      <c r="O829" s="94"/>
      <c r="P829" s="94"/>
      <c r="Q829" s="94"/>
      <c r="R829" s="95"/>
      <c r="S829" s="94"/>
      <c r="T829" s="94"/>
      <c r="U829" s="94"/>
      <c r="V829" s="94"/>
      <c r="W829" s="106"/>
    </row>
    <row r="830" spans="1:23" ht="23.1" customHeight="1">
      <c r="A830" s="91"/>
      <c r="B830" s="92"/>
      <c r="C830" s="92"/>
      <c r="D830" s="93"/>
      <c r="E830" s="94"/>
      <c r="F830" s="94"/>
      <c r="G830" s="94"/>
      <c r="H830" s="94"/>
      <c r="I830" s="94"/>
      <c r="J830" s="94"/>
      <c r="K830" s="94"/>
      <c r="L830" s="95"/>
      <c r="M830" s="94"/>
      <c r="N830" s="94"/>
      <c r="O830" s="94"/>
      <c r="P830" s="94"/>
      <c r="Q830" s="94"/>
      <c r="R830" s="95"/>
      <c r="S830" s="94"/>
      <c r="T830" s="94"/>
      <c r="U830" s="94"/>
      <c r="V830" s="94"/>
      <c r="W830" s="106"/>
    </row>
    <row r="831" spans="1:23" ht="23.1" customHeight="1">
      <c r="A831" s="91"/>
      <c r="B831" s="92"/>
      <c r="C831" s="92"/>
      <c r="D831" s="93"/>
      <c r="E831" s="94"/>
      <c r="F831" s="94"/>
      <c r="G831" s="94"/>
      <c r="H831" s="94"/>
      <c r="I831" s="94"/>
      <c r="J831" s="94"/>
      <c r="K831" s="94"/>
      <c r="L831" s="95"/>
      <c r="M831" s="94"/>
      <c r="N831" s="94"/>
      <c r="O831" s="94"/>
      <c r="P831" s="94"/>
      <c r="Q831" s="94"/>
      <c r="R831" s="95"/>
      <c r="S831" s="94"/>
      <c r="T831" s="94"/>
      <c r="U831" s="94"/>
      <c r="V831" s="94"/>
      <c r="W831" s="106"/>
    </row>
    <row r="832" spans="1:23" ht="23.1" customHeight="1">
      <c r="A832" s="91"/>
      <c r="B832" s="92"/>
      <c r="C832" s="92"/>
      <c r="D832" s="93"/>
      <c r="E832" s="94"/>
      <c r="F832" s="94"/>
      <c r="G832" s="94"/>
      <c r="H832" s="94"/>
      <c r="I832" s="94"/>
      <c r="J832" s="94"/>
      <c r="K832" s="94"/>
      <c r="L832" s="95"/>
      <c r="M832" s="94"/>
      <c r="N832" s="94"/>
      <c r="O832" s="94"/>
      <c r="P832" s="94"/>
      <c r="Q832" s="94"/>
      <c r="R832" s="95"/>
      <c r="S832" s="94"/>
      <c r="T832" s="94"/>
      <c r="U832" s="94"/>
      <c r="V832" s="94"/>
      <c r="W832" s="106"/>
    </row>
    <row r="833" spans="1:23" ht="23.1" customHeight="1">
      <c r="A833" s="91"/>
      <c r="B833" s="92"/>
      <c r="C833" s="92"/>
      <c r="D833" s="93"/>
      <c r="E833" s="94"/>
      <c r="F833" s="94"/>
      <c r="G833" s="94"/>
      <c r="H833" s="94"/>
      <c r="I833" s="94"/>
      <c r="J833" s="94"/>
      <c r="K833" s="94"/>
      <c r="L833" s="95"/>
      <c r="M833" s="94"/>
      <c r="N833" s="94"/>
      <c r="O833" s="94"/>
      <c r="P833" s="94"/>
      <c r="Q833" s="94"/>
      <c r="R833" s="95"/>
      <c r="S833" s="94"/>
      <c r="T833" s="94"/>
      <c r="U833" s="94"/>
      <c r="V833" s="94"/>
      <c r="W833" s="106"/>
    </row>
    <row r="834" spans="1:23" ht="23.1" customHeight="1">
      <c r="A834" s="91"/>
      <c r="B834" s="92"/>
      <c r="C834" s="92"/>
      <c r="D834" s="93"/>
      <c r="E834" s="94"/>
      <c r="F834" s="94"/>
      <c r="G834" s="94"/>
      <c r="H834" s="94"/>
      <c r="I834" s="94"/>
      <c r="J834" s="94"/>
      <c r="K834" s="94"/>
      <c r="L834" s="95"/>
      <c r="M834" s="94"/>
      <c r="N834" s="94"/>
      <c r="O834" s="94"/>
      <c r="P834" s="94"/>
      <c r="Q834" s="94"/>
      <c r="R834" s="95"/>
      <c r="S834" s="94"/>
      <c r="T834" s="94"/>
      <c r="U834" s="94"/>
      <c r="V834" s="94"/>
      <c r="W834" s="106"/>
    </row>
    <row r="835" spans="1:23" ht="23.1" customHeight="1">
      <c r="A835" s="91"/>
      <c r="B835" s="92"/>
      <c r="C835" s="92"/>
      <c r="D835" s="93"/>
      <c r="E835" s="94"/>
      <c r="F835" s="94"/>
      <c r="G835" s="94"/>
      <c r="H835" s="94"/>
      <c r="I835" s="94"/>
      <c r="J835" s="94"/>
      <c r="K835" s="94"/>
      <c r="L835" s="95"/>
      <c r="M835" s="94"/>
      <c r="N835" s="94"/>
      <c r="O835" s="94"/>
      <c r="P835" s="94"/>
      <c r="Q835" s="94"/>
      <c r="R835" s="95"/>
      <c r="S835" s="94"/>
      <c r="T835" s="94"/>
      <c r="U835" s="94"/>
      <c r="V835" s="94"/>
      <c r="W835" s="106"/>
    </row>
    <row r="836" spans="1:23" ht="23.1" customHeight="1">
      <c r="A836" s="91"/>
      <c r="B836" s="92"/>
      <c r="C836" s="92"/>
      <c r="D836" s="93"/>
      <c r="E836" s="94"/>
      <c r="F836" s="94"/>
      <c r="G836" s="94"/>
      <c r="H836" s="94"/>
      <c r="I836" s="94"/>
      <c r="J836" s="94"/>
      <c r="K836" s="94"/>
      <c r="L836" s="95"/>
      <c r="M836" s="94"/>
      <c r="N836" s="94"/>
      <c r="O836" s="94"/>
      <c r="P836" s="94"/>
      <c r="Q836" s="94"/>
      <c r="R836" s="95"/>
      <c r="S836" s="94"/>
      <c r="T836" s="94"/>
      <c r="U836" s="94"/>
      <c r="V836" s="94"/>
      <c r="W836" s="106"/>
    </row>
    <row r="837" spans="1:23" ht="23.1" customHeight="1">
      <c r="A837" s="91"/>
      <c r="B837" s="92"/>
      <c r="C837" s="92"/>
      <c r="D837" s="93"/>
      <c r="E837" s="94"/>
      <c r="F837" s="94"/>
      <c r="G837" s="94"/>
      <c r="H837" s="94"/>
      <c r="I837" s="94"/>
      <c r="J837" s="94"/>
      <c r="K837" s="94"/>
      <c r="L837" s="95"/>
      <c r="M837" s="94"/>
      <c r="N837" s="94"/>
      <c r="O837" s="94"/>
      <c r="P837" s="94"/>
      <c r="Q837" s="94"/>
      <c r="R837" s="95"/>
      <c r="S837" s="94"/>
      <c r="T837" s="94"/>
      <c r="U837" s="94"/>
      <c r="V837" s="94"/>
      <c r="W837" s="106"/>
    </row>
    <row r="838" spans="1:23" ht="23.1" customHeight="1">
      <c r="A838" s="91"/>
      <c r="B838" s="92"/>
      <c r="C838" s="92"/>
      <c r="D838" s="93"/>
      <c r="E838" s="94"/>
      <c r="F838" s="94"/>
      <c r="G838" s="94"/>
      <c r="H838" s="94"/>
      <c r="I838" s="94"/>
      <c r="J838" s="94"/>
      <c r="K838" s="94"/>
      <c r="L838" s="95"/>
      <c r="M838" s="94"/>
      <c r="N838" s="94"/>
      <c r="O838" s="94"/>
      <c r="P838" s="94"/>
      <c r="Q838" s="94"/>
      <c r="R838" s="95"/>
      <c r="S838" s="94"/>
      <c r="T838" s="94"/>
      <c r="U838" s="94"/>
      <c r="V838" s="94"/>
      <c r="W838" s="106"/>
    </row>
    <row r="839" spans="1:23" ht="23.1" customHeight="1">
      <c r="A839" s="91"/>
      <c r="B839" s="92"/>
      <c r="C839" s="92"/>
      <c r="D839" s="93"/>
      <c r="E839" s="94"/>
      <c r="F839" s="94"/>
      <c r="G839" s="94"/>
      <c r="H839" s="94"/>
      <c r="I839" s="94"/>
      <c r="J839" s="94"/>
      <c r="K839" s="94"/>
      <c r="L839" s="95"/>
      <c r="M839" s="94"/>
      <c r="N839" s="94"/>
      <c r="O839" s="94"/>
      <c r="P839" s="94"/>
      <c r="Q839" s="94"/>
      <c r="R839" s="95"/>
      <c r="S839" s="94"/>
      <c r="T839" s="94"/>
      <c r="U839" s="94"/>
      <c r="V839" s="94"/>
      <c r="W839" s="106"/>
    </row>
    <row r="840" spans="1:23" ht="23.1" customHeight="1">
      <c r="A840" s="91"/>
      <c r="B840" s="92"/>
      <c r="C840" s="92"/>
      <c r="D840" s="93"/>
      <c r="E840" s="94"/>
      <c r="F840" s="94"/>
      <c r="G840" s="94"/>
      <c r="H840" s="94"/>
      <c r="I840" s="94"/>
      <c r="J840" s="94"/>
      <c r="K840" s="94"/>
      <c r="L840" s="95"/>
      <c r="M840" s="94"/>
      <c r="N840" s="94"/>
      <c r="O840" s="94"/>
      <c r="P840" s="94"/>
      <c r="Q840" s="94"/>
      <c r="R840" s="95"/>
      <c r="S840" s="94"/>
      <c r="T840" s="94"/>
      <c r="U840" s="94"/>
      <c r="V840" s="94"/>
      <c r="W840" s="106"/>
    </row>
    <row r="841" spans="1:23" ht="23.1" customHeight="1">
      <c r="A841" s="91"/>
      <c r="B841" s="92"/>
      <c r="C841" s="92"/>
      <c r="D841" s="93"/>
      <c r="E841" s="94"/>
      <c r="F841" s="94"/>
      <c r="G841" s="94"/>
      <c r="H841" s="94"/>
      <c r="I841" s="94"/>
      <c r="J841" s="94"/>
      <c r="K841" s="94"/>
      <c r="L841" s="95"/>
      <c r="M841" s="94"/>
      <c r="N841" s="94"/>
      <c r="O841" s="94"/>
      <c r="P841" s="94"/>
      <c r="Q841" s="94"/>
      <c r="R841" s="95"/>
      <c r="S841" s="94"/>
      <c r="T841" s="94"/>
      <c r="U841" s="94"/>
      <c r="V841" s="94"/>
      <c r="W841" s="106"/>
    </row>
    <row r="842" spans="1:23" ht="23.1" customHeight="1">
      <c r="A842" s="91"/>
      <c r="B842" s="92"/>
      <c r="C842" s="92"/>
      <c r="D842" s="93"/>
      <c r="E842" s="94"/>
      <c r="F842" s="94"/>
      <c r="G842" s="94"/>
      <c r="H842" s="94"/>
      <c r="I842" s="94"/>
      <c r="J842" s="94"/>
      <c r="K842" s="94"/>
      <c r="L842" s="95"/>
      <c r="M842" s="94"/>
      <c r="N842" s="94"/>
      <c r="O842" s="94"/>
      <c r="P842" s="94"/>
      <c r="Q842" s="94"/>
      <c r="R842" s="95"/>
      <c r="S842" s="94"/>
      <c r="T842" s="94"/>
      <c r="U842" s="94"/>
      <c r="V842" s="94"/>
      <c r="W842" s="106"/>
    </row>
    <row r="843" spans="1:23" ht="23.1" customHeight="1">
      <c r="A843" s="91"/>
      <c r="B843" s="92"/>
      <c r="C843" s="92"/>
      <c r="D843" s="93"/>
      <c r="E843" s="94"/>
      <c r="F843" s="94"/>
      <c r="G843" s="94"/>
      <c r="H843" s="94"/>
      <c r="I843" s="94"/>
      <c r="J843" s="94"/>
      <c r="K843" s="94"/>
      <c r="L843" s="95"/>
      <c r="M843" s="94"/>
      <c r="N843" s="94"/>
      <c r="O843" s="94"/>
      <c r="P843" s="94"/>
      <c r="Q843" s="94"/>
      <c r="R843" s="95"/>
      <c r="S843" s="94"/>
      <c r="T843" s="94"/>
      <c r="U843" s="94"/>
      <c r="V843" s="94"/>
      <c r="W843" s="106"/>
    </row>
    <row r="844" spans="1:23" ht="23.1" customHeight="1">
      <c r="A844" s="91"/>
      <c r="B844" s="92"/>
      <c r="C844" s="92"/>
      <c r="D844" s="93"/>
      <c r="E844" s="94"/>
      <c r="F844" s="94"/>
      <c r="G844" s="94"/>
      <c r="H844" s="94"/>
      <c r="I844" s="94"/>
      <c r="J844" s="94"/>
      <c r="K844" s="94"/>
      <c r="L844" s="95"/>
      <c r="M844" s="94"/>
      <c r="N844" s="94"/>
      <c r="O844" s="94"/>
      <c r="P844" s="94"/>
      <c r="Q844" s="94"/>
      <c r="R844" s="95"/>
      <c r="S844" s="94"/>
      <c r="T844" s="94"/>
      <c r="U844" s="94"/>
      <c r="V844" s="94"/>
      <c r="W844" s="106"/>
    </row>
    <row r="845" spans="1:23" ht="23.1" customHeight="1">
      <c r="A845" s="91"/>
      <c r="B845" s="92"/>
      <c r="C845" s="92"/>
      <c r="D845" s="93"/>
      <c r="E845" s="94"/>
      <c r="F845" s="94"/>
      <c r="G845" s="94"/>
      <c r="H845" s="94"/>
      <c r="I845" s="94"/>
      <c r="J845" s="94"/>
      <c r="K845" s="94"/>
      <c r="L845" s="95"/>
      <c r="M845" s="94"/>
      <c r="N845" s="94"/>
      <c r="O845" s="94"/>
      <c r="P845" s="94"/>
      <c r="Q845" s="94"/>
      <c r="R845" s="95"/>
      <c r="S845" s="94"/>
      <c r="T845" s="94"/>
      <c r="U845" s="94"/>
      <c r="V845" s="94"/>
      <c r="W845" s="106"/>
    </row>
    <row r="846" spans="1:23" ht="23.1" customHeight="1">
      <c r="A846" s="91"/>
      <c r="B846" s="92"/>
      <c r="C846" s="92"/>
      <c r="D846" s="93"/>
      <c r="E846" s="94"/>
      <c r="F846" s="94"/>
      <c r="G846" s="94"/>
      <c r="H846" s="94"/>
      <c r="I846" s="94"/>
      <c r="J846" s="94"/>
      <c r="K846" s="94"/>
      <c r="L846" s="95"/>
      <c r="M846" s="94"/>
      <c r="N846" s="94"/>
      <c r="O846" s="94"/>
      <c r="P846" s="94"/>
      <c r="Q846" s="94"/>
      <c r="R846" s="95"/>
      <c r="S846" s="94"/>
      <c r="T846" s="94"/>
      <c r="U846" s="94"/>
      <c r="V846" s="94"/>
      <c r="W846" s="106"/>
    </row>
    <row r="847" spans="1:23" ht="23.1" customHeight="1">
      <c r="A847" s="91"/>
      <c r="B847" s="92"/>
      <c r="C847" s="92"/>
      <c r="D847" s="93"/>
      <c r="E847" s="94"/>
      <c r="F847" s="94"/>
      <c r="G847" s="94"/>
      <c r="H847" s="94"/>
      <c r="I847" s="94"/>
      <c r="J847" s="94"/>
      <c r="K847" s="94"/>
      <c r="L847" s="95"/>
      <c r="M847" s="94"/>
      <c r="N847" s="94"/>
      <c r="O847" s="94"/>
      <c r="P847" s="94"/>
      <c r="Q847" s="94"/>
      <c r="R847" s="95"/>
      <c r="S847" s="94"/>
      <c r="T847" s="94"/>
      <c r="U847" s="94"/>
      <c r="V847" s="94"/>
      <c r="W847" s="106"/>
    </row>
    <row r="848" spans="1:23" ht="23.1" customHeight="1">
      <c r="A848" s="91"/>
      <c r="B848" s="92"/>
      <c r="C848" s="92"/>
      <c r="D848" s="93"/>
      <c r="E848" s="94"/>
      <c r="F848" s="94"/>
      <c r="G848" s="94"/>
      <c r="H848" s="94"/>
      <c r="I848" s="94"/>
      <c r="J848" s="94"/>
      <c r="K848" s="94"/>
      <c r="L848" s="95"/>
      <c r="M848" s="94"/>
      <c r="N848" s="94"/>
      <c r="O848" s="94"/>
      <c r="P848" s="94"/>
      <c r="Q848" s="94"/>
      <c r="R848" s="95"/>
      <c r="S848" s="94"/>
      <c r="T848" s="94"/>
      <c r="U848" s="94"/>
      <c r="V848" s="94"/>
      <c r="W848" s="106"/>
    </row>
    <row r="849" spans="1:23" ht="23.1" customHeight="1">
      <c r="A849" s="91"/>
      <c r="B849" s="92"/>
      <c r="C849" s="92"/>
      <c r="D849" s="93"/>
      <c r="E849" s="94"/>
      <c r="F849" s="94"/>
      <c r="G849" s="94"/>
      <c r="H849" s="94"/>
      <c r="I849" s="94"/>
      <c r="J849" s="94"/>
      <c r="K849" s="94"/>
      <c r="L849" s="95"/>
      <c r="M849" s="94"/>
      <c r="N849" s="94"/>
      <c r="O849" s="94"/>
      <c r="P849" s="94"/>
      <c r="Q849" s="94"/>
      <c r="R849" s="95"/>
      <c r="S849" s="94"/>
      <c r="T849" s="94"/>
      <c r="U849" s="94"/>
      <c r="V849" s="94"/>
      <c r="W849" s="106"/>
    </row>
    <row r="850" spans="1:23" ht="23.1" customHeight="1">
      <c r="A850" s="91"/>
      <c r="B850" s="92"/>
      <c r="C850" s="92"/>
      <c r="D850" s="93"/>
      <c r="E850" s="94"/>
      <c r="F850" s="94"/>
      <c r="G850" s="94"/>
      <c r="H850" s="94"/>
      <c r="I850" s="94"/>
      <c r="J850" s="94"/>
      <c r="K850" s="94"/>
      <c r="L850" s="95"/>
      <c r="M850" s="94"/>
      <c r="N850" s="94"/>
      <c r="O850" s="94"/>
      <c r="P850" s="94"/>
      <c r="Q850" s="94"/>
      <c r="R850" s="95"/>
      <c r="S850" s="94"/>
      <c r="T850" s="94"/>
      <c r="U850" s="94"/>
      <c r="V850" s="94"/>
      <c r="W850" s="106"/>
    </row>
    <row r="851" spans="1:23" ht="23.1" customHeight="1">
      <c r="A851" s="91"/>
      <c r="B851" s="92"/>
      <c r="C851" s="92"/>
      <c r="D851" s="93"/>
      <c r="E851" s="94"/>
      <c r="F851" s="94"/>
      <c r="G851" s="94"/>
      <c r="H851" s="94"/>
      <c r="I851" s="94"/>
      <c r="J851" s="94"/>
      <c r="K851" s="94"/>
      <c r="L851" s="95"/>
      <c r="M851" s="94"/>
      <c r="N851" s="94"/>
      <c r="O851" s="94"/>
      <c r="P851" s="94"/>
      <c r="Q851" s="94"/>
      <c r="R851" s="95"/>
      <c r="S851" s="94"/>
      <c r="T851" s="94"/>
      <c r="U851" s="94"/>
      <c r="V851" s="94"/>
      <c r="W851" s="106"/>
    </row>
    <row r="852" spans="1:23" ht="23.1" customHeight="1">
      <c r="A852" s="91"/>
      <c r="B852" s="92"/>
      <c r="C852" s="92"/>
      <c r="D852" s="93"/>
      <c r="E852" s="94"/>
      <c r="F852" s="94"/>
      <c r="G852" s="94"/>
      <c r="H852" s="94"/>
      <c r="I852" s="94"/>
      <c r="J852" s="94"/>
      <c r="K852" s="94"/>
      <c r="L852" s="95"/>
      <c r="M852" s="94"/>
      <c r="N852" s="94"/>
      <c r="O852" s="94"/>
      <c r="P852" s="94"/>
      <c r="Q852" s="94"/>
      <c r="R852" s="95"/>
      <c r="S852" s="94"/>
      <c r="T852" s="94"/>
      <c r="U852" s="94"/>
      <c r="V852" s="94"/>
      <c r="W852" s="106"/>
    </row>
    <row r="853" spans="1:23" ht="23.1" customHeight="1">
      <c r="A853" s="91"/>
      <c r="B853" s="92"/>
      <c r="C853" s="92"/>
      <c r="D853" s="93"/>
      <c r="E853" s="94"/>
      <c r="F853" s="94"/>
      <c r="G853" s="94"/>
      <c r="H853" s="94"/>
      <c r="I853" s="94"/>
      <c r="J853" s="94"/>
      <c r="K853" s="94"/>
      <c r="L853" s="95"/>
      <c r="M853" s="94"/>
      <c r="N853" s="94"/>
      <c r="O853" s="94"/>
      <c r="P853" s="94"/>
      <c r="Q853" s="94"/>
      <c r="R853" s="95"/>
      <c r="S853" s="94"/>
      <c r="T853" s="94"/>
      <c r="U853" s="94"/>
      <c r="V853" s="94"/>
      <c r="W853" s="106"/>
    </row>
    <row r="854" spans="1:23" ht="23.1" customHeight="1">
      <c r="A854" s="91"/>
      <c r="B854" s="92"/>
      <c r="C854" s="92"/>
      <c r="D854" s="93"/>
      <c r="E854" s="94"/>
      <c r="F854" s="94"/>
      <c r="G854" s="94"/>
      <c r="H854" s="94"/>
      <c r="I854" s="94"/>
      <c r="J854" s="94"/>
      <c r="K854" s="94"/>
      <c r="L854" s="95"/>
      <c r="M854" s="94"/>
      <c r="N854" s="94"/>
      <c r="O854" s="94"/>
      <c r="P854" s="94"/>
      <c r="Q854" s="94"/>
      <c r="R854" s="95"/>
      <c r="S854" s="94"/>
      <c r="T854" s="94"/>
      <c r="U854" s="94"/>
      <c r="V854" s="94"/>
      <c r="W854" s="106"/>
    </row>
    <row r="855" spans="1:23" ht="23.1" customHeight="1">
      <c r="A855" s="91"/>
      <c r="B855" s="92"/>
      <c r="C855" s="92"/>
      <c r="D855" s="93"/>
      <c r="E855" s="94"/>
      <c r="F855" s="94"/>
      <c r="G855" s="94"/>
      <c r="H855" s="94"/>
      <c r="I855" s="94"/>
      <c r="J855" s="94"/>
      <c r="K855" s="94"/>
      <c r="L855" s="95"/>
      <c r="M855" s="94"/>
      <c r="N855" s="94"/>
      <c r="O855" s="94"/>
      <c r="P855" s="94"/>
      <c r="Q855" s="94"/>
      <c r="R855" s="95"/>
      <c r="S855" s="94"/>
      <c r="T855" s="94"/>
      <c r="U855" s="94"/>
      <c r="V855" s="94"/>
      <c r="W855" s="106"/>
    </row>
    <row r="856" spans="1:23" ht="23.1" customHeight="1">
      <c r="A856" s="91"/>
      <c r="B856" s="92"/>
      <c r="C856" s="92"/>
      <c r="D856" s="93"/>
      <c r="E856" s="94"/>
      <c r="F856" s="94"/>
      <c r="G856" s="94"/>
      <c r="H856" s="94"/>
      <c r="I856" s="94"/>
      <c r="J856" s="94"/>
      <c r="K856" s="94"/>
      <c r="L856" s="95"/>
      <c r="M856" s="94"/>
      <c r="N856" s="94"/>
      <c r="O856" s="94"/>
      <c r="P856" s="94"/>
      <c r="Q856" s="94"/>
      <c r="R856" s="95"/>
      <c r="S856" s="94"/>
      <c r="T856" s="94"/>
      <c r="U856" s="94"/>
      <c r="V856" s="94"/>
      <c r="W856" s="106"/>
    </row>
  </sheetData>
  <mergeCells count="20">
    <mergeCell ref="A582:B582"/>
    <mergeCell ref="A3:A5"/>
    <mergeCell ref="B3:B5"/>
    <mergeCell ref="C3:C5"/>
    <mergeCell ref="D3:D5"/>
    <mergeCell ref="A1:W1"/>
    <mergeCell ref="A2:W2"/>
    <mergeCell ref="E3:J3"/>
    <mergeCell ref="K3:P3"/>
    <mergeCell ref="Q3:V3"/>
    <mergeCell ref="W3:W5"/>
    <mergeCell ref="E4:G4"/>
    <mergeCell ref="H4:J4"/>
    <mergeCell ref="Y3:AD3"/>
    <mergeCell ref="K4:M4"/>
    <mergeCell ref="N4:P4"/>
    <mergeCell ref="Q4:S4"/>
    <mergeCell ref="T4:V4"/>
    <mergeCell ref="Y4:AA4"/>
    <mergeCell ref="AB4:AD4"/>
  </mergeCells>
  <phoneticPr fontId="76" type="noConversion"/>
  <pageMargins left="0.75" right="0.75" top="1" bottom="1" header="0.5" footer="0.5"/>
  <pageSetup paperSize="9" scale="31" orientation="portrait"/>
  <headerFooter alignWithMargin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C893D-EDB5-4575-8E92-C7A17314B6D2}">
  <sheetPr>
    <outlinePr summaryBelow="0"/>
  </sheetPr>
  <dimension ref="A1:AD427"/>
  <sheetViews>
    <sheetView zoomScale="130" zoomScaleSheetLayoutView="80" workbookViewId="0">
      <pane ySplit="5" topLeftCell="A112" activePane="bottomLeft" state="frozen"/>
      <selection pane="bottomLeft" activeCell="Q146" sqref="Q146"/>
    </sheetView>
  </sheetViews>
  <sheetFormatPr defaultColWidth="8.75" defaultRowHeight="23.1" customHeight="1" outlineLevelRow="2"/>
  <cols>
    <col min="1" max="1" width="5.625" customWidth="1"/>
    <col min="2" max="2" width="20.75" customWidth="1"/>
    <col min="3" max="3" width="23.75" style="232" customWidth="1"/>
    <col min="4" max="4" width="5.625" customWidth="1"/>
    <col min="5" max="5" width="6.125" hidden="1" customWidth="1"/>
    <col min="6" max="6" width="8.5" hidden="1" customWidth="1"/>
    <col min="7" max="7" width="12.75" style="61" hidden="1" customWidth="1"/>
    <col min="8" max="9" width="6.5" style="61" hidden="1" customWidth="1"/>
    <col min="10" max="10" width="12.75" style="61" hidden="1" customWidth="1"/>
    <col min="11" max="12" width="7.625" style="61" hidden="1" customWidth="1"/>
    <col min="13" max="13" width="12.75" style="61" hidden="1" customWidth="1"/>
    <col min="14" max="15" width="7.625" style="61" hidden="1" customWidth="1"/>
    <col min="16" max="16" width="10.625" style="61" hidden="1" customWidth="1"/>
    <col min="17" max="18" width="7.625" style="61" customWidth="1"/>
    <col min="19" max="19" width="10.375" style="61" customWidth="1"/>
    <col min="20" max="21" width="7.625" style="61" customWidth="1"/>
    <col min="22" max="22" width="11.625" style="61" customWidth="1"/>
    <col min="23" max="23" width="9.625" customWidth="1"/>
    <col min="25" max="26" width="7.75" customWidth="1"/>
    <col min="27" max="27" width="11.625" customWidth="1"/>
    <col min="28" max="29" width="7.75" customWidth="1"/>
    <col min="30" max="30" width="11.625" customWidth="1"/>
  </cols>
  <sheetData>
    <row r="1" spans="1:30" ht="17.100000000000001" customHeight="1">
      <c r="A1" s="425" t="s">
        <v>1050</v>
      </c>
      <c r="B1" s="425"/>
      <c r="C1" s="473"/>
      <c r="D1" s="425"/>
      <c r="E1" s="425"/>
      <c r="F1" s="425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5"/>
    </row>
    <row r="2" spans="1:30" s="59" customFormat="1" ht="17.100000000000001" customHeight="1">
      <c r="A2" s="428" t="s">
        <v>1051</v>
      </c>
      <c r="B2" s="428"/>
      <c r="C2" s="428"/>
      <c r="D2" s="428"/>
      <c r="E2" s="428"/>
      <c r="F2" s="428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428"/>
    </row>
    <row r="3" spans="1:30" s="59" customFormat="1" ht="17.100000000000001" customHeight="1">
      <c r="A3" s="453" t="s">
        <v>32</v>
      </c>
      <c r="B3" s="454" t="s">
        <v>1052</v>
      </c>
      <c r="C3" s="455" t="s">
        <v>91</v>
      </c>
      <c r="D3" s="457" t="s">
        <v>34</v>
      </c>
      <c r="E3" s="453" t="s">
        <v>92</v>
      </c>
      <c r="F3" s="453"/>
      <c r="G3" s="430"/>
      <c r="H3" s="453" t="s">
        <v>92</v>
      </c>
      <c r="I3" s="453"/>
      <c r="J3" s="430"/>
      <c r="K3" s="474" t="s">
        <v>36</v>
      </c>
      <c r="L3" s="475"/>
      <c r="M3" s="475"/>
      <c r="N3" s="475"/>
      <c r="O3" s="475"/>
      <c r="P3" s="476"/>
      <c r="Q3" s="474" t="s">
        <v>37</v>
      </c>
      <c r="R3" s="475"/>
      <c r="S3" s="475"/>
      <c r="T3" s="475"/>
      <c r="U3" s="475"/>
      <c r="V3" s="476"/>
      <c r="W3" s="447" t="s">
        <v>38</v>
      </c>
      <c r="Y3" s="474" t="s">
        <v>37</v>
      </c>
      <c r="Z3" s="475"/>
      <c r="AA3" s="475"/>
      <c r="AB3" s="475"/>
      <c r="AC3" s="475"/>
      <c r="AD3" s="476"/>
    </row>
    <row r="4" spans="1:30" s="59" customFormat="1" ht="17.100000000000001" customHeight="1">
      <c r="A4" s="420"/>
      <c r="B4" s="420"/>
      <c r="C4" s="456"/>
      <c r="D4" s="420"/>
      <c r="E4" s="430" t="s">
        <v>42</v>
      </c>
      <c r="F4" s="430"/>
      <c r="G4" s="430"/>
      <c r="H4" s="430" t="s">
        <v>94</v>
      </c>
      <c r="I4" s="431"/>
      <c r="J4" s="431"/>
      <c r="K4" s="474" t="s">
        <v>42</v>
      </c>
      <c r="L4" s="475"/>
      <c r="M4" s="476"/>
      <c r="N4" s="474" t="s">
        <v>43</v>
      </c>
      <c r="O4" s="475"/>
      <c r="P4" s="476"/>
      <c r="Q4" s="474" t="s">
        <v>42</v>
      </c>
      <c r="R4" s="475"/>
      <c r="S4" s="476"/>
      <c r="T4" s="474" t="s">
        <v>43</v>
      </c>
      <c r="U4" s="475"/>
      <c r="V4" s="476"/>
      <c r="W4" s="447"/>
      <c r="Y4" s="474" t="s">
        <v>42</v>
      </c>
      <c r="Z4" s="475"/>
      <c r="AA4" s="476"/>
      <c r="AB4" s="474" t="s">
        <v>43</v>
      </c>
      <c r="AC4" s="475"/>
      <c r="AD4" s="476"/>
    </row>
    <row r="5" spans="1:30" s="59" customFormat="1" ht="17.100000000000001" customHeight="1">
      <c r="A5" s="420"/>
      <c r="B5" s="420"/>
      <c r="C5" s="456"/>
      <c r="D5" s="420"/>
      <c r="E5" s="114" t="s">
        <v>1053</v>
      </c>
      <c r="F5" s="116" t="s">
        <v>96</v>
      </c>
      <c r="G5" s="114" t="s">
        <v>97</v>
      </c>
      <c r="H5" s="114" t="s">
        <v>1053</v>
      </c>
      <c r="I5" s="116" t="s">
        <v>96</v>
      </c>
      <c r="J5" s="114" t="s">
        <v>97</v>
      </c>
      <c r="K5" s="114" t="s">
        <v>1053</v>
      </c>
      <c r="L5" s="114" t="s">
        <v>96</v>
      </c>
      <c r="M5" s="114" t="s">
        <v>97</v>
      </c>
      <c r="N5" s="114" t="s">
        <v>95</v>
      </c>
      <c r="O5" s="114" t="s">
        <v>96</v>
      </c>
      <c r="P5" s="114" t="s">
        <v>97</v>
      </c>
      <c r="Q5" s="114" t="s">
        <v>1053</v>
      </c>
      <c r="R5" s="114" t="s">
        <v>96</v>
      </c>
      <c r="S5" s="114" t="s">
        <v>97</v>
      </c>
      <c r="T5" s="114" t="s">
        <v>95</v>
      </c>
      <c r="U5" s="114" t="s">
        <v>96</v>
      </c>
      <c r="V5" s="114" t="s">
        <v>97</v>
      </c>
      <c r="W5" s="447"/>
      <c r="Y5" s="114" t="s">
        <v>1053</v>
      </c>
      <c r="Z5" s="114" t="s">
        <v>96</v>
      </c>
      <c r="AA5" s="114" t="s">
        <v>97</v>
      </c>
      <c r="AB5" s="114" t="s">
        <v>95</v>
      </c>
      <c r="AC5" s="114" t="s">
        <v>96</v>
      </c>
      <c r="AD5" s="114" t="s">
        <v>97</v>
      </c>
    </row>
    <row r="6" spans="1:30" s="60" customFormat="1" ht="23.1" customHeight="1" collapsed="1">
      <c r="A6" s="233" t="s">
        <v>98</v>
      </c>
      <c r="B6" s="234" t="s">
        <v>408</v>
      </c>
      <c r="C6" s="235"/>
      <c r="D6" s="236"/>
      <c r="E6" s="119"/>
      <c r="F6" s="119"/>
      <c r="G6" s="222">
        <v>3825141.8861929271</v>
      </c>
      <c r="H6" s="119"/>
      <c r="I6" s="119"/>
      <c r="J6" s="222">
        <v>5411990.5599999996</v>
      </c>
      <c r="K6" s="222"/>
      <c r="L6" s="222"/>
      <c r="M6" s="222">
        <f>+M7+M43+M50</f>
        <v>0</v>
      </c>
      <c r="N6" s="222"/>
      <c r="O6" s="222"/>
      <c r="P6" s="222">
        <f>+P7+P43+P50</f>
        <v>0</v>
      </c>
      <c r="Q6" s="222"/>
      <c r="R6" s="222"/>
      <c r="S6" s="222">
        <f>+S7+S43+S50</f>
        <v>3661413.7686999999</v>
      </c>
      <c r="T6" s="222"/>
      <c r="U6" s="222"/>
      <c r="V6" s="222">
        <f>+V7+V43+V50</f>
        <v>4747068.7860000012</v>
      </c>
      <c r="W6" s="137"/>
      <c r="Y6" s="222"/>
      <c r="Z6" s="222"/>
      <c r="AA6" s="222">
        <v>3661413.7686999999</v>
      </c>
      <c r="AB6" s="222"/>
      <c r="AC6" s="222"/>
      <c r="AD6" s="222">
        <v>4658529.7860000012</v>
      </c>
    </row>
    <row r="7" spans="1:30" s="60" customFormat="1" ht="23.1" hidden="1" customHeight="1" outlineLevel="1" collapsed="1">
      <c r="A7" s="233">
        <v>1</v>
      </c>
      <c r="B7" s="234" t="s">
        <v>1054</v>
      </c>
      <c r="C7" s="235"/>
      <c r="D7" s="236"/>
      <c r="E7" s="137"/>
      <c r="F7" s="119"/>
      <c r="G7" s="222">
        <v>3241531.092354672</v>
      </c>
      <c r="H7" s="137"/>
      <c r="I7" s="119"/>
      <c r="J7" s="222">
        <v>5164180.8099999996</v>
      </c>
      <c r="K7" s="229"/>
      <c r="L7" s="222"/>
      <c r="M7" s="222">
        <f>SUM(M8:M41)</f>
        <v>0</v>
      </c>
      <c r="N7" s="229"/>
      <c r="O7" s="229"/>
      <c r="P7" s="222">
        <f>SUM(P8:P41)</f>
        <v>0</v>
      </c>
      <c r="Q7" s="229"/>
      <c r="R7" s="222"/>
      <c r="S7" s="222">
        <f>SUM(S8:S41)</f>
        <v>3552410.52</v>
      </c>
      <c r="T7" s="229"/>
      <c r="U7" s="229"/>
      <c r="V7" s="222">
        <f>SUM(V8:V42)</f>
        <v>4535604.4660000009</v>
      </c>
      <c r="W7" s="137"/>
      <c r="Y7" s="229"/>
      <c r="Z7" s="222"/>
      <c r="AA7" s="222">
        <v>3552410.52</v>
      </c>
      <c r="AB7" s="229"/>
      <c r="AC7" s="229"/>
      <c r="AD7" s="222">
        <v>4447065.4660000009</v>
      </c>
    </row>
    <row r="8" spans="1:30" s="59" customFormat="1" ht="23.1" hidden="1" customHeight="1" outlineLevel="2">
      <c r="A8" s="171">
        <v>1.1000000000000001</v>
      </c>
      <c r="B8" s="113" t="s">
        <v>1055</v>
      </c>
      <c r="C8" s="237" t="s">
        <v>1056</v>
      </c>
      <c r="D8" s="238" t="s">
        <v>247</v>
      </c>
      <c r="E8" s="123"/>
      <c r="F8" s="120">
        <v>42.41</v>
      </c>
      <c r="G8" s="205">
        <v>7958.9424355816527</v>
      </c>
      <c r="H8" s="123"/>
      <c r="I8" s="120"/>
      <c r="J8" s="205">
        <v>29235.200000000001</v>
      </c>
      <c r="K8" s="207">
        <f>+Q8-Y8</f>
        <v>0</v>
      </c>
      <c r="L8" s="205">
        <f>+R8</f>
        <v>42.41</v>
      </c>
      <c r="M8" s="205">
        <f t="shared" ref="M8:M41" si="0">+L8*K8</f>
        <v>0</v>
      </c>
      <c r="N8" s="207">
        <f>+K8</f>
        <v>0</v>
      </c>
      <c r="O8" s="207">
        <f>+U8</f>
        <v>0</v>
      </c>
      <c r="P8" s="205">
        <f>+O8*N8</f>
        <v>0</v>
      </c>
      <c r="Q8" s="206">
        <v>228.4</v>
      </c>
      <c r="R8" s="205">
        <v>42.41</v>
      </c>
      <c r="S8" s="205">
        <f t="shared" ref="S8:S41" si="1">+R8*Q8</f>
        <v>9686.4439999999995</v>
      </c>
      <c r="T8" s="207">
        <f>+Q8</f>
        <v>228.4</v>
      </c>
      <c r="U8" s="207">
        <v>0</v>
      </c>
      <c r="V8" s="205">
        <f>+U8*T8</f>
        <v>0</v>
      </c>
      <c r="W8" s="123"/>
      <c r="Y8" s="206">
        <v>228.4</v>
      </c>
      <c r="Z8" s="205">
        <v>42.41</v>
      </c>
      <c r="AA8" s="205">
        <v>9686.4439999999995</v>
      </c>
      <c r="AB8" s="207">
        <v>228.4</v>
      </c>
      <c r="AC8" s="207">
        <v>0</v>
      </c>
      <c r="AD8" s="205">
        <v>0</v>
      </c>
    </row>
    <row r="9" spans="1:30" s="59" customFormat="1" ht="23.1" hidden="1" customHeight="1" outlineLevel="2">
      <c r="A9" s="171">
        <v>1.2</v>
      </c>
      <c r="B9" s="113" t="s">
        <v>1057</v>
      </c>
      <c r="C9" s="237" t="s">
        <v>1058</v>
      </c>
      <c r="D9" s="238" t="s">
        <v>247</v>
      </c>
      <c r="E9" s="123"/>
      <c r="F9" s="120">
        <v>54.26</v>
      </c>
      <c r="G9" s="205">
        <v>90776.6395813079</v>
      </c>
      <c r="H9" s="123"/>
      <c r="I9" s="120"/>
      <c r="J9" s="205">
        <v>263061.76000000001</v>
      </c>
      <c r="K9" s="207">
        <f t="shared" ref="K9:K41" si="2">+Q9-Y9</f>
        <v>0</v>
      </c>
      <c r="L9" s="205">
        <f t="shared" ref="L9:L41" si="3">+R9</f>
        <v>54.26</v>
      </c>
      <c r="M9" s="205">
        <f t="shared" si="0"/>
        <v>0</v>
      </c>
      <c r="N9" s="207">
        <f t="shared" ref="N9:N41" si="4">+K9</f>
        <v>0</v>
      </c>
      <c r="O9" s="207">
        <f t="shared" ref="O9:O41" si="5">+U9</f>
        <v>88</v>
      </c>
      <c r="P9" s="205">
        <f t="shared" ref="P9:P41" si="6">+O9*N9</f>
        <v>0</v>
      </c>
      <c r="Q9" s="206">
        <v>2055.17</v>
      </c>
      <c r="R9" s="205">
        <v>54.26</v>
      </c>
      <c r="S9" s="205">
        <f t="shared" si="1"/>
        <v>111513.5242</v>
      </c>
      <c r="T9" s="207">
        <f t="shared" ref="T9:T41" si="7">+Q9</f>
        <v>2055.17</v>
      </c>
      <c r="U9" s="207">
        <v>88</v>
      </c>
      <c r="V9" s="205">
        <f t="shared" ref="V9:V42" si="8">+U9*T9</f>
        <v>180854.96000000002</v>
      </c>
      <c r="W9" s="123"/>
      <c r="Y9" s="206">
        <v>2055.17</v>
      </c>
      <c r="Z9" s="205">
        <v>54.26</v>
      </c>
      <c r="AA9" s="205">
        <v>111513.5242</v>
      </c>
      <c r="AB9" s="207">
        <v>2055.17</v>
      </c>
      <c r="AC9" s="207">
        <v>88</v>
      </c>
      <c r="AD9" s="205">
        <v>180854.96000000002</v>
      </c>
    </row>
    <row r="10" spans="1:30" s="59" customFormat="1" ht="23.1" hidden="1" customHeight="1" outlineLevel="2">
      <c r="A10" s="171">
        <v>1.2999999999999998</v>
      </c>
      <c r="B10" s="113" t="s">
        <v>1059</v>
      </c>
      <c r="C10" s="237" t="s">
        <v>1060</v>
      </c>
      <c r="D10" s="238" t="s">
        <v>247</v>
      </c>
      <c r="E10" s="123"/>
      <c r="F10" s="120">
        <v>48.24</v>
      </c>
      <c r="G10" s="205">
        <v>7200.5291491816524</v>
      </c>
      <c r="H10" s="123"/>
      <c r="I10" s="120"/>
      <c r="J10" s="205">
        <v>23142.400000000001</v>
      </c>
      <c r="K10" s="207">
        <f t="shared" si="2"/>
        <v>0</v>
      </c>
      <c r="L10" s="205">
        <f t="shared" si="3"/>
        <v>48.24</v>
      </c>
      <c r="M10" s="205">
        <f t="shared" si="0"/>
        <v>0</v>
      </c>
      <c r="N10" s="207">
        <f t="shared" si="4"/>
        <v>0</v>
      </c>
      <c r="O10" s="207">
        <f t="shared" si="5"/>
        <v>88</v>
      </c>
      <c r="P10" s="205">
        <f t="shared" si="6"/>
        <v>0</v>
      </c>
      <c r="Q10" s="206">
        <v>180.8</v>
      </c>
      <c r="R10" s="205">
        <v>48.24</v>
      </c>
      <c r="S10" s="205">
        <f t="shared" si="1"/>
        <v>8721.7920000000013</v>
      </c>
      <c r="T10" s="207">
        <f t="shared" si="7"/>
        <v>180.8</v>
      </c>
      <c r="U10" s="207">
        <v>88</v>
      </c>
      <c r="V10" s="205">
        <f t="shared" si="8"/>
        <v>15910.400000000001</v>
      </c>
      <c r="W10" s="123"/>
      <c r="Y10" s="206">
        <v>180.8</v>
      </c>
      <c r="Z10" s="205">
        <v>48.24</v>
      </c>
      <c r="AA10" s="205">
        <v>8721.7920000000013</v>
      </c>
      <c r="AB10" s="207">
        <v>180.8</v>
      </c>
      <c r="AC10" s="207">
        <v>88</v>
      </c>
      <c r="AD10" s="205">
        <v>15910.400000000001</v>
      </c>
    </row>
    <row r="11" spans="1:30" s="59" customFormat="1" ht="23.1" hidden="1" customHeight="1" outlineLevel="2">
      <c r="A11" s="171">
        <v>1.3999999999999997</v>
      </c>
      <c r="B11" s="113" t="s">
        <v>1061</v>
      </c>
      <c r="C11" s="237" t="s">
        <v>1062</v>
      </c>
      <c r="D11" s="238" t="s">
        <v>247</v>
      </c>
      <c r="E11" s="123"/>
      <c r="F11" s="120">
        <v>72.92</v>
      </c>
      <c r="G11" s="205">
        <v>201.1768390106422</v>
      </c>
      <c r="H11" s="123"/>
      <c r="I11" s="120"/>
      <c r="J11" s="205">
        <v>437.76</v>
      </c>
      <c r="K11" s="207">
        <f t="shared" si="2"/>
        <v>0</v>
      </c>
      <c r="L11" s="205">
        <f t="shared" si="3"/>
        <v>72.92</v>
      </c>
      <c r="M11" s="205">
        <f t="shared" si="0"/>
        <v>0</v>
      </c>
      <c r="N11" s="207">
        <f t="shared" si="4"/>
        <v>0</v>
      </c>
      <c r="O11" s="207">
        <f t="shared" si="5"/>
        <v>88</v>
      </c>
      <c r="P11" s="205">
        <f t="shared" si="6"/>
        <v>0</v>
      </c>
      <c r="Q11" s="206">
        <v>0</v>
      </c>
      <c r="R11" s="205">
        <v>72.92</v>
      </c>
      <c r="S11" s="205">
        <f t="shared" si="1"/>
        <v>0</v>
      </c>
      <c r="T11" s="207">
        <f t="shared" si="7"/>
        <v>0</v>
      </c>
      <c r="U11" s="207">
        <v>88</v>
      </c>
      <c r="V11" s="205">
        <f t="shared" si="8"/>
        <v>0</v>
      </c>
      <c r="W11" s="123"/>
      <c r="Y11" s="206">
        <v>0</v>
      </c>
      <c r="Z11" s="205">
        <v>72.92</v>
      </c>
      <c r="AA11" s="205">
        <v>0</v>
      </c>
      <c r="AB11" s="207">
        <v>0</v>
      </c>
      <c r="AC11" s="207">
        <v>88</v>
      </c>
      <c r="AD11" s="205">
        <v>0</v>
      </c>
    </row>
    <row r="12" spans="1:30" s="59" customFormat="1" ht="23.1" hidden="1" customHeight="1" outlineLevel="2">
      <c r="A12" s="171">
        <v>1.4999999999999996</v>
      </c>
      <c r="B12" s="113" t="s">
        <v>1063</v>
      </c>
      <c r="C12" s="237" t="s">
        <v>1064</v>
      </c>
      <c r="D12" s="238" t="s">
        <v>247</v>
      </c>
      <c r="E12" s="123"/>
      <c r="F12" s="120">
        <v>74.989999999999995</v>
      </c>
      <c r="G12" s="205">
        <v>148904.10580232806</v>
      </c>
      <c r="H12" s="123"/>
      <c r="I12" s="120"/>
      <c r="J12" s="205">
        <v>316263.67999999999</v>
      </c>
      <c r="K12" s="207">
        <f t="shared" si="2"/>
        <v>0</v>
      </c>
      <c r="L12" s="205">
        <f t="shared" si="3"/>
        <v>74.989999999999995</v>
      </c>
      <c r="M12" s="205">
        <f t="shared" si="0"/>
        <v>0</v>
      </c>
      <c r="N12" s="207">
        <f t="shared" si="4"/>
        <v>0</v>
      </c>
      <c r="O12" s="207">
        <f t="shared" si="5"/>
        <v>88</v>
      </c>
      <c r="P12" s="205">
        <f t="shared" si="6"/>
        <v>0</v>
      </c>
      <c r="Q12" s="206">
        <v>2470.81</v>
      </c>
      <c r="R12" s="205">
        <v>74.989999999999995</v>
      </c>
      <c r="S12" s="205">
        <f t="shared" si="1"/>
        <v>185286.04189999998</v>
      </c>
      <c r="T12" s="207">
        <f t="shared" si="7"/>
        <v>2470.81</v>
      </c>
      <c r="U12" s="207">
        <v>88</v>
      </c>
      <c r="V12" s="205">
        <f t="shared" si="8"/>
        <v>217431.28</v>
      </c>
      <c r="W12" s="123"/>
      <c r="Y12" s="206">
        <v>2470.81</v>
      </c>
      <c r="Z12" s="205">
        <v>74.989999999999995</v>
      </c>
      <c r="AA12" s="205">
        <v>185286.04189999998</v>
      </c>
      <c r="AB12" s="207">
        <v>2470.81</v>
      </c>
      <c r="AC12" s="207">
        <v>88</v>
      </c>
      <c r="AD12" s="205">
        <v>217431.28</v>
      </c>
    </row>
    <row r="13" spans="1:30" s="59" customFormat="1" ht="23.1" hidden="1" customHeight="1" outlineLevel="2">
      <c r="A13" s="171">
        <v>1.5999999999999994</v>
      </c>
      <c r="B13" s="113" t="s">
        <v>1063</v>
      </c>
      <c r="C13" s="237" t="s">
        <v>1065</v>
      </c>
      <c r="D13" s="238" t="s">
        <v>247</v>
      </c>
      <c r="E13" s="123"/>
      <c r="F13" s="120">
        <v>87.45</v>
      </c>
      <c r="G13" s="205">
        <v>159602.23700905099</v>
      </c>
      <c r="H13" s="123"/>
      <c r="I13" s="120"/>
      <c r="J13" s="205">
        <v>291700.47999999998</v>
      </c>
      <c r="K13" s="207">
        <f t="shared" si="2"/>
        <v>0</v>
      </c>
      <c r="L13" s="205">
        <f t="shared" si="3"/>
        <v>87.45</v>
      </c>
      <c r="M13" s="205">
        <f t="shared" si="0"/>
        <v>0</v>
      </c>
      <c r="N13" s="207">
        <f t="shared" si="4"/>
        <v>0</v>
      </c>
      <c r="O13" s="207">
        <f t="shared" si="5"/>
        <v>88</v>
      </c>
      <c r="P13" s="205">
        <f t="shared" si="6"/>
        <v>0</v>
      </c>
      <c r="Q13" s="206">
        <v>2278.91</v>
      </c>
      <c r="R13" s="205">
        <v>87.45</v>
      </c>
      <c r="S13" s="205">
        <f t="shared" si="1"/>
        <v>199290.6795</v>
      </c>
      <c r="T13" s="207">
        <f t="shared" si="7"/>
        <v>2278.91</v>
      </c>
      <c r="U13" s="207">
        <v>88</v>
      </c>
      <c r="V13" s="205">
        <f t="shared" si="8"/>
        <v>200544.08</v>
      </c>
      <c r="W13" s="123"/>
      <c r="Y13" s="206">
        <v>2278.91</v>
      </c>
      <c r="Z13" s="205">
        <v>87.45</v>
      </c>
      <c r="AA13" s="205">
        <v>199290.6795</v>
      </c>
      <c r="AB13" s="207">
        <v>2278.91</v>
      </c>
      <c r="AC13" s="207">
        <v>88</v>
      </c>
      <c r="AD13" s="205">
        <v>200544.08</v>
      </c>
    </row>
    <row r="14" spans="1:30" s="59" customFormat="1" ht="23.1" hidden="1" customHeight="1" outlineLevel="2">
      <c r="A14" s="171">
        <v>1.6999999999999993</v>
      </c>
      <c r="B14" s="113" t="s">
        <v>1066</v>
      </c>
      <c r="C14" s="237" t="s">
        <v>1067</v>
      </c>
      <c r="D14" s="238" t="s">
        <v>247</v>
      </c>
      <c r="E14" s="123"/>
      <c r="F14" s="120">
        <v>67.069999999999993</v>
      </c>
      <c r="G14" s="205">
        <v>335698.88744095713</v>
      </c>
      <c r="H14" s="123"/>
      <c r="I14" s="120"/>
      <c r="J14" s="205">
        <v>787627.52000000002</v>
      </c>
      <c r="K14" s="207">
        <f t="shared" si="2"/>
        <v>0</v>
      </c>
      <c r="L14" s="205">
        <f t="shared" si="3"/>
        <v>67.069999999999993</v>
      </c>
      <c r="M14" s="205">
        <f t="shared" si="0"/>
        <v>0</v>
      </c>
      <c r="N14" s="207">
        <f t="shared" si="4"/>
        <v>0</v>
      </c>
      <c r="O14" s="207">
        <f t="shared" si="5"/>
        <v>88</v>
      </c>
      <c r="P14" s="205">
        <f t="shared" si="6"/>
        <v>0</v>
      </c>
      <c r="Q14" s="206">
        <v>6153.34</v>
      </c>
      <c r="R14" s="205">
        <v>67.069999999999993</v>
      </c>
      <c r="S14" s="205">
        <f t="shared" si="1"/>
        <v>412704.51379999996</v>
      </c>
      <c r="T14" s="207">
        <f t="shared" si="7"/>
        <v>6153.34</v>
      </c>
      <c r="U14" s="207">
        <v>88</v>
      </c>
      <c r="V14" s="205">
        <f t="shared" si="8"/>
        <v>541493.92000000004</v>
      </c>
      <c r="W14" s="123"/>
      <c r="Y14" s="206">
        <v>6153.34</v>
      </c>
      <c r="Z14" s="205">
        <v>67.069999999999993</v>
      </c>
      <c r="AA14" s="205">
        <v>412704.51379999996</v>
      </c>
      <c r="AB14" s="207">
        <v>6153.34</v>
      </c>
      <c r="AC14" s="207">
        <v>88</v>
      </c>
      <c r="AD14" s="205">
        <v>541493.92000000004</v>
      </c>
    </row>
    <row r="15" spans="1:30" s="59" customFormat="1" ht="23.1" hidden="1" customHeight="1" outlineLevel="2">
      <c r="A15" s="171">
        <v>1.7999999999999992</v>
      </c>
      <c r="B15" s="113" t="s">
        <v>1066</v>
      </c>
      <c r="C15" s="237" t="s">
        <v>1068</v>
      </c>
      <c r="D15" s="238" t="s">
        <v>247</v>
      </c>
      <c r="E15" s="123"/>
      <c r="F15" s="120">
        <v>77.91</v>
      </c>
      <c r="G15" s="205">
        <v>151517.522201324</v>
      </c>
      <c r="H15" s="123"/>
      <c r="I15" s="120"/>
      <c r="J15" s="205">
        <v>307166.71999999997</v>
      </c>
      <c r="K15" s="207">
        <f t="shared" si="2"/>
        <v>0</v>
      </c>
      <c r="L15" s="205">
        <f t="shared" si="3"/>
        <v>77.91</v>
      </c>
      <c r="M15" s="205">
        <f t="shared" si="0"/>
        <v>0</v>
      </c>
      <c r="N15" s="207">
        <f t="shared" si="4"/>
        <v>0</v>
      </c>
      <c r="O15" s="207">
        <f t="shared" si="5"/>
        <v>88</v>
      </c>
      <c r="P15" s="205">
        <f t="shared" si="6"/>
        <v>0</v>
      </c>
      <c r="Q15" s="206">
        <v>2399.7399999999998</v>
      </c>
      <c r="R15" s="205">
        <v>77.91</v>
      </c>
      <c r="S15" s="205">
        <f t="shared" si="1"/>
        <v>186963.74339999998</v>
      </c>
      <c r="T15" s="207">
        <f t="shared" si="7"/>
        <v>2399.7399999999998</v>
      </c>
      <c r="U15" s="207">
        <v>88</v>
      </c>
      <c r="V15" s="205">
        <f t="shared" si="8"/>
        <v>211177.12</v>
      </c>
      <c r="W15" s="123"/>
      <c r="Y15" s="206">
        <v>2399.7399999999998</v>
      </c>
      <c r="Z15" s="205">
        <v>77.91</v>
      </c>
      <c r="AA15" s="205">
        <v>186963.74339999998</v>
      </c>
      <c r="AB15" s="207">
        <v>2399.7399999999998</v>
      </c>
      <c r="AC15" s="207">
        <v>88</v>
      </c>
      <c r="AD15" s="205">
        <v>211177.12</v>
      </c>
    </row>
    <row r="16" spans="1:30" s="59" customFormat="1" ht="23.1" hidden="1" customHeight="1" outlineLevel="2">
      <c r="A16" s="171">
        <v>1.899999999999999</v>
      </c>
      <c r="B16" s="113" t="s">
        <v>1069</v>
      </c>
      <c r="C16" s="237" t="s">
        <v>1067</v>
      </c>
      <c r="D16" s="238" t="s">
        <v>247</v>
      </c>
      <c r="E16" s="123"/>
      <c r="F16" s="120">
        <v>65.010000000000005</v>
      </c>
      <c r="G16" s="205">
        <v>193814.18586631928</v>
      </c>
      <c r="H16" s="123"/>
      <c r="I16" s="120"/>
      <c r="J16" s="205">
        <v>470859.52000000002</v>
      </c>
      <c r="K16" s="207">
        <f t="shared" si="2"/>
        <v>0</v>
      </c>
      <c r="L16" s="205">
        <f t="shared" si="3"/>
        <v>65.010000000000005</v>
      </c>
      <c r="M16" s="205">
        <f t="shared" si="0"/>
        <v>0</v>
      </c>
      <c r="N16" s="207">
        <f t="shared" si="4"/>
        <v>0</v>
      </c>
      <c r="O16" s="207">
        <f t="shared" si="5"/>
        <v>88</v>
      </c>
      <c r="P16" s="205">
        <f t="shared" si="6"/>
        <v>0</v>
      </c>
      <c r="Q16" s="206">
        <v>5530.72</v>
      </c>
      <c r="R16" s="205">
        <v>65.010000000000005</v>
      </c>
      <c r="S16" s="205">
        <f t="shared" si="1"/>
        <v>359552.10720000003</v>
      </c>
      <c r="T16" s="207">
        <f t="shared" si="7"/>
        <v>5530.72</v>
      </c>
      <c r="U16" s="207">
        <v>88</v>
      </c>
      <c r="V16" s="205">
        <f t="shared" si="8"/>
        <v>486703.36000000004</v>
      </c>
      <c r="W16" s="123"/>
      <c r="Y16" s="206">
        <v>5530.72</v>
      </c>
      <c r="Z16" s="205">
        <v>65.010000000000005</v>
      </c>
      <c r="AA16" s="205">
        <v>359552.10720000003</v>
      </c>
      <c r="AB16" s="207">
        <v>5530.72</v>
      </c>
      <c r="AC16" s="207">
        <v>88</v>
      </c>
      <c r="AD16" s="205">
        <v>486703.36000000004</v>
      </c>
    </row>
    <row r="17" spans="1:30" s="59" customFormat="1" ht="23.1" hidden="1" customHeight="1" outlineLevel="2">
      <c r="A17" s="239">
        <v>1.1000000000000001</v>
      </c>
      <c r="B17" s="113" t="s">
        <v>1069</v>
      </c>
      <c r="C17" s="237" t="s">
        <v>1068</v>
      </c>
      <c r="D17" s="238" t="s">
        <v>247</v>
      </c>
      <c r="E17" s="123"/>
      <c r="F17" s="120">
        <v>75.84</v>
      </c>
      <c r="G17" s="205">
        <v>168089.34362298713</v>
      </c>
      <c r="H17" s="123"/>
      <c r="I17" s="120"/>
      <c r="J17" s="205">
        <v>351153.91999999998</v>
      </c>
      <c r="K17" s="207">
        <f t="shared" si="2"/>
        <v>0</v>
      </c>
      <c r="L17" s="205">
        <f t="shared" si="3"/>
        <v>75.84</v>
      </c>
      <c r="M17" s="205">
        <f t="shared" si="0"/>
        <v>0</v>
      </c>
      <c r="N17" s="207">
        <f t="shared" si="4"/>
        <v>0</v>
      </c>
      <c r="O17" s="207">
        <f t="shared" si="5"/>
        <v>88</v>
      </c>
      <c r="P17" s="205">
        <f t="shared" si="6"/>
        <v>0</v>
      </c>
      <c r="Q17" s="206">
        <v>2743.39</v>
      </c>
      <c r="R17" s="205">
        <v>75.84</v>
      </c>
      <c r="S17" s="205">
        <f t="shared" si="1"/>
        <v>208058.69760000001</v>
      </c>
      <c r="T17" s="207">
        <f t="shared" si="7"/>
        <v>2743.39</v>
      </c>
      <c r="U17" s="207">
        <v>88</v>
      </c>
      <c r="V17" s="205">
        <f t="shared" si="8"/>
        <v>241418.31999999998</v>
      </c>
      <c r="W17" s="123"/>
      <c r="Y17" s="206">
        <v>2743.39</v>
      </c>
      <c r="Z17" s="205">
        <v>75.84</v>
      </c>
      <c r="AA17" s="205">
        <v>208058.69760000001</v>
      </c>
      <c r="AB17" s="207">
        <v>2743.39</v>
      </c>
      <c r="AC17" s="207">
        <v>88</v>
      </c>
      <c r="AD17" s="205">
        <v>241418.31999999998</v>
      </c>
    </row>
    <row r="18" spans="1:30" s="59" customFormat="1" ht="23.1" hidden="1" customHeight="1" outlineLevel="2">
      <c r="A18" s="171">
        <v>1.1100000000000001</v>
      </c>
      <c r="B18" s="113" t="s">
        <v>1070</v>
      </c>
      <c r="C18" s="237" t="s">
        <v>1071</v>
      </c>
      <c r="D18" s="238" t="s">
        <v>247</v>
      </c>
      <c r="E18" s="123"/>
      <c r="F18" s="120">
        <v>78.2</v>
      </c>
      <c r="G18" s="205">
        <v>7874.2675076697242</v>
      </c>
      <c r="H18" s="123"/>
      <c r="I18" s="120"/>
      <c r="J18" s="205">
        <v>16128</v>
      </c>
      <c r="K18" s="207">
        <f t="shared" si="2"/>
        <v>0</v>
      </c>
      <c r="L18" s="205">
        <f t="shared" si="3"/>
        <v>78.2</v>
      </c>
      <c r="M18" s="205">
        <f t="shared" si="0"/>
        <v>0</v>
      </c>
      <c r="N18" s="207">
        <f t="shared" si="4"/>
        <v>0</v>
      </c>
      <c r="O18" s="207">
        <f t="shared" si="5"/>
        <v>88</v>
      </c>
      <c r="P18" s="205">
        <f t="shared" si="6"/>
        <v>0</v>
      </c>
      <c r="Q18" s="206">
        <v>126</v>
      </c>
      <c r="R18" s="205">
        <v>78.2</v>
      </c>
      <c r="S18" s="205">
        <f t="shared" si="1"/>
        <v>9853.2000000000007</v>
      </c>
      <c r="T18" s="207">
        <f t="shared" si="7"/>
        <v>126</v>
      </c>
      <c r="U18" s="207">
        <v>88</v>
      </c>
      <c r="V18" s="205">
        <f t="shared" si="8"/>
        <v>11088</v>
      </c>
      <c r="W18" s="123"/>
      <c r="Y18" s="206">
        <v>126</v>
      </c>
      <c r="Z18" s="205">
        <v>78.2</v>
      </c>
      <c r="AA18" s="205">
        <v>9853.2000000000007</v>
      </c>
      <c r="AB18" s="207">
        <v>126</v>
      </c>
      <c r="AC18" s="207">
        <v>88</v>
      </c>
      <c r="AD18" s="205">
        <v>11088</v>
      </c>
    </row>
    <row r="19" spans="1:30" s="59" customFormat="1" ht="23.1" hidden="1" customHeight="1" outlineLevel="2">
      <c r="A19" s="239">
        <v>1.1200000000000001</v>
      </c>
      <c r="B19" s="113" t="s">
        <v>1070</v>
      </c>
      <c r="C19" s="237" t="s">
        <v>1072</v>
      </c>
      <c r="D19" s="238" t="s">
        <v>247</v>
      </c>
      <c r="E19" s="123"/>
      <c r="F19" s="120">
        <v>91.64</v>
      </c>
      <c r="G19" s="205">
        <v>14193.656131640368</v>
      </c>
      <c r="H19" s="123"/>
      <c r="I19" s="120"/>
      <c r="J19" s="205">
        <v>24883.200000000001</v>
      </c>
      <c r="K19" s="207">
        <f t="shared" si="2"/>
        <v>0</v>
      </c>
      <c r="L19" s="205">
        <f t="shared" si="3"/>
        <v>91.64</v>
      </c>
      <c r="M19" s="205">
        <f t="shared" si="0"/>
        <v>0</v>
      </c>
      <c r="N19" s="207">
        <f t="shared" si="4"/>
        <v>0</v>
      </c>
      <c r="O19" s="207">
        <f t="shared" si="5"/>
        <v>88</v>
      </c>
      <c r="P19" s="205">
        <f t="shared" si="6"/>
        <v>0</v>
      </c>
      <c r="Q19" s="206">
        <v>194.4</v>
      </c>
      <c r="R19" s="205">
        <v>91.64</v>
      </c>
      <c r="S19" s="205">
        <f t="shared" si="1"/>
        <v>17814.815999999999</v>
      </c>
      <c r="T19" s="207">
        <f t="shared" si="7"/>
        <v>194.4</v>
      </c>
      <c r="U19" s="207">
        <v>88</v>
      </c>
      <c r="V19" s="205">
        <f t="shared" si="8"/>
        <v>17107.2</v>
      </c>
      <c r="W19" s="123"/>
      <c r="Y19" s="206">
        <v>194.4</v>
      </c>
      <c r="Z19" s="205">
        <v>91.64</v>
      </c>
      <c r="AA19" s="205">
        <v>17814.815999999999</v>
      </c>
      <c r="AB19" s="207">
        <v>194.4</v>
      </c>
      <c r="AC19" s="207">
        <v>88</v>
      </c>
      <c r="AD19" s="205">
        <v>17107.2</v>
      </c>
    </row>
    <row r="20" spans="1:30" s="59" customFormat="1" ht="23.1" hidden="1" customHeight="1" outlineLevel="2">
      <c r="A20" s="171">
        <v>1.1300000000000001</v>
      </c>
      <c r="B20" s="113" t="s">
        <v>1073</v>
      </c>
      <c r="C20" s="237" t="s">
        <v>1074</v>
      </c>
      <c r="D20" s="238" t="s">
        <v>247</v>
      </c>
      <c r="E20" s="123"/>
      <c r="F20" s="120">
        <v>72.89</v>
      </c>
      <c r="G20" s="205">
        <v>39861.158417544211</v>
      </c>
      <c r="H20" s="123"/>
      <c r="I20" s="120"/>
      <c r="J20" s="205">
        <v>86709.759999999995</v>
      </c>
      <c r="K20" s="207">
        <f t="shared" si="2"/>
        <v>0</v>
      </c>
      <c r="L20" s="205">
        <f t="shared" si="3"/>
        <v>72.89</v>
      </c>
      <c r="M20" s="205">
        <f t="shared" si="0"/>
        <v>0</v>
      </c>
      <c r="N20" s="207">
        <f t="shared" si="4"/>
        <v>0</v>
      </c>
      <c r="O20" s="207">
        <f t="shared" si="5"/>
        <v>88</v>
      </c>
      <c r="P20" s="205">
        <f t="shared" si="6"/>
        <v>0</v>
      </c>
      <c r="Q20" s="206">
        <v>775.67</v>
      </c>
      <c r="R20" s="205">
        <v>72.89</v>
      </c>
      <c r="S20" s="205">
        <f t="shared" si="1"/>
        <v>56538.586299999995</v>
      </c>
      <c r="T20" s="207">
        <f t="shared" si="7"/>
        <v>775.67</v>
      </c>
      <c r="U20" s="207">
        <v>88</v>
      </c>
      <c r="V20" s="205">
        <f t="shared" si="8"/>
        <v>68258.959999999992</v>
      </c>
      <c r="W20" s="123"/>
      <c r="Y20" s="206">
        <v>775.67</v>
      </c>
      <c r="Z20" s="205">
        <v>72.89</v>
      </c>
      <c r="AA20" s="205">
        <v>56538.586299999995</v>
      </c>
      <c r="AB20" s="207">
        <v>775.67</v>
      </c>
      <c r="AC20" s="207">
        <v>88</v>
      </c>
      <c r="AD20" s="205">
        <v>68258.959999999992</v>
      </c>
    </row>
    <row r="21" spans="1:30" s="59" customFormat="1" ht="23.1" hidden="1" customHeight="1" outlineLevel="2">
      <c r="A21" s="239">
        <v>1.1400000000000001</v>
      </c>
      <c r="B21" s="113" t="s">
        <v>1073</v>
      </c>
      <c r="C21" s="237" t="s">
        <v>1075</v>
      </c>
      <c r="D21" s="238" t="s">
        <v>247</v>
      </c>
      <c r="E21" s="123"/>
      <c r="F21" s="120">
        <v>79.61</v>
      </c>
      <c r="G21" s="205">
        <v>180531.16023175928</v>
      </c>
      <c r="H21" s="123"/>
      <c r="I21" s="120"/>
      <c r="J21" s="205">
        <v>360462.08000000002</v>
      </c>
      <c r="K21" s="207">
        <f t="shared" si="2"/>
        <v>0</v>
      </c>
      <c r="L21" s="205">
        <f t="shared" si="3"/>
        <v>79.61</v>
      </c>
      <c r="M21" s="205">
        <f t="shared" si="0"/>
        <v>0</v>
      </c>
      <c r="N21" s="207">
        <f t="shared" si="4"/>
        <v>0</v>
      </c>
      <c r="O21" s="207">
        <f t="shared" si="5"/>
        <v>88</v>
      </c>
      <c r="P21" s="205">
        <f t="shared" si="6"/>
        <v>0</v>
      </c>
      <c r="Q21" s="206">
        <v>2816.11</v>
      </c>
      <c r="R21" s="205">
        <v>79.61</v>
      </c>
      <c r="S21" s="205">
        <f t="shared" si="1"/>
        <v>224190.5171</v>
      </c>
      <c r="T21" s="207">
        <f t="shared" si="7"/>
        <v>2816.11</v>
      </c>
      <c r="U21" s="207">
        <v>88</v>
      </c>
      <c r="V21" s="205">
        <f t="shared" si="8"/>
        <v>247817.68000000002</v>
      </c>
      <c r="W21" s="123"/>
      <c r="Y21" s="206">
        <v>2816.11</v>
      </c>
      <c r="Z21" s="205">
        <v>79.61</v>
      </c>
      <c r="AA21" s="205">
        <v>224190.5171</v>
      </c>
      <c r="AB21" s="207">
        <v>2816.11</v>
      </c>
      <c r="AC21" s="207">
        <v>88</v>
      </c>
      <c r="AD21" s="205">
        <v>247817.68000000002</v>
      </c>
    </row>
    <row r="22" spans="1:30" s="59" customFormat="1" ht="23.1" hidden="1" customHeight="1" outlineLevel="2">
      <c r="A22" s="171">
        <v>1.1500000000000001</v>
      </c>
      <c r="B22" s="113" t="s">
        <v>1073</v>
      </c>
      <c r="C22" s="237" t="s">
        <v>1076</v>
      </c>
      <c r="D22" s="238" t="s">
        <v>247</v>
      </c>
      <c r="E22" s="123"/>
      <c r="F22" s="120">
        <v>83.57</v>
      </c>
      <c r="G22" s="205">
        <v>49495.762817438532</v>
      </c>
      <c r="H22" s="123"/>
      <c r="I22" s="120"/>
      <c r="J22" s="205">
        <v>93948.160000000003</v>
      </c>
      <c r="K22" s="207">
        <f t="shared" si="2"/>
        <v>0</v>
      </c>
      <c r="L22" s="205">
        <f t="shared" si="3"/>
        <v>83.57</v>
      </c>
      <c r="M22" s="205">
        <f t="shared" si="0"/>
        <v>0</v>
      </c>
      <c r="N22" s="207">
        <f t="shared" si="4"/>
        <v>0</v>
      </c>
      <c r="O22" s="207">
        <f t="shared" si="5"/>
        <v>88</v>
      </c>
      <c r="P22" s="205">
        <f t="shared" si="6"/>
        <v>0</v>
      </c>
      <c r="Q22" s="206">
        <v>738.94</v>
      </c>
      <c r="R22" s="205">
        <v>83.57</v>
      </c>
      <c r="S22" s="205">
        <f t="shared" si="1"/>
        <v>61753.215799999998</v>
      </c>
      <c r="T22" s="207">
        <f t="shared" si="7"/>
        <v>738.94</v>
      </c>
      <c r="U22" s="207">
        <v>88</v>
      </c>
      <c r="V22" s="205">
        <f t="shared" si="8"/>
        <v>65026.720000000001</v>
      </c>
      <c r="W22" s="123"/>
      <c r="Y22" s="206">
        <v>738.94</v>
      </c>
      <c r="Z22" s="205">
        <v>83.57</v>
      </c>
      <c r="AA22" s="205">
        <v>61753.215799999998</v>
      </c>
      <c r="AB22" s="207">
        <v>738.94</v>
      </c>
      <c r="AC22" s="207">
        <v>88</v>
      </c>
      <c r="AD22" s="205">
        <v>65026.720000000001</v>
      </c>
    </row>
    <row r="23" spans="1:30" s="59" customFormat="1" ht="23.1" hidden="1" customHeight="1" outlineLevel="2">
      <c r="A23" s="239">
        <v>1.1600000000000001</v>
      </c>
      <c r="B23" s="113" t="s">
        <v>1077</v>
      </c>
      <c r="C23" s="237" t="s">
        <v>1078</v>
      </c>
      <c r="D23" s="238" t="s">
        <v>247</v>
      </c>
      <c r="E23" s="123"/>
      <c r="F23" s="120">
        <v>74.760000000000005</v>
      </c>
      <c r="G23" s="205">
        <v>42155.57779856147</v>
      </c>
      <c r="H23" s="123"/>
      <c r="I23" s="120"/>
      <c r="J23" s="205">
        <v>89465.600000000006</v>
      </c>
      <c r="K23" s="207">
        <f t="shared" si="2"/>
        <v>0</v>
      </c>
      <c r="L23" s="205">
        <f t="shared" si="3"/>
        <v>74.760000000000005</v>
      </c>
      <c r="M23" s="205">
        <f t="shared" si="0"/>
        <v>0</v>
      </c>
      <c r="N23" s="207">
        <f t="shared" si="4"/>
        <v>0</v>
      </c>
      <c r="O23" s="207">
        <f t="shared" si="5"/>
        <v>88</v>
      </c>
      <c r="P23" s="205">
        <f t="shared" si="6"/>
        <v>0</v>
      </c>
      <c r="Q23" s="206">
        <v>698.95</v>
      </c>
      <c r="R23" s="205">
        <v>74.760000000000005</v>
      </c>
      <c r="S23" s="205">
        <f t="shared" si="1"/>
        <v>52253.502000000008</v>
      </c>
      <c r="T23" s="207">
        <f t="shared" si="7"/>
        <v>698.95</v>
      </c>
      <c r="U23" s="207">
        <v>88</v>
      </c>
      <c r="V23" s="205">
        <f t="shared" si="8"/>
        <v>61507.600000000006</v>
      </c>
      <c r="W23" s="123"/>
      <c r="Y23" s="206">
        <v>698.95</v>
      </c>
      <c r="Z23" s="205">
        <v>74.760000000000005</v>
      </c>
      <c r="AA23" s="205">
        <v>52253.502000000008</v>
      </c>
      <c r="AB23" s="207">
        <v>698.95</v>
      </c>
      <c r="AC23" s="207">
        <v>88</v>
      </c>
      <c r="AD23" s="205">
        <v>61507.600000000006</v>
      </c>
    </row>
    <row r="24" spans="1:30" s="59" customFormat="1" ht="23.1" hidden="1" customHeight="1" outlineLevel="2">
      <c r="A24" s="171">
        <v>1.1700000000000002</v>
      </c>
      <c r="B24" s="113" t="s">
        <v>1077</v>
      </c>
      <c r="C24" s="237" t="s">
        <v>1079</v>
      </c>
      <c r="D24" s="238" t="s">
        <v>247</v>
      </c>
      <c r="E24" s="123"/>
      <c r="F24" s="120">
        <v>75.64</v>
      </c>
      <c r="G24" s="205">
        <v>64959.304234621653</v>
      </c>
      <c r="H24" s="123"/>
      <c r="I24" s="120"/>
      <c r="J24" s="205">
        <v>136148.48000000001</v>
      </c>
      <c r="K24" s="207">
        <f t="shared" si="2"/>
        <v>0</v>
      </c>
      <c r="L24" s="205">
        <f t="shared" si="3"/>
        <v>75.64</v>
      </c>
      <c r="M24" s="205">
        <f t="shared" si="0"/>
        <v>0</v>
      </c>
      <c r="N24" s="207">
        <f t="shared" si="4"/>
        <v>0</v>
      </c>
      <c r="O24" s="207">
        <f t="shared" si="5"/>
        <v>88</v>
      </c>
      <c r="P24" s="205">
        <f t="shared" si="6"/>
        <v>0</v>
      </c>
      <c r="Q24" s="206">
        <v>1540.44</v>
      </c>
      <c r="R24" s="205">
        <v>75.64</v>
      </c>
      <c r="S24" s="205">
        <f t="shared" si="1"/>
        <v>116518.88160000001</v>
      </c>
      <c r="T24" s="207">
        <f t="shared" si="7"/>
        <v>1540.44</v>
      </c>
      <c r="U24" s="207">
        <v>88</v>
      </c>
      <c r="V24" s="205">
        <f t="shared" si="8"/>
        <v>135558.72</v>
      </c>
      <c r="W24" s="123"/>
      <c r="Y24" s="206">
        <v>1540.44</v>
      </c>
      <c r="Z24" s="205">
        <v>75.64</v>
      </c>
      <c r="AA24" s="205">
        <v>116518.88160000001</v>
      </c>
      <c r="AB24" s="207">
        <v>1540.44</v>
      </c>
      <c r="AC24" s="207">
        <v>88</v>
      </c>
      <c r="AD24" s="205">
        <v>135558.72</v>
      </c>
    </row>
    <row r="25" spans="1:30" s="59" customFormat="1" ht="23.1" hidden="1" customHeight="1" outlineLevel="2">
      <c r="A25" s="239">
        <v>1.1800000000000002</v>
      </c>
      <c r="B25" s="113" t="s">
        <v>1077</v>
      </c>
      <c r="C25" s="237" t="s">
        <v>1080</v>
      </c>
      <c r="D25" s="238" t="s">
        <v>247</v>
      </c>
      <c r="E25" s="123"/>
      <c r="F25" s="120">
        <v>76.95</v>
      </c>
      <c r="G25" s="205">
        <v>33668.948356051369</v>
      </c>
      <c r="H25" s="123"/>
      <c r="I25" s="120"/>
      <c r="J25" s="205">
        <v>69286.399999999994</v>
      </c>
      <c r="K25" s="207">
        <f t="shared" si="2"/>
        <v>0</v>
      </c>
      <c r="L25" s="205">
        <f t="shared" si="3"/>
        <v>76.95</v>
      </c>
      <c r="M25" s="205">
        <f t="shared" si="0"/>
        <v>0</v>
      </c>
      <c r="N25" s="207">
        <f t="shared" si="4"/>
        <v>0</v>
      </c>
      <c r="O25" s="207">
        <f t="shared" si="5"/>
        <v>88</v>
      </c>
      <c r="P25" s="205">
        <f t="shared" si="6"/>
        <v>0</v>
      </c>
      <c r="Q25" s="206">
        <v>632.58000000000004</v>
      </c>
      <c r="R25" s="205">
        <v>76.95</v>
      </c>
      <c r="S25" s="205">
        <f t="shared" si="1"/>
        <v>48677.031000000003</v>
      </c>
      <c r="T25" s="207">
        <f t="shared" si="7"/>
        <v>632.58000000000004</v>
      </c>
      <c r="U25" s="207">
        <v>88</v>
      </c>
      <c r="V25" s="205">
        <f t="shared" si="8"/>
        <v>55667.040000000001</v>
      </c>
      <c r="W25" s="123"/>
      <c r="Y25" s="206">
        <v>632.58000000000004</v>
      </c>
      <c r="Z25" s="205">
        <v>76.95</v>
      </c>
      <c r="AA25" s="205">
        <v>48677.031000000003</v>
      </c>
      <c r="AB25" s="207">
        <v>632.58000000000004</v>
      </c>
      <c r="AC25" s="207">
        <v>88</v>
      </c>
      <c r="AD25" s="205">
        <v>55667.040000000001</v>
      </c>
    </row>
    <row r="26" spans="1:30" s="59" customFormat="1" ht="23.1" hidden="1" customHeight="1" outlineLevel="2">
      <c r="A26" s="171">
        <v>1.1900000000000002</v>
      </c>
      <c r="B26" s="113" t="s">
        <v>1077</v>
      </c>
      <c r="C26" s="237" t="s">
        <v>1081</v>
      </c>
      <c r="D26" s="238" t="s">
        <v>247</v>
      </c>
      <c r="E26" s="123"/>
      <c r="F26" s="120">
        <v>79.16</v>
      </c>
      <c r="G26" s="205">
        <v>165346.65758649245</v>
      </c>
      <c r="H26" s="123"/>
      <c r="I26" s="120"/>
      <c r="J26" s="205">
        <v>330241.28000000003</v>
      </c>
      <c r="K26" s="207">
        <f t="shared" si="2"/>
        <v>0</v>
      </c>
      <c r="L26" s="205">
        <f t="shared" si="3"/>
        <v>79.16</v>
      </c>
      <c r="M26" s="205">
        <f t="shared" si="0"/>
        <v>0</v>
      </c>
      <c r="N26" s="207">
        <f t="shared" si="4"/>
        <v>0</v>
      </c>
      <c r="O26" s="207">
        <f t="shared" si="5"/>
        <v>88</v>
      </c>
      <c r="P26" s="205">
        <f t="shared" si="6"/>
        <v>0</v>
      </c>
      <c r="Q26" s="206">
        <v>1667.63</v>
      </c>
      <c r="R26" s="205">
        <v>79.16</v>
      </c>
      <c r="S26" s="205">
        <f t="shared" si="1"/>
        <v>132009.59080000001</v>
      </c>
      <c r="T26" s="207">
        <f t="shared" si="7"/>
        <v>1667.63</v>
      </c>
      <c r="U26" s="207">
        <v>88</v>
      </c>
      <c r="V26" s="205">
        <f t="shared" si="8"/>
        <v>146751.44</v>
      </c>
      <c r="W26" s="123"/>
      <c r="Y26" s="206">
        <v>1667.63</v>
      </c>
      <c r="Z26" s="205">
        <v>79.16</v>
      </c>
      <c r="AA26" s="205">
        <v>132009.59080000001</v>
      </c>
      <c r="AB26" s="207">
        <v>1667.63</v>
      </c>
      <c r="AC26" s="207">
        <v>88</v>
      </c>
      <c r="AD26" s="205">
        <v>146751.44</v>
      </c>
    </row>
    <row r="27" spans="1:30" s="59" customFormat="1" ht="23.1" hidden="1" customHeight="1" outlineLevel="2">
      <c r="A27" s="239">
        <v>1.2000000000000002</v>
      </c>
      <c r="B27" s="113" t="s">
        <v>1077</v>
      </c>
      <c r="C27" s="237" t="s">
        <v>1082</v>
      </c>
      <c r="D27" s="238" t="s">
        <v>247</v>
      </c>
      <c r="E27" s="123"/>
      <c r="F27" s="120">
        <v>79.16</v>
      </c>
      <c r="G27" s="205">
        <v>425184.71846680949</v>
      </c>
      <c r="H27" s="123"/>
      <c r="I27" s="120"/>
      <c r="J27" s="205">
        <v>849207.04</v>
      </c>
      <c r="K27" s="207">
        <f t="shared" si="2"/>
        <v>0</v>
      </c>
      <c r="L27" s="205">
        <f t="shared" si="3"/>
        <v>79.16</v>
      </c>
      <c r="M27" s="205">
        <f t="shared" si="0"/>
        <v>0</v>
      </c>
      <c r="N27" s="207">
        <f t="shared" si="4"/>
        <v>0</v>
      </c>
      <c r="O27" s="207">
        <f t="shared" si="5"/>
        <v>88</v>
      </c>
      <c r="P27" s="205">
        <f t="shared" si="6"/>
        <v>0</v>
      </c>
      <c r="Q27" s="206">
        <v>10216.59</v>
      </c>
      <c r="R27" s="205">
        <v>79.16</v>
      </c>
      <c r="S27" s="205">
        <f t="shared" si="1"/>
        <v>808745.26439999999</v>
      </c>
      <c r="T27" s="207">
        <f t="shared" si="7"/>
        <v>10216.59</v>
      </c>
      <c r="U27" s="207">
        <v>88</v>
      </c>
      <c r="V27" s="205">
        <f t="shared" si="8"/>
        <v>899059.92</v>
      </c>
      <c r="W27" s="123"/>
      <c r="Y27" s="206">
        <v>10216.59</v>
      </c>
      <c r="Z27" s="205">
        <v>79.16</v>
      </c>
      <c r="AA27" s="205">
        <v>808745.26439999999</v>
      </c>
      <c r="AB27" s="207">
        <v>10216.59</v>
      </c>
      <c r="AC27" s="207">
        <v>88</v>
      </c>
      <c r="AD27" s="205">
        <v>899059.92</v>
      </c>
    </row>
    <row r="28" spans="1:30" s="59" customFormat="1" ht="23.1" hidden="1" customHeight="1" outlineLevel="2">
      <c r="A28" s="171">
        <v>1.2100000000000002</v>
      </c>
      <c r="B28" s="113" t="s">
        <v>1077</v>
      </c>
      <c r="C28" s="237" t="s">
        <v>1083</v>
      </c>
      <c r="D28" s="238" t="s">
        <v>247</v>
      </c>
      <c r="E28" s="123"/>
      <c r="F28" s="120">
        <v>79.16</v>
      </c>
      <c r="G28" s="205">
        <v>20302.311873529539</v>
      </c>
      <c r="H28" s="123"/>
      <c r="I28" s="120"/>
      <c r="J28" s="205">
        <v>40549.120000000003</v>
      </c>
      <c r="K28" s="207">
        <f t="shared" si="2"/>
        <v>0</v>
      </c>
      <c r="L28" s="205">
        <f t="shared" si="3"/>
        <v>79.16</v>
      </c>
      <c r="M28" s="205">
        <f t="shared" si="0"/>
        <v>0</v>
      </c>
      <c r="N28" s="207">
        <f t="shared" si="4"/>
        <v>0</v>
      </c>
      <c r="O28" s="207">
        <f t="shared" si="5"/>
        <v>88</v>
      </c>
      <c r="P28" s="205">
        <f t="shared" si="6"/>
        <v>0</v>
      </c>
      <c r="Q28" s="206">
        <v>458.79</v>
      </c>
      <c r="R28" s="205">
        <v>79.16</v>
      </c>
      <c r="S28" s="205">
        <f t="shared" si="1"/>
        <v>36317.816400000003</v>
      </c>
      <c r="T28" s="207">
        <f t="shared" si="7"/>
        <v>458.79</v>
      </c>
      <c r="U28" s="207">
        <v>88</v>
      </c>
      <c r="V28" s="205">
        <f t="shared" si="8"/>
        <v>40373.520000000004</v>
      </c>
      <c r="W28" s="123"/>
      <c r="Y28" s="206">
        <v>458.79</v>
      </c>
      <c r="Z28" s="205">
        <v>79.16</v>
      </c>
      <c r="AA28" s="205">
        <v>36317.816400000003</v>
      </c>
      <c r="AB28" s="207">
        <v>458.79</v>
      </c>
      <c r="AC28" s="207">
        <v>88</v>
      </c>
      <c r="AD28" s="205">
        <v>40373.520000000004</v>
      </c>
    </row>
    <row r="29" spans="1:30" s="59" customFormat="1" ht="23.1" hidden="1" customHeight="1" outlineLevel="2">
      <c r="A29" s="239">
        <v>1.2200000000000002</v>
      </c>
      <c r="B29" s="113" t="s">
        <v>1084</v>
      </c>
      <c r="C29" s="237" t="s">
        <v>1085</v>
      </c>
      <c r="D29" s="238" t="s">
        <v>247</v>
      </c>
      <c r="E29" s="123"/>
      <c r="F29" s="120">
        <v>95.56</v>
      </c>
      <c r="G29" s="205">
        <v>33488.633895668259</v>
      </c>
      <c r="H29" s="123"/>
      <c r="I29" s="120"/>
      <c r="J29" s="205">
        <v>56698.879999999997</v>
      </c>
      <c r="K29" s="207">
        <f t="shared" si="2"/>
        <v>0</v>
      </c>
      <c r="L29" s="205">
        <f t="shared" si="3"/>
        <v>95.56</v>
      </c>
      <c r="M29" s="205">
        <f t="shared" si="0"/>
        <v>0</v>
      </c>
      <c r="N29" s="207">
        <f t="shared" si="4"/>
        <v>0</v>
      </c>
      <c r="O29" s="207">
        <f t="shared" si="5"/>
        <v>88</v>
      </c>
      <c r="P29" s="205">
        <f t="shared" si="6"/>
        <v>0</v>
      </c>
      <c r="Q29" s="206">
        <v>910.07</v>
      </c>
      <c r="R29" s="205">
        <v>95.56</v>
      </c>
      <c r="S29" s="205">
        <f t="shared" si="1"/>
        <v>86966.289200000014</v>
      </c>
      <c r="T29" s="207">
        <f t="shared" si="7"/>
        <v>910.07</v>
      </c>
      <c r="U29" s="207">
        <v>88</v>
      </c>
      <c r="V29" s="205">
        <f t="shared" si="8"/>
        <v>80086.16</v>
      </c>
      <c r="W29" s="123"/>
      <c r="Y29" s="206">
        <v>910.07</v>
      </c>
      <c r="Z29" s="205">
        <v>95.56</v>
      </c>
      <c r="AA29" s="205">
        <v>86966.289200000014</v>
      </c>
      <c r="AB29" s="207">
        <v>910.07</v>
      </c>
      <c r="AC29" s="207">
        <v>88</v>
      </c>
      <c r="AD29" s="205">
        <v>80086.16</v>
      </c>
    </row>
    <row r="30" spans="1:30" s="59" customFormat="1" ht="23.1" hidden="1" customHeight="1" outlineLevel="2">
      <c r="A30" s="171">
        <v>1.2300000000000002</v>
      </c>
      <c r="B30" s="113" t="s">
        <v>1086</v>
      </c>
      <c r="C30" s="237" t="s">
        <v>1087</v>
      </c>
      <c r="D30" s="238" t="s">
        <v>247</v>
      </c>
      <c r="E30" s="123"/>
      <c r="F30" s="120">
        <v>74.989999999999995</v>
      </c>
      <c r="G30" s="205">
        <v>14713.772986040365</v>
      </c>
      <c r="H30" s="123"/>
      <c r="I30" s="120"/>
      <c r="J30" s="205">
        <v>0</v>
      </c>
      <c r="K30" s="207">
        <f t="shared" si="2"/>
        <v>0</v>
      </c>
      <c r="L30" s="205">
        <f t="shared" si="3"/>
        <v>74.989999999999995</v>
      </c>
      <c r="M30" s="205">
        <f t="shared" si="0"/>
        <v>0</v>
      </c>
      <c r="N30" s="207">
        <f t="shared" si="4"/>
        <v>0</v>
      </c>
      <c r="O30" s="207">
        <f t="shared" si="5"/>
        <v>88</v>
      </c>
      <c r="P30" s="205">
        <f t="shared" si="6"/>
        <v>0</v>
      </c>
      <c r="Q30" s="206">
        <v>0</v>
      </c>
      <c r="R30" s="205">
        <v>74.989999999999995</v>
      </c>
      <c r="S30" s="205">
        <f t="shared" si="1"/>
        <v>0</v>
      </c>
      <c r="T30" s="207">
        <f t="shared" si="7"/>
        <v>0</v>
      </c>
      <c r="U30" s="207">
        <v>88</v>
      </c>
      <c r="V30" s="205">
        <f t="shared" si="8"/>
        <v>0</v>
      </c>
      <c r="W30" s="123"/>
      <c r="Y30" s="206">
        <v>0</v>
      </c>
      <c r="Z30" s="205">
        <v>74.989999999999995</v>
      </c>
      <c r="AA30" s="205">
        <v>0</v>
      </c>
      <c r="AB30" s="207">
        <v>0</v>
      </c>
      <c r="AC30" s="207">
        <v>88</v>
      </c>
      <c r="AD30" s="205">
        <v>0</v>
      </c>
    </row>
    <row r="31" spans="1:30" s="59" customFormat="1" ht="23.1" hidden="1" customHeight="1" outlineLevel="2">
      <c r="A31" s="239">
        <v>1.2400000000000002</v>
      </c>
      <c r="B31" s="113" t="s">
        <v>1086</v>
      </c>
      <c r="C31" s="237" t="s">
        <v>1065</v>
      </c>
      <c r="D31" s="238" t="s">
        <v>247</v>
      </c>
      <c r="E31" s="123"/>
      <c r="F31" s="120">
        <v>87.45</v>
      </c>
      <c r="G31" s="205">
        <v>21716.286141956694</v>
      </c>
      <c r="H31" s="123"/>
      <c r="I31" s="120"/>
      <c r="J31" s="205">
        <v>0</v>
      </c>
      <c r="K31" s="207">
        <f t="shared" si="2"/>
        <v>0</v>
      </c>
      <c r="L31" s="205">
        <f t="shared" si="3"/>
        <v>87.45</v>
      </c>
      <c r="M31" s="205">
        <f t="shared" si="0"/>
        <v>0</v>
      </c>
      <c r="N31" s="207">
        <f t="shared" si="4"/>
        <v>0</v>
      </c>
      <c r="O31" s="207">
        <f t="shared" si="5"/>
        <v>88</v>
      </c>
      <c r="P31" s="205">
        <f t="shared" si="6"/>
        <v>0</v>
      </c>
      <c r="Q31" s="206">
        <v>0</v>
      </c>
      <c r="R31" s="205">
        <v>87.45</v>
      </c>
      <c r="S31" s="205">
        <f t="shared" si="1"/>
        <v>0</v>
      </c>
      <c r="T31" s="207">
        <f t="shared" si="7"/>
        <v>0</v>
      </c>
      <c r="U31" s="207">
        <v>88</v>
      </c>
      <c r="V31" s="205">
        <f t="shared" si="8"/>
        <v>0</v>
      </c>
      <c r="W31" s="123"/>
      <c r="Y31" s="206">
        <v>0</v>
      </c>
      <c r="Z31" s="205">
        <v>87.45</v>
      </c>
      <c r="AA31" s="205">
        <v>0</v>
      </c>
      <c r="AB31" s="207">
        <v>0</v>
      </c>
      <c r="AC31" s="207">
        <v>88</v>
      </c>
      <c r="AD31" s="205">
        <v>0</v>
      </c>
    </row>
    <row r="32" spans="1:30" s="59" customFormat="1" ht="23.1" hidden="1" customHeight="1" outlineLevel="2">
      <c r="A32" s="171">
        <v>1.2500000000000002</v>
      </c>
      <c r="B32" s="113" t="s">
        <v>1088</v>
      </c>
      <c r="C32" s="237" t="s">
        <v>1089</v>
      </c>
      <c r="D32" s="238" t="s">
        <v>247</v>
      </c>
      <c r="E32" s="123"/>
      <c r="F32" s="120">
        <v>143.25</v>
      </c>
      <c r="G32" s="205">
        <v>17586.757552029361</v>
      </c>
      <c r="H32" s="123"/>
      <c r="I32" s="120"/>
      <c r="J32" s="205">
        <v>19582.72</v>
      </c>
      <c r="K32" s="207">
        <f t="shared" si="2"/>
        <v>0</v>
      </c>
      <c r="L32" s="205">
        <f t="shared" si="3"/>
        <v>143.25</v>
      </c>
      <c r="M32" s="205">
        <f t="shared" si="0"/>
        <v>0</v>
      </c>
      <c r="N32" s="207">
        <f t="shared" si="4"/>
        <v>0</v>
      </c>
      <c r="O32" s="207">
        <f t="shared" si="5"/>
        <v>88</v>
      </c>
      <c r="P32" s="205">
        <f t="shared" si="6"/>
        <v>0</v>
      </c>
      <c r="Q32" s="206">
        <v>127.46</v>
      </c>
      <c r="R32" s="205">
        <v>143.25</v>
      </c>
      <c r="S32" s="205">
        <f t="shared" si="1"/>
        <v>18258.645</v>
      </c>
      <c r="T32" s="207">
        <f t="shared" si="7"/>
        <v>127.46</v>
      </c>
      <c r="U32" s="207">
        <v>88</v>
      </c>
      <c r="V32" s="205">
        <f t="shared" si="8"/>
        <v>11216.48</v>
      </c>
      <c r="W32" s="123"/>
      <c r="Y32" s="206">
        <v>127.46</v>
      </c>
      <c r="Z32" s="205">
        <v>143.25</v>
      </c>
      <c r="AA32" s="205">
        <v>18258.645</v>
      </c>
      <c r="AB32" s="207">
        <v>127.46</v>
      </c>
      <c r="AC32" s="207">
        <v>88</v>
      </c>
      <c r="AD32" s="205">
        <v>11216.48</v>
      </c>
    </row>
    <row r="33" spans="1:30" s="59" customFormat="1" ht="23.1" hidden="1" customHeight="1" outlineLevel="2">
      <c r="A33" s="239">
        <v>1.2600000000000002</v>
      </c>
      <c r="B33" s="113" t="s">
        <v>1090</v>
      </c>
      <c r="C33" s="237" t="s">
        <v>1091</v>
      </c>
      <c r="D33" s="238" t="s">
        <v>247</v>
      </c>
      <c r="E33" s="123"/>
      <c r="F33" s="120">
        <v>82.68</v>
      </c>
      <c r="G33" s="205">
        <v>9438.0148940565123</v>
      </c>
      <c r="H33" s="123"/>
      <c r="I33" s="120"/>
      <c r="J33" s="205">
        <v>0</v>
      </c>
      <c r="K33" s="207">
        <f t="shared" si="2"/>
        <v>0</v>
      </c>
      <c r="L33" s="205">
        <f t="shared" si="3"/>
        <v>82.68</v>
      </c>
      <c r="M33" s="205">
        <f t="shared" si="0"/>
        <v>0</v>
      </c>
      <c r="N33" s="207">
        <f t="shared" si="4"/>
        <v>0</v>
      </c>
      <c r="O33" s="207">
        <f t="shared" si="5"/>
        <v>88</v>
      </c>
      <c r="P33" s="205">
        <f t="shared" si="6"/>
        <v>0</v>
      </c>
      <c r="Q33" s="206">
        <v>0</v>
      </c>
      <c r="R33" s="205">
        <v>82.68</v>
      </c>
      <c r="S33" s="205">
        <f t="shared" si="1"/>
        <v>0</v>
      </c>
      <c r="T33" s="207">
        <f t="shared" si="7"/>
        <v>0</v>
      </c>
      <c r="U33" s="207">
        <v>88</v>
      </c>
      <c r="V33" s="205">
        <f t="shared" si="8"/>
        <v>0</v>
      </c>
      <c r="W33" s="123"/>
      <c r="Y33" s="206">
        <v>0</v>
      </c>
      <c r="Z33" s="205">
        <v>82.68</v>
      </c>
      <c r="AA33" s="205">
        <v>0</v>
      </c>
      <c r="AB33" s="207">
        <v>0</v>
      </c>
      <c r="AC33" s="207">
        <v>88</v>
      </c>
      <c r="AD33" s="205">
        <v>0</v>
      </c>
    </row>
    <row r="34" spans="1:30" s="59" customFormat="1" ht="23.1" hidden="1" customHeight="1" outlineLevel="2">
      <c r="A34" s="171">
        <v>1.2700000000000002</v>
      </c>
      <c r="B34" s="113" t="s">
        <v>1092</v>
      </c>
      <c r="C34" s="237" t="s">
        <v>1093</v>
      </c>
      <c r="D34" s="238" t="s">
        <v>247</v>
      </c>
      <c r="E34" s="123"/>
      <c r="F34" s="120">
        <v>97.72</v>
      </c>
      <c r="G34" s="205">
        <v>5458.9589130979803</v>
      </c>
      <c r="H34" s="123"/>
      <c r="I34" s="120"/>
      <c r="J34" s="205">
        <v>0</v>
      </c>
      <c r="K34" s="207">
        <f t="shared" si="2"/>
        <v>0</v>
      </c>
      <c r="L34" s="205">
        <f t="shared" si="3"/>
        <v>97.72</v>
      </c>
      <c r="M34" s="205">
        <f t="shared" si="0"/>
        <v>0</v>
      </c>
      <c r="N34" s="207">
        <f t="shared" si="4"/>
        <v>0</v>
      </c>
      <c r="O34" s="207">
        <f t="shared" si="5"/>
        <v>88</v>
      </c>
      <c r="P34" s="205">
        <f t="shared" si="6"/>
        <v>0</v>
      </c>
      <c r="Q34" s="206">
        <v>0</v>
      </c>
      <c r="R34" s="205">
        <v>97.72</v>
      </c>
      <c r="S34" s="205">
        <f t="shared" si="1"/>
        <v>0</v>
      </c>
      <c r="T34" s="207">
        <f t="shared" si="7"/>
        <v>0</v>
      </c>
      <c r="U34" s="207">
        <v>88</v>
      </c>
      <c r="V34" s="205">
        <f t="shared" si="8"/>
        <v>0</v>
      </c>
      <c r="W34" s="123"/>
      <c r="Y34" s="206">
        <v>0</v>
      </c>
      <c r="Z34" s="205">
        <v>97.72</v>
      </c>
      <c r="AA34" s="205">
        <v>0</v>
      </c>
      <c r="AB34" s="207">
        <v>0</v>
      </c>
      <c r="AC34" s="207">
        <v>88</v>
      </c>
      <c r="AD34" s="205">
        <v>0</v>
      </c>
    </row>
    <row r="35" spans="1:30" s="59" customFormat="1" ht="23.1" hidden="1" customHeight="1" outlineLevel="2">
      <c r="A35" s="239">
        <v>1.2800000000000002</v>
      </c>
      <c r="B35" s="113" t="s">
        <v>1094</v>
      </c>
      <c r="C35" s="237" t="s">
        <v>1095</v>
      </c>
      <c r="D35" s="238" t="s">
        <v>247</v>
      </c>
      <c r="E35" s="123"/>
      <c r="F35" s="120">
        <v>78.989999999999995</v>
      </c>
      <c r="G35" s="205">
        <v>635.18525944954126</v>
      </c>
      <c r="H35" s="123"/>
      <c r="I35" s="120"/>
      <c r="J35" s="205">
        <v>1280</v>
      </c>
      <c r="K35" s="207">
        <f t="shared" si="2"/>
        <v>0</v>
      </c>
      <c r="L35" s="205">
        <f t="shared" si="3"/>
        <v>78.989999999999995</v>
      </c>
      <c r="M35" s="205">
        <f t="shared" si="0"/>
        <v>0</v>
      </c>
      <c r="N35" s="207">
        <f t="shared" si="4"/>
        <v>0</v>
      </c>
      <c r="O35" s="207">
        <f t="shared" si="5"/>
        <v>88</v>
      </c>
      <c r="P35" s="205">
        <f t="shared" si="6"/>
        <v>0</v>
      </c>
      <c r="Q35" s="206">
        <v>0</v>
      </c>
      <c r="R35" s="205">
        <v>78.989999999999995</v>
      </c>
      <c r="S35" s="205">
        <f t="shared" si="1"/>
        <v>0</v>
      </c>
      <c r="T35" s="207">
        <f t="shared" si="7"/>
        <v>0</v>
      </c>
      <c r="U35" s="207">
        <v>88</v>
      </c>
      <c r="V35" s="205">
        <f t="shared" si="8"/>
        <v>0</v>
      </c>
      <c r="W35" s="123"/>
      <c r="Y35" s="206">
        <v>0</v>
      </c>
      <c r="Z35" s="205">
        <v>78.989999999999995</v>
      </c>
      <c r="AA35" s="205">
        <v>0</v>
      </c>
      <c r="AB35" s="207">
        <v>0</v>
      </c>
      <c r="AC35" s="207">
        <v>88</v>
      </c>
      <c r="AD35" s="205">
        <v>0</v>
      </c>
    </row>
    <row r="36" spans="1:30" s="59" customFormat="1" ht="23.1" hidden="1" customHeight="1" outlineLevel="2">
      <c r="A36" s="171">
        <v>1.2900000000000003</v>
      </c>
      <c r="B36" s="113" t="s">
        <v>1096</v>
      </c>
      <c r="C36" s="237" t="s">
        <v>1097</v>
      </c>
      <c r="D36" s="238" t="s">
        <v>247</v>
      </c>
      <c r="E36" s="123"/>
      <c r="F36" s="120">
        <v>86.03</v>
      </c>
      <c r="G36" s="205">
        <v>55387.717098301655</v>
      </c>
      <c r="H36" s="123"/>
      <c r="I36" s="120"/>
      <c r="J36" s="205">
        <v>0</v>
      </c>
      <c r="K36" s="207">
        <f t="shared" si="2"/>
        <v>0</v>
      </c>
      <c r="L36" s="205">
        <f t="shared" si="3"/>
        <v>86.03</v>
      </c>
      <c r="M36" s="205">
        <f t="shared" si="0"/>
        <v>0</v>
      </c>
      <c r="N36" s="207">
        <f t="shared" si="4"/>
        <v>0</v>
      </c>
      <c r="O36" s="207">
        <f t="shared" si="5"/>
        <v>88</v>
      </c>
      <c r="P36" s="205">
        <f t="shared" si="6"/>
        <v>0</v>
      </c>
      <c r="Q36" s="206">
        <v>0</v>
      </c>
      <c r="R36" s="205">
        <v>86.03</v>
      </c>
      <c r="S36" s="205">
        <f t="shared" si="1"/>
        <v>0</v>
      </c>
      <c r="T36" s="207">
        <f t="shared" si="7"/>
        <v>0</v>
      </c>
      <c r="U36" s="207">
        <v>88</v>
      </c>
      <c r="V36" s="205">
        <f t="shared" si="8"/>
        <v>0</v>
      </c>
      <c r="W36" s="123"/>
      <c r="Y36" s="206">
        <v>0</v>
      </c>
      <c r="Z36" s="205">
        <v>86.03</v>
      </c>
      <c r="AA36" s="205">
        <v>0</v>
      </c>
      <c r="AB36" s="207">
        <v>0</v>
      </c>
      <c r="AC36" s="207">
        <v>88</v>
      </c>
      <c r="AD36" s="205">
        <v>0</v>
      </c>
    </row>
    <row r="37" spans="1:30" s="59" customFormat="1" ht="23.1" hidden="1" customHeight="1" outlineLevel="2">
      <c r="A37" s="239">
        <v>1.3000000000000003</v>
      </c>
      <c r="B37" s="113" t="s">
        <v>1098</v>
      </c>
      <c r="C37" s="237" t="s">
        <v>1099</v>
      </c>
      <c r="D37" s="238" t="s">
        <v>103</v>
      </c>
      <c r="E37" s="123"/>
      <c r="F37" s="120">
        <v>15.97</v>
      </c>
      <c r="G37" s="205">
        <v>43546.101524204038</v>
      </c>
      <c r="H37" s="123"/>
      <c r="I37" s="120"/>
      <c r="J37" s="205">
        <v>0</v>
      </c>
      <c r="K37" s="207">
        <f t="shared" si="2"/>
        <v>0</v>
      </c>
      <c r="L37" s="205">
        <f t="shared" si="3"/>
        <v>15.97</v>
      </c>
      <c r="M37" s="205">
        <f t="shared" si="0"/>
        <v>0</v>
      </c>
      <c r="N37" s="206">
        <f>+T37-AB37</f>
        <v>0</v>
      </c>
      <c r="O37" s="207">
        <f t="shared" si="5"/>
        <v>10</v>
      </c>
      <c r="P37" s="205">
        <f t="shared" si="6"/>
        <v>0</v>
      </c>
      <c r="Q37" s="206">
        <v>0</v>
      </c>
      <c r="R37" s="205">
        <v>15.97</v>
      </c>
      <c r="S37" s="205">
        <f t="shared" si="1"/>
        <v>0</v>
      </c>
      <c r="T37" s="206">
        <v>39691.188599999994</v>
      </c>
      <c r="U37" s="207">
        <v>10</v>
      </c>
      <c r="V37" s="205">
        <f t="shared" si="8"/>
        <v>396911.88599999994</v>
      </c>
      <c r="W37" s="123"/>
      <c r="Y37" s="206">
        <v>0</v>
      </c>
      <c r="Z37" s="205">
        <v>15.97</v>
      </c>
      <c r="AA37" s="205">
        <v>0</v>
      </c>
      <c r="AB37" s="206">
        <v>39691.188599999994</v>
      </c>
      <c r="AC37" s="207">
        <v>10</v>
      </c>
      <c r="AD37" s="205">
        <v>396911.88599999994</v>
      </c>
    </row>
    <row r="38" spans="1:30" s="59" customFormat="1" ht="23.1" hidden="1" customHeight="1" outlineLevel="2">
      <c r="A38" s="171">
        <v>1.3100000000000003</v>
      </c>
      <c r="B38" s="113" t="s">
        <v>1098</v>
      </c>
      <c r="C38" s="237" t="s">
        <v>1100</v>
      </c>
      <c r="D38" s="238" t="s">
        <v>103</v>
      </c>
      <c r="E38" s="123"/>
      <c r="F38" s="120">
        <v>18.36</v>
      </c>
      <c r="G38" s="205">
        <v>2193.9717133299082</v>
      </c>
      <c r="H38" s="123"/>
      <c r="I38" s="120"/>
      <c r="J38" s="205">
        <v>0</v>
      </c>
      <c r="K38" s="207">
        <f t="shared" si="2"/>
        <v>0</v>
      </c>
      <c r="L38" s="205">
        <f t="shared" si="3"/>
        <v>18.36</v>
      </c>
      <c r="M38" s="205">
        <f t="shared" si="0"/>
        <v>0</v>
      </c>
      <c r="N38" s="206">
        <f>+T38-AB38</f>
        <v>0</v>
      </c>
      <c r="O38" s="207">
        <f t="shared" si="5"/>
        <v>10</v>
      </c>
      <c r="P38" s="205">
        <f t="shared" si="6"/>
        <v>0</v>
      </c>
      <c r="Q38" s="206">
        <v>0</v>
      </c>
      <c r="R38" s="205">
        <v>18.36</v>
      </c>
      <c r="S38" s="205">
        <f t="shared" si="1"/>
        <v>0</v>
      </c>
      <c r="T38" s="207">
        <v>0</v>
      </c>
      <c r="U38" s="207">
        <v>10</v>
      </c>
      <c r="V38" s="205">
        <f t="shared" si="8"/>
        <v>0</v>
      </c>
      <c r="W38" s="123"/>
      <c r="Y38" s="206">
        <v>0</v>
      </c>
      <c r="Z38" s="205">
        <v>18.36</v>
      </c>
      <c r="AA38" s="205">
        <v>0</v>
      </c>
      <c r="AB38" s="207">
        <v>0</v>
      </c>
      <c r="AC38" s="207">
        <v>10</v>
      </c>
      <c r="AD38" s="205">
        <v>0</v>
      </c>
    </row>
    <row r="39" spans="1:30" s="59" customFormat="1" ht="23.1" hidden="1" customHeight="1" outlineLevel="2">
      <c r="A39" s="239">
        <v>1.3200000000000003</v>
      </c>
      <c r="B39" s="113" t="s">
        <v>1098</v>
      </c>
      <c r="C39" s="237" t="s">
        <v>1101</v>
      </c>
      <c r="D39" s="238" t="s">
        <v>103</v>
      </c>
      <c r="E39" s="123"/>
      <c r="F39" s="120">
        <v>19.97</v>
      </c>
      <c r="G39" s="205">
        <v>56.219159427522946</v>
      </c>
      <c r="H39" s="123"/>
      <c r="I39" s="120"/>
      <c r="J39" s="205">
        <v>0</v>
      </c>
      <c r="K39" s="207">
        <f t="shared" si="2"/>
        <v>0</v>
      </c>
      <c r="L39" s="205">
        <f t="shared" si="3"/>
        <v>19.97</v>
      </c>
      <c r="M39" s="205">
        <f t="shared" si="0"/>
        <v>0</v>
      </c>
      <c r="N39" s="206">
        <f>+T39-AB39</f>
        <v>0</v>
      </c>
      <c r="O39" s="207">
        <f t="shared" si="5"/>
        <v>10</v>
      </c>
      <c r="P39" s="205">
        <f t="shared" si="6"/>
        <v>0</v>
      </c>
      <c r="Q39" s="206">
        <v>0</v>
      </c>
      <c r="R39" s="205">
        <v>19.97</v>
      </c>
      <c r="S39" s="205">
        <f t="shared" si="1"/>
        <v>0</v>
      </c>
      <c r="T39" s="207">
        <v>0</v>
      </c>
      <c r="U39" s="207">
        <v>10</v>
      </c>
      <c r="V39" s="205">
        <f t="shared" si="8"/>
        <v>0</v>
      </c>
      <c r="W39" s="123"/>
      <c r="Y39" s="206">
        <v>0</v>
      </c>
      <c r="Z39" s="205">
        <v>19.97</v>
      </c>
      <c r="AA39" s="205">
        <v>0</v>
      </c>
      <c r="AB39" s="207">
        <v>0</v>
      </c>
      <c r="AC39" s="207">
        <v>10</v>
      </c>
      <c r="AD39" s="205">
        <v>0</v>
      </c>
    </row>
    <row r="40" spans="1:30" s="59" customFormat="1" ht="23.1" hidden="1" customHeight="1" outlineLevel="2">
      <c r="A40" s="171">
        <v>1.3300000000000003</v>
      </c>
      <c r="B40" s="113" t="s">
        <v>1102</v>
      </c>
      <c r="C40" s="237" t="s">
        <v>1103</v>
      </c>
      <c r="D40" s="238" t="s">
        <v>103</v>
      </c>
      <c r="E40" s="123"/>
      <c r="F40" s="120">
        <v>15.97</v>
      </c>
      <c r="G40" s="205">
        <v>604783.65323051449</v>
      </c>
      <c r="H40" s="123"/>
      <c r="I40" s="120"/>
      <c r="J40" s="205">
        <v>0</v>
      </c>
      <c r="K40" s="207">
        <f t="shared" si="2"/>
        <v>0</v>
      </c>
      <c r="L40" s="205">
        <f t="shared" si="3"/>
        <v>15.97</v>
      </c>
      <c r="M40" s="205">
        <f t="shared" si="0"/>
        <v>0</v>
      </c>
      <c r="N40" s="206">
        <f>+T40-AB40</f>
        <v>0</v>
      </c>
      <c r="O40" s="207">
        <f t="shared" si="5"/>
        <v>10</v>
      </c>
      <c r="P40" s="205">
        <f t="shared" si="6"/>
        <v>0</v>
      </c>
      <c r="Q40" s="206">
        <v>0</v>
      </c>
      <c r="R40" s="205">
        <v>15.97</v>
      </c>
      <c r="S40" s="205">
        <f t="shared" si="1"/>
        <v>0</v>
      </c>
      <c r="T40" s="207">
        <v>0</v>
      </c>
      <c r="U40" s="207">
        <v>10</v>
      </c>
      <c r="V40" s="205">
        <f t="shared" si="8"/>
        <v>0</v>
      </c>
      <c r="W40" s="123"/>
      <c r="Y40" s="206">
        <v>0</v>
      </c>
      <c r="Z40" s="205">
        <v>15.97</v>
      </c>
      <c r="AA40" s="205">
        <v>0</v>
      </c>
      <c r="AB40" s="207">
        <v>0</v>
      </c>
      <c r="AC40" s="207">
        <v>10</v>
      </c>
      <c r="AD40" s="205">
        <v>0</v>
      </c>
    </row>
    <row r="41" spans="1:30" s="59" customFormat="1" ht="35.1" hidden="1" customHeight="1" outlineLevel="2">
      <c r="A41" s="239">
        <v>1.3400000000000003</v>
      </c>
      <c r="B41" s="113" t="s">
        <v>1104</v>
      </c>
      <c r="C41" s="237" t="s">
        <v>1105</v>
      </c>
      <c r="D41" s="238" t="s">
        <v>103</v>
      </c>
      <c r="E41" s="123"/>
      <c r="F41" s="120">
        <v>680.16</v>
      </c>
      <c r="G41" s="205">
        <v>125188.72661642861</v>
      </c>
      <c r="H41" s="123"/>
      <c r="I41" s="120"/>
      <c r="J41" s="205">
        <v>148941.13</v>
      </c>
      <c r="K41" s="207">
        <f t="shared" si="2"/>
        <v>0</v>
      </c>
      <c r="L41" s="205">
        <f t="shared" si="3"/>
        <v>680.16</v>
      </c>
      <c r="M41" s="205">
        <f t="shared" si="0"/>
        <v>0</v>
      </c>
      <c r="N41" s="207">
        <f t="shared" si="4"/>
        <v>0</v>
      </c>
      <c r="O41" s="207">
        <f t="shared" si="5"/>
        <v>390</v>
      </c>
      <c r="P41" s="205">
        <f t="shared" si="6"/>
        <v>0</v>
      </c>
      <c r="Q41" s="206">
        <v>295.13</v>
      </c>
      <c r="R41" s="205">
        <v>680.16</v>
      </c>
      <c r="S41" s="205">
        <f t="shared" si="1"/>
        <v>200735.62079999998</v>
      </c>
      <c r="T41" s="207">
        <f t="shared" si="7"/>
        <v>295.13</v>
      </c>
      <c r="U41" s="207">
        <v>390</v>
      </c>
      <c r="V41" s="205">
        <f t="shared" si="8"/>
        <v>115100.7</v>
      </c>
      <c r="W41" s="123"/>
      <c r="Y41" s="206">
        <v>295.13</v>
      </c>
      <c r="Z41" s="205">
        <v>680.16</v>
      </c>
      <c r="AA41" s="205">
        <v>200735.62079999998</v>
      </c>
      <c r="AB41" s="207">
        <v>295.13</v>
      </c>
      <c r="AC41" s="207">
        <v>390</v>
      </c>
      <c r="AD41" s="205">
        <v>115100.7</v>
      </c>
    </row>
    <row r="42" spans="1:30" s="59" customFormat="1" ht="35.1" hidden="1" customHeight="1" outlineLevel="2">
      <c r="A42" s="239"/>
      <c r="B42" s="113" t="s">
        <v>1106</v>
      </c>
      <c r="C42" s="237"/>
      <c r="D42" s="238"/>
      <c r="E42" s="123"/>
      <c r="F42" s="120"/>
      <c r="G42" s="205"/>
      <c r="H42" s="123"/>
      <c r="I42" s="120"/>
      <c r="J42" s="205"/>
      <c r="K42" s="207"/>
      <c r="L42" s="205"/>
      <c r="M42" s="205"/>
      <c r="N42" s="207"/>
      <c r="O42" s="207"/>
      <c r="P42" s="205"/>
      <c r="Q42" s="206"/>
      <c r="R42" s="205"/>
      <c r="S42" s="205"/>
      <c r="T42" s="207">
        <f>295.13/0.2*2</f>
        <v>2951.2999999999997</v>
      </c>
      <c r="U42" s="207">
        <v>30</v>
      </c>
      <c r="V42" s="205">
        <f t="shared" si="8"/>
        <v>88538.999999999985</v>
      </c>
      <c r="W42" s="123"/>
      <c r="Y42" s="206"/>
      <c r="Z42" s="205"/>
      <c r="AA42" s="205"/>
      <c r="AB42" s="207"/>
      <c r="AC42" s="207"/>
      <c r="AD42" s="205"/>
    </row>
    <row r="43" spans="1:30" s="60" customFormat="1" ht="23.1" hidden="1" customHeight="1" outlineLevel="1" collapsed="1">
      <c r="A43" s="233">
        <v>2</v>
      </c>
      <c r="B43" s="234" t="s">
        <v>1107</v>
      </c>
      <c r="C43" s="235"/>
      <c r="D43" s="236"/>
      <c r="E43" s="137"/>
      <c r="F43" s="119"/>
      <c r="G43" s="222">
        <v>581448.41027579887</v>
      </c>
      <c r="H43" s="137"/>
      <c r="I43" s="119"/>
      <c r="J43" s="222">
        <v>247809.75</v>
      </c>
      <c r="K43" s="229"/>
      <c r="L43" s="222"/>
      <c r="M43" s="222">
        <f>SUM(M44:M49)</f>
        <v>0</v>
      </c>
      <c r="N43" s="229"/>
      <c r="O43" s="229"/>
      <c r="P43" s="222">
        <f>SUM(P44:P49)</f>
        <v>0</v>
      </c>
      <c r="Q43" s="229"/>
      <c r="R43" s="222"/>
      <c r="S43" s="222">
        <f>SUM(S44:S49)</f>
        <v>109003.24870000001</v>
      </c>
      <c r="T43" s="229"/>
      <c r="U43" s="229"/>
      <c r="V43" s="222">
        <f>SUM(V44:V49)</f>
        <v>211464.32000000001</v>
      </c>
      <c r="W43" s="137"/>
      <c r="Y43" s="229"/>
      <c r="Z43" s="222"/>
      <c r="AA43" s="222">
        <v>109003.24870000001</v>
      </c>
      <c r="AB43" s="229"/>
      <c r="AC43" s="229"/>
      <c r="AD43" s="222">
        <v>211464.32000000001</v>
      </c>
    </row>
    <row r="44" spans="1:30" s="59" customFormat="1" ht="23.1" hidden="1" customHeight="1" outlineLevel="2">
      <c r="A44" s="171">
        <v>2.1</v>
      </c>
      <c r="B44" s="113" t="s">
        <v>1108</v>
      </c>
      <c r="C44" s="237" t="s">
        <v>1109</v>
      </c>
      <c r="D44" s="238" t="s">
        <v>247</v>
      </c>
      <c r="E44" s="123">
        <v>3304.13</v>
      </c>
      <c r="F44" s="205">
        <v>32.99</v>
      </c>
      <c r="G44" s="205">
        <v>87935.635175180942</v>
      </c>
      <c r="H44" s="123"/>
      <c r="I44" s="120"/>
      <c r="J44" s="205">
        <v>247809.75</v>
      </c>
      <c r="K44" s="207">
        <f t="shared" ref="K44:K49" si="9">+Q44-Y44</f>
        <v>0</v>
      </c>
      <c r="L44" s="205">
        <f>+R44</f>
        <v>32.99</v>
      </c>
      <c r="M44" s="205">
        <f t="shared" ref="M44:M49" si="10">+L44*K44</f>
        <v>0</v>
      </c>
      <c r="N44" s="207">
        <f t="shared" ref="N44:N49" si="11">+T44-AB44</f>
        <v>0</v>
      </c>
      <c r="O44" s="207">
        <f t="shared" ref="O44:O49" si="12">+U44</f>
        <v>64</v>
      </c>
      <c r="P44" s="205">
        <f>+O44*N44</f>
        <v>0</v>
      </c>
      <c r="Q44" s="206">
        <v>3304.13</v>
      </c>
      <c r="R44" s="205">
        <f t="shared" ref="R44:R49" si="13">+F44</f>
        <v>32.99</v>
      </c>
      <c r="S44" s="205">
        <f t="shared" ref="S44:S71" si="14">+R44*Q44</f>
        <v>109003.24870000001</v>
      </c>
      <c r="T44" s="207">
        <f>+Q44</f>
        <v>3304.13</v>
      </c>
      <c r="U44" s="207">
        <v>64</v>
      </c>
      <c r="V44" s="205">
        <f t="shared" ref="V44:V49" si="15">+U44*T44</f>
        <v>211464.32000000001</v>
      </c>
      <c r="W44" s="123"/>
      <c r="Y44" s="207">
        <v>3304.13</v>
      </c>
      <c r="Z44" s="205">
        <v>32.99</v>
      </c>
      <c r="AA44" s="205">
        <v>109003.24870000001</v>
      </c>
      <c r="AB44" s="207">
        <v>3304.13</v>
      </c>
      <c r="AC44" s="207">
        <v>64</v>
      </c>
      <c r="AD44" s="205">
        <v>211464.32000000001</v>
      </c>
    </row>
    <row r="45" spans="1:30" s="59" customFormat="1" ht="23.1" hidden="1" customHeight="1" outlineLevel="2">
      <c r="A45" s="171">
        <v>2.2000000000000002</v>
      </c>
      <c r="B45" s="113" t="s">
        <v>1110</v>
      </c>
      <c r="C45" s="237" t="s">
        <v>1111</v>
      </c>
      <c r="D45" s="238" t="s">
        <v>247</v>
      </c>
      <c r="E45" s="123">
        <v>10696.45</v>
      </c>
      <c r="F45" s="205">
        <v>7.35</v>
      </c>
      <c r="G45" s="205">
        <v>62291.408156212849</v>
      </c>
      <c r="H45" s="123"/>
      <c r="I45" s="120"/>
      <c r="J45" s="205">
        <v>0</v>
      </c>
      <c r="K45" s="207">
        <f t="shared" si="9"/>
        <v>0</v>
      </c>
      <c r="L45" s="205">
        <f>+R45</f>
        <v>7.35</v>
      </c>
      <c r="M45" s="205">
        <f t="shared" si="10"/>
        <v>0</v>
      </c>
      <c r="N45" s="207">
        <f t="shared" si="11"/>
        <v>0</v>
      </c>
      <c r="O45" s="207">
        <f t="shared" si="12"/>
        <v>0</v>
      </c>
      <c r="P45" s="205">
        <f>+O45*N45</f>
        <v>0</v>
      </c>
      <c r="Q45" s="207"/>
      <c r="R45" s="205">
        <f t="shared" si="13"/>
        <v>7.35</v>
      </c>
      <c r="S45" s="205">
        <f t="shared" si="14"/>
        <v>0</v>
      </c>
      <c r="T45" s="207"/>
      <c r="U45" s="207"/>
      <c r="V45" s="205">
        <f t="shared" si="15"/>
        <v>0</v>
      </c>
      <c r="W45" s="123"/>
      <c r="Y45" s="207"/>
      <c r="Z45" s="205">
        <v>7.35</v>
      </c>
      <c r="AA45" s="205">
        <v>0</v>
      </c>
      <c r="AB45" s="207"/>
      <c r="AC45" s="207"/>
      <c r="AD45" s="205">
        <v>0</v>
      </c>
    </row>
    <row r="46" spans="1:30" s="59" customFormat="1" ht="23.1" hidden="1" customHeight="1" outlineLevel="2">
      <c r="A46" s="171">
        <v>2.3000000000000003</v>
      </c>
      <c r="B46" s="113" t="s">
        <v>1110</v>
      </c>
      <c r="C46" s="237" t="s">
        <v>1112</v>
      </c>
      <c r="D46" s="238" t="s">
        <v>247</v>
      </c>
      <c r="E46" s="123">
        <v>8052.38</v>
      </c>
      <c r="F46" s="205">
        <v>9.5299999999999994</v>
      </c>
      <c r="G46" s="205">
        <v>60564.419770533568</v>
      </c>
      <c r="H46" s="123"/>
      <c r="I46" s="120"/>
      <c r="J46" s="205">
        <v>0</v>
      </c>
      <c r="K46" s="207">
        <f t="shared" si="9"/>
        <v>0</v>
      </c>
      <c r="L46" s="205">
        <f t="shared" ref="L46:L51" si="16">+R46</f>
        <v>9.5299999999999994</v>
      </c>
      <c r="M46" s="205">
        <f t="shared" si="10"/>
        <v>0</v>
      </c>
      <c r="N46" s="207">
        <f t="shared" si="11"/>
        <v>0</v>
      </c>
      <c r="O46" s="207">
        <f t="shared" si="12"/>
        <v>0</v>
      </c>
      <c r="P46" s="205">
        <f t="shared" ref="P46:P51" si="17">+O46*N46</f>
        <v>0</v>
      </c>
      <c r="Q46" s="207"/>
      <c r="R46" s="205">
        <f t="shared" si="13"/>
        <v>9.5299999999999994</v>
      </c>
      <c r="S46" s="205">
        <f t="shared" si="14"/>
        <v>0</v>
      </c>
      <c r="T46" s="207"/>
      <c r="U46" s="207"/>
      <c r="V46" s="205">
        <f t="shared" si="15"/>
        <v>0</v>
      </c>
      <c r="W46" s="123"/>
      <c r="Y46" s="207"/>
      <c r="Z46" s="205">
        <v>9.5299999999999994</v>
      </c>
      <c r="AA46" s="205">
        <v>0</v>
      </c>
      <c r="AB46" s="207"/>
      <c r="AC46" s="207"/>
      <c r="AD46" s="205">
        <v>0</v>
      </c>
    </row>
    <row r="47" spans="1:30" s="59" customFormat="1" ht="23.1" hidden="1" customHeight="1" outlineLevel="2">
      <c r="A47" s="171">
        <v>2.4000000000000004</v>
      </c>
      <c r="B47" s="113" t="s">
        <v>1113</v>
      </c>
      <c r="C47" s="237" t="s">
        <v>1114</v>
      </c>
      <c r="D47" s="238" t="s">
        <v>1115</v>
      </c>
      <c r="E47" s="123">
        <v>4</v>
      </c>
      <c r="F47" s="205">
        <v>19769.46</v>
      </c>
      <c r="G47" s="205">
        <v>64228.241378642197</v>
      </c>
      <c r="H47" s="123"/>
      <c r="I47" s="120"/>
      <c r="J47" s="205">
        <v>0</v>
      </c>
      <c r="K47" s="207">
        <f t="shared" si="9"/>
        <v>0</v>
      </c>
      <c r="L47" s="205">
        <f t="shared" si="16"/>
        <v>19769.46</v>
      </c>
      <c r="M47" s="205">
        <f t="shared" si="10"/>
        <v>0</v>
      </c>
      <c r="N47" s="207">
        <f t="shared" si="11"/>
        <v>0</v>
      </c>
      <c r="O47" s="207">
        <f t="shared" si="12"/>
        <v>0</v>
      </c>
      <c r="P47" s="205">
        <f t="shared" si="17"/>
        <v>0</v>
      </c>
      <c r="Q47" s="207"/>
      <c r="R47" s="205">
        <f t="shared" si="13"/>
        <v>19769.46</v>
      </c>
      <c r="S47" s="205">
        <f t="shared" si="14"/>
        <v>0</v>
      </c>
      <c r="T47" s="207"/>
      <c r="U47" s="207"/>
      <c r="V47" s="205">
        <f t="shared" si="15"/>
        <v>0</v>
      </c>
      <c r="W47" s="123"/>
      <c r="Y47" s="207"/>
      <c r="Z47" s="205">
        <v>19769.46</v>
      </c>
      <c r="AA47" s="205">
        <v>0</v>
      </c>
      <c r="AB47" s="207"/>
      <c r="AC47" s="207"/>
      <c r="AD47" s="205">
        <v>0</v>
      </c>
    </row>
    <row r="48" spans="1:30" s="59" customFormat="1" ht="23.1" hidden="1" customHeight="1" outlineLevel="2">
      <c r="A48" s="171">
        <v>2.5000000000000004</v>
      </c>
      <c r="B48" s="113" t="s">
        <v>1116</v>
      </c>
      <c r="C48" s="237" t="s">
        <v>1117</v>
      </c>
      <c r="D48" s="238" t="s">
        <v>247</v>
      </c>
      <c r="E48" s="123">
        <v>12189.97</v>
      </c>
      <c r="F48" s="205">
        <v>31.28</v>
      </c>
      <c r="G48" s="205">
        <v>303495.36060880736</v>
      </c>
      <c r="H48" s="123"/>
      <c r="I48" s="120"/>
      <c r="J48" s="205">
        <v>0</v>
      </c>
      <c r="K48" s="207">
        <f t="shared" si="9"/>
        <v>0</v>
      </c>
      <c r="L48" s="205">
        <f t="shared" si="16"/>
        <v>31.28</v>
      </c>
      <c r="M48" s="205">
        <f t="shared" si="10"/>
        <v>0</v>
      </c>
      <c r="N48" s="207">
        <f t="shared" si="11"/>
        <v>0</v>
      </c>
      <c r="O48" s="207">
        <f t="shared" si="12"/>
        <v>0</v>
      </c>
      <c r="P48" s="205">
        <f t="shared" si="17"/>
        <v>0</v>
      </c>
      <c r="Q48" s="207"/>
      <c r="R48" s="205">
        <f t="shared" si="13"/>
        <v>31.28</v>
      </c>
      <c r="S48" s="205">
        <f t="shared" si="14"/>
        <v>0</v>
      </c>
      <c r="T48" s="207"/>
      <c r="U48" s="207"/>
      <c r="V48" s="205">
        <f t="shared" si="15"/>
        <v>0</v>
      </c>
      <c r="W48" s="123"/>
      <c r="Y48" s="207"/>
      <c r="Z48" s="205">
        <v>31.28</v>
      </c>
      <c r="AA48" s="205">
        <v>0</v>
      </c>
      <c r="AB48" s="207"/>
      <c r="AC48" s="207"/>
      <c r="AD48" s="205">
        <v>0</v>
      </c>
    </row>
    <row r="49" spans="1:30" s="59" customFormat="1" ht="23.1" hidden="1" customHeight="1" outlineLevel="2">
      <c r="A49" s="171">
        <v>2.6000000000000005</v>
      </c>
      <c r="B49" s="113" t="s">
        <v>1118</v>
      </c>
      <c r="C49" s="237" t="s">
        <v>1119</v>
      </c>
      <c r="D49" s="238" t="s">
        <v>247</v>
      </c>
      <c r="E49" s="123">
        <v>928.75</v>
      </c>
      <c r="F49" s="205">
        <v>4.04</v>
      </c>
      <c r="G49" s="205">
        <v>2933.3451864220178</v>
      </c>
      <c r="H49" s="123"/>
      <c r="I49" s="120"/>
      <c r="J49" s="205">
        <v>0</v>
      </c>
      <c r="K49" s="207">
        <f t="shared" si="9"/>
        <v>0</v>
      </c>
      <c r="L49" s="205">
        <f t="shared" si="16"/>
        <v>4.04</v>
      </c>
      <c r="M49" s="205">
        <f t="shared" si="10"/>
        <v>0</v>
      </c>
      <c r="N49" s="207">
        <f t="shared" si="11"/>
        <v>0</v>
      </c>
      <c r="O49" s="207">
        <f t="shared" si="12"/>
        <v>0</v>
      </c>
      <c r="P49" s="205">
        <f t="shared" si="17"/>
        <v>0</v>
      </c>
      <c r="Q49" s="207"/>
      <c r="R49" s="205">
        <f t="shared" si="13"/>
        <v>4.04</v>
      </c>
      <c r="S49" s="205">
        <f t="shared" si="14"/>
        <v>0</v>
      </c>
      <c r="T49" s="207"/>
      <c r="U49" s="207"/>
      <c r="V49" s="205">
        <f t="shared" si="15"/>
        <v>0</v>
      </c>
      <c r="W49" s="123"/>
      <c r="Y49" s="207"/>
      <c r="Z49" s="205">
        <v>4.04</v>
      </c>
      <c r="AA49" s="205">
        <v>0</v>
      </c>
      <c r="AB49" s="207"/>
      <c r="AC49" s="207"/>
      <c r="AD49" s="205">
        <v>0</v>
      </c>
    </row>
    <row r="50" spans="1:30" s="60" customFormat="1" ht="23.1" hidden="1" customHeight="1" outlineLevel="1" collapsed="1">
      <c r="A50" s="233">
        <v>3</v>
      </c>
      <c r="B50" s="234" t="s">
        <v>1120</v>
      </c>
      <c r="C50" s="235"/>
      <c r="D50" s="236"/>
      <c r="E50" s="137"/>
      <c r="F50" s="119"/>
      <c r="G50" s="222">
        <v>2162.3835624563671</v>
      </c>
      <c r="H50" s="137"/>
      <c r="I50" s="119"/>
      <c r="J50" s="222"/>
      <c r="K50" s="229"/>
      <c r="L50" s="222"/>
      <c r="M50" s="222">
        <f>+M51</f>
        <v>0</v>
      </c>
      <c r="N50" s="229"/>
      <c r="O50" s="229"/>
      <c r="P50" s="222">
        <f>+P51</f>
        <v>0</v>
      </c>
      <c r="Q50" s="229"/>
      <c r="R50" s="222"/>
      <c r="S50" s="222">
        <f>+S51</f>
        <v>0</v>
      </c>
      <c r="T50" s="229"/>
      <c r="U50" s="229"/>
      <c r="V50" s="222">
        <f>+V51</f>
        <v>0</v>
      </c>
      <c r="W50" s="137"/>
      <c r="Y50" s="229"/>
      <c r="Z50" s="222"/>
      <c r="AA50" s="222">
        <v>0</v>
      </c>
      <c r="AB50" s="229"/>
      <c r="AC50" s="229"/>
      <c r="AD50" s="222">
        <v>0</v>
      </c>
    </row>
    <row r="51" spans="1:30" s="59" customFormat="1" ht="23.1" hidden="1" customHeight="1" outlineLevel="2">
      <c r="A51" s="171">
        <v>3.1</v>
      </c>
      <c r="B51" s="113" t="s">
        <v>1121</v>
      </c>
      <c r="C51" s="237" t="s">
        <v>1122</v>
      </c>
      <c r="D51" s="238" t="s">
        <v>147</v>
      </c>
      <c r="E51" s="123"/>
      <c r="F51" s="120"/>
      <c r="G51" s="205">
        <v>2162.3835624563671</v>
      </c>
      <c r="H51" s="123"/>
      <c r="I51" s="120"/>
      <c r="J51" s="205"/>
      <c r="K51" s="207"/>
      <c r="L51" s="205">
        <f t="shared" si="16"/>
        <v>8189.8</v>
      </c>
      <c r="M51" s="205">
        <f>+L51*K51</f>
        <v>0</v>
      </c>
      <c r="N51" s="207"/>
      <c r="O51" s="207"/>
      <c r="P51" s="205">
        <f t="shared" si="17"/>
        <v>0</v>
      </c>
      <c r="Q51" s="207"/>
      <c r="R51" s="205">
        <v>8189.8</v>
      </c>
      <c r="S51" s="205">
        <f t="shared" si="14"/>
        <v>0</v>
      </c>
      <c r="T51" s="207"/>
      <c r="U51" s="207"/>
      <c r="V51" s="205">
        <f t="shared" ref="V51:V114" si="18">+U51*T51</f>
        <v>0</v>
      </c>
      <c r="W51" s="123"/>
      <c r="Y51" s="207"/>
      <c r="Z51" s="205">
        <v>8189.8</v>
      </c>
      <c r="AA51" s="205">
        <v>0</v>
      </c>
      <c r="AB51" s="207"/>
      <c r="AC51" s="207"/>
      <c r="AD51" s="205">
        <v>0</v>
      </c>
    </row>
    <row r="52" spans="1:30" s="60" customFormat="1" ht="23.1" customHeight="1" collapsed="1">
      <c r="A52" s="233" t="s">
        <v>169</v>
      </c>
      <c r="B52" s="234" t="s">
        <v>1123</v>
      </c>
      <c r="C52" s="235"/>
      <c r="D52" s="236"/>
      <c r="E52" s="137"/>
      <c r="F52" s="119"/>
      <c r="G52" s="222">
        <v>1103074.9096811095</v>
      </c>
      <c r="H52" s="137"/>
      <c r="I52" s="119"/>
      <c r="J52" s="222">
        <v>1219366.0331000001</v>
      </c>
      <c r="K52" s="229"/>
      <c r="L52" s="222"/>
      <c r="M52" s="222">
        <f>+M53+M76</f>
        <v>208812.68349999998</v>
      </c>
      <c r="N52" s="229"/>
      <c r="O52" s="229"/>
      <c r="P52" s="222">
        <f>+P53+P76</f>
        <v>115347.38</v>
      </c>
      <c r="Q52" s="229"/>
      <c r="R52" s="222"/>
      <c r="S52" s="222">
        <f>+S53+S76</f>
        <v>990445.41669999994</v>
      </c>
      <c r="T52" s="229"/>
      <c r="U52" s="229"/>
      <c r="V52" s="222">
        <f>+V53+V76</f>
        <v>715306.39999999991</v>
      </c>
      <c r="W52" s="137"/>
      <c r="Y52" s="229"/>
      <c r="Z52" s="222"/>
      <c r="AA52" s="222">
        <v>781632.73320000002</v>
      </c>
      <c r="AB52" s="229"/>
      <c r="AC52" s="229"/>
      <c r="AD52" s="222">
        <v>599959.0199999999</v>
      </c>
    </row>
    <row r="53" spans="1:30" s="60" customFormat="1" ht="23.1" hidden="1" customHeight="1" outlineLevel="1" collapsed="1">
      <c r="A53" s="233">
        <v>1</v>
      </c>
      <c r="B53" s="234" t="s">
        <v>1054</v>
      </c>
      <c r="C53" s="235"/>
      <c r="D53" s="236"/>
      <c r="E53" s="137"/>
      <c r="F53" s="119"/>
      <c r="G53" s="222">
        <v>826227.83961792861</v>
      </c>
      <c r="H53" s="137"/>
      <c r="I53" s="119"/>
      <c r="J53" s="222">
        <v>945144.6</v>
      </c>
      <c r="K53" s="229"/>
      <c r="L53" s="222"/>
      <c r="M53" s="222">
        <f>SUM(M54:M75)</f>
        <v>0</v>
      </c>
      <c r="N53" s="229"/>
      <c r="O53" s="229"/>
      <c r="P53" s="222">
        <f>SUM(P54:P75)</f>
        <v>0</v>
      </c>
      <c r="Q53" s="229"/>
      <c r="R53" s="222"/>
      <c r="S53" s="222">
        <f>SUM(S54:S75)</f>
        <v>781632.73320000002</v>
      </c>
      <c r="T53" s="229"/>
      <c r="U53" s="229"/>
      <c r="V53" s="222">
        <f>SUM(V54:V75)</f>
        <v>599959.0199999999</v>
      </c>
      <c r="W53" s="137"/>
      <c r="Y53" s="229"/>
      <c r="Z53" s="222"/>
      <c r="AA53" s="222">
        <v>781632.73320000002</v>
      </c>
      <c r="AB53" s="229"/>
      <c r="AC53" s="229"/>
      <c r="AD53" s="222">
        <v>599959.0199999999</v>
      </c>
    </row>
    <row r="54" spans="1:30" s="59" customFormat="1" ht="23.1" hidden="1" customHeight="1" outlineLevel="2">
      <c r="A54" s="171">
        <v>1.1000000000000001</v>
      </c>
      <c r="B54" s="113" t="s">
        <v>1063</v>
      </c>
      <c r="C54" s="237" t="s">
        <v>1124</v>
      </c>
      <c r="D54" s="238" t="s">
        <v>247</v>
      </c>
      <c r="E54" s="123"/>
      <c r="F54" s="120">
        <v>98.29</v>
      </c>
      <c r="G54" s="205">
        <v>171173.49480290638</v>
      </c>
      <c r="H54" s="123"/>
      <c r="I54" s="120"/>
      <c r="J54" s="205">
        <v>257322.59999999998</v>
      </c>
      <c r="K54" s="207">
        <f>+Q54-Y54</f>
        <v>0</v>
      </c>
      <c r="L54" s="205">
        <f>+R54</f>
        <v>98.29</v>
      </c>
      <c r="M54" s="205">
        <f t="shared" ref="M54:M75" si="19">+L54*K54</f>
        <v>0</v>
      </c>
      <c r="N54" s="207">
        <f t="shared" ref="N54:N84" si="20">+K54</f>
        <v>0</v>
      </c>
      <c r="O54" s="207">
        <f t="shared" ref="O54:O84" si="21">+U54</f>
        <v>78</v>
      </c>
      <c r="P54" s="205">
        <f t="shared" ref="P54:P84" si="22">+O54*N54</f>
        <v>0</v>
      </c>
      <c r="Q54" s="206">
        <v>2111.6999999999998</v>
      </c>
      <c r="R54" s="205">
        <f>+F54</f>
        <v>98.29</v>
      </c>
      <c r="S54" s="205">
        <f t="shared" si="14"/>
        <v>207558.99299999999</v>
      </c>
      <c r="T54" s="207">
        <f>+Q54</f>
        <v>2111.6999999999998</v>
      </c>
      <c r="U54" s="207">
        <v>78</v>
      </c>
      <c r="V54" s="205">
        <f t="shared" si="18"/>
        <v>164712.59999999998</v>
      </c>
      <c r="W54" s="123"/>
      <c r="Y54" s="207">
        <v>2111.6999999999998</v>
      </c>
      <c r="Z54" s="205">
        <v>98.29</v>
      </c>
      <c r="AA54" s="205">
        <v>207558.99299999999</v>
      </c>
      <c r="AB54" s="207">
        <v>2111.6999999999998</v>
      </c>
      <c r="AC54" s="207">
        <v>78</v>
      </c>
      <c r="AD54" s="205">
        <v>164712.59999999998</v>
      </c>
    </row>
    <row r="55" spans="1:30" s="59" customFormat="1" ht="23.1" hidden="1" customHeight="1" outlineLevel="2">
      <c r="A55" s="171">
        <v>1.2</v>
      </c>
      <c r="B55" s="113" t="s">
        <v>1125</v>
      </c>
      <c r="C55" s="237" t="s">
        <v>1126</v>
      </c>
      <c r="D55" s="238" t="s">
        <v>247</v>
      </c>
      <c r="E55" s="123"/>
      <c r="F55" s="120">
        <v>86.67</v>
      </c>
      <c r="G55" s="205">
        <v>78227.908498612858</v>
      </c>
      <c r="H55" s="123"/>
      <c r="I55" s="120"/>
      <c r="J55" s="205">
        <v>131912.20000000001</v>
      </c>
      <c r="K55" s="207">
        <f t="shared" ref="K55:K75" si="23">+Q55-Y55</f>
        <v>0</v>
      </c>
      <c r="L55" s="205">
        <f t="shared" ref="L55:L75" si="24">+R55</f>
        <v>86.67</v>
      </c>
      <c r="M55" s="205">
        <f t="shared" si="19"/>
        <v>0</v>
      </c>
      <c r="N55" s="207">
        <f t="shared" si="20"/>
        <v>0</v>
      </c>
      <c r="O55" s="207">
        <f t="shared" si="21"/>
        <v>78</v>
      </c>
      <c r="P55" s="205">
        <f t="shared" si="22"/>
        <v>0</v>
      </c>
      <c r="Q55" s="206">
        <v>1117.9000000000001</v>
      </c>
      <c r="R55" s="205">
        <f t="shared" ref="R55:R75" si="25">+F55</f>
        <v>86.67</v>
      </c>
      <c r="S55" s="205">
        <f t="shared" si="14"/>
        <v>96888.393000000011</v>
      </c>
      <c r="T55" s="207">
        <f t="shared" ref="T55:T75" si="26">+Q55</f>
        <v>1117.9000000000001</v>
      </c>
      <c r="U55" s="207">
        <v>78</v>
      </c>
      <c r="V55" s="205">
        <f t="shared" si="18"/>
        <v>87196.200000000012</v>
      </c>
      <c r="W55" s="123"/>
      <c r="Y55" s="207">
        <v>1117.9000000000001</v>
      </c>
      <c r="Z55" s="205">
        <v>86.67</v>
      </c>
      <c r="AA55" s="205">
        <v>96888.393000000011</v>
      </c>
      <c r="AB55" s="207">
        <v>1117.9000000000001</v>
      </c>
      <c r="AC55" s="207">
        <v>78</v>
      </c>
      <c r="AD55" s="205">
        <v>87196.200000000012</v>
      </c>
    </row>
    <row r="56" spans="1:30" s="59" customFormat="1" ht="23.1" hidden="1" customHeight="1" outlineLevel="2">
      <c r="A56" s="171">
        <v>1.2999999999999998</v>
      </c>
      <c r="B56" s="113" t="s">
        <v>1070</v>
      </c>
      <c r="C56" s="237" t="s">
        <v>1127</v>
      </c>
      <c r="D56" s="238" t="s">
        <v>247</v>
      </c>
      <c r="E56" s="123"/>
      <c r="F56" s="120">
        <v>103.37</v>
      </c>
      <c r="G56" s="205">
        <v>14006.74435659743</v>
      </c>
      <c r="H56" s="123"/>
      <c r="I56" s="120"/>
      <c r="J56" s="205">
        <v>20117.82</v>
      </c>
      <c r="K56" s="207">
        <f t="shared" si="23"/>
        <v>0</v>
      </c>
      <c r="L56" s="205">
        <f t="shared" si="24"/>
        <v>103.37</v>
      </c>
      <c r="M56" s="205">
        <f t="shared" si="19"/>
        <v>0</v>
      </c>
      <c r="N56" s="207">
        <f t="shared" si="20"/>
        <v>0</v>
      </c>
      <c r="O56" s="207">
        <f t="shared" si="21"/>
        <v>78</v>
      </c>
      <c r="P56" s="205">
        <f t="shared" si="22"/>
        <v>0</v>
      </c>
      <c r="Q56" s="206">
        <v>170.49</v>
      </c>
      <c r="R56" s="205">
        <f t="shared" si="25"/>
        <v>103.37</v>
      </c>
      <c r="S56" s="205">
        <f t="shared" si="14"/>
        <v>17623.551300000003</v>
      </c>
      <c r="T56" s="207">
        <f t="shared" si="26"/>
        <v>170.49</v>
      </c>
      <c r="U56" s="207">
        <v>78</v>
      </c>
      <c r="V56" s="205">
        <f t="shared" si="18"/>
        <v>13298.220000000001</v>
      </c>
      <c r="W56" s="123"/>
      <c r="Y56" s="207">
        <v>170.49</v>
      </c>
      <c r="Z56" s="205">
        <v>103.37</v>
      </c>
      <c r="AA56" s="205">
        <v>17623.551300000003</v>
      </c>
      <c r="AB56" s="207">
        <v>170.49</v>
      </c>
      <c r="AC56" s="207">
        <v>78</v>
      </c>
      <c r="AD56" s="205">
        <v>13298.22</v>
      </c>
    </row>
    <row r="57" spans="1:30" s="59" customFormat="1" ht="23.1" hidden="1" customHeight="1" outlineLevel="2">
      <c r="A57" s="171">
        <v>1.3999999999999997</v>
      </c>
      <c r="B57" s="113" t="s">
        <v>1073</v>
      </c>
      <c r="C57" s="237" t="s">
        <v>1128</v>
      </c>
      <c r="D57" s="238" t="s">
        <v>247</v>
      </c>
      <c r="E57" s="123"/>
      <c r="F57" s="120">
        <v>81.2</v>
      </c>
      <c r="G57" s="205">
        <v>5310.9819932036708</v>
      </c>
      <c r="H57" s="123"/>
      <c r="I57" s="120"/>
      <c r="J57" s="205">
        <v>9596.94</v>
      </c>
      <c r="K57" s="207">
        <f t="shared" si="23"/>
        <v>0</v>
      </c>
      <c r="L57" s="205">
        <f t="shared" si="24"/>
        <v>81.2</v>
      </c>
      <c r="M57" s="205">
        <f t="shared" si="19"/>
        <v>0</v>
      </c>
      <c r="N57" s="207">
        <f t="shared" si="20"/>
        <v>0</v>
      </c>
      <c r="O57" s="207">
        <f t="shared" si="21"/>
        <v>78</v>
      </c>
      <c r="P57" s="205">
        <f t="shared" si="22"/>
        <v>0</v>
      </c>
      <c r="Q57" s="206">
        <v>81.33</v>
      </c>
      <c r="R57" s="205">
        <f t="shared" si="25"/>
        <v>81.2</v>
      </c>
      <c r="S57" s="205">
        <f t="shared" si="14"/>
        <v>6603.9960000000001</v>
      </c>
      <c r="T57" s="207">
        <f t="shared" si="26"/>
        <v>81.33</v>
      </c>
      <c r="U57" s="207">
        <v>78</v>
      </c>
      <c r="V57" s="205">
        <f t="shared" si="18"/>
        <v>6343.74</v>
      </c>
      <c r="W57" s="123"/>
      <c r="Y57" s="207">
        <v>81.33</v>
      </c>
      <c r="Z57" s="205">
        <v>81.2</v>
      </c>
      <c r="AA57" s="205">
        <v>6603.9960000000001</v>
      </c>
      <c r="AB57" s="207">
        <v>81.33</v>
      </c>
      <c r="AC57" s="207">
        <v>78</v>
      </c>
      <c r="AD57" s="205">
        <v>6343.74</v>
      </c>
    </row>
    <row r="58" spans="1:30" s="59" customFormat="1" ht="23.1" hidden="1" customHeight="1" outlineLevel="2">
      <c r="A58" s="171">
        <v>1.4999999999999996</v>
      </c>
      <c r="B58" s="113" t="s">
        <v>1073</v>
      </c>
      <c r="C58" s="237" t="s">
        <v>1129</v>
      </c>
      <c r="D58" s="238" t="s">
        <v>247</v>
      </c>
      <c r="E58" s="123"/>
      <c r="F58" s="120">
        <v>88.86</v>
      </c>
      <c r="G58" s="205">
        <v>114800.98437276772</v>
      </c>
      <c r="H58" s="123"/>
      <c r="I58" s="120"/>
      <c r="J58" s="205">
        <v>189978.82</v>
      </c>
      <c r="K58" s="207">
        <f t="shared" si="23"/>
        <v>0</v>
      </c>
      <c r="L58" s="205">
        <f t="shared" si="24"/>
        <v>88.86</v>
      </c>
      <c r="M58" s="205">
        <f t="shared" si="19"/>
        <v>0</v>
      </c>
      <c r="N58" s="207">
        <f t="shared" si="20"/>
        <v>0</v>
      </c>
      <c r="O58" s="207">
        <f t="shared" si="21"/>
        <v>78</v>
      </c>
      <c r="P58" s="205">
        <f t="shared" si="22"/>
        <v>0</v>
      </c>
      <c r="Q58" s="206">
        <v>1506.99</v>
      </c>
      <c r="R58" s="205">
        <f t="shared" si="25"/>
        <v>88.86</v>
      </c>
      <c r="S58" s="205">
        <f t="shared" si="14"/>
        <v>133911.13140000001</v>
      </c>
      <c r="T58" s="207">
        <f t="shared" si="26"/>
        <v>1506.99</v>
      </c>
      <c r="U58" s="207">
        <v>78</v>
      </c>
      <c r="V58" s="205">
        <f t="shared" si="18"/>
        <v>117545.22</v>
      </c>
      <c r="W58" s="123"/>
      <c r="Y58" s="207">
        <v>1506.99</v>
      </c>
      <c r="Z58" s="205">
        <v>88.86</v>
      </c>
      <c r="AA58" s="205">
        <v>133911.13140000001</v>
      </c>
      <c r="AB58" s="207">
        <v>1506.99</v>
      </c>
      <c r="AC58" s="207">
        <v>78</v>
      </c>
      <c r="AD58" s="205">
        <v>117545.22</v>
      </c>
    </row>
    <row r="59" spans="1:30" s="59" customFormat="1" ht="23.1" hidden="1" customHeight="1" outlineLevel="2">
      <c r="A59" s="171">
        <v>1.5999999999999994</v>
      </c>
      <c r="B59" s="113" t="s">
        <v>1073</v>
      </c>
      <c r="C59" s="237" t="s">
        <v>1130</v>
      </c>
      <c r="D59" s="238" t="s">
        <v>247</v>
      </c>
      <c r="E59" s="123"/>
      <c r="F59" s="120">
        <v>93.4</v>
      </c>
      <c r="G59" s="205">
        <v>7025.0560201981662</v>
      </c>
      <c r="H59" s="123"/>
      <c r="I59" s="120"/>
      <c r="J59" s="205">
        <v>11035.359999999999</v>
      </c>
      <c r="K59" s="207">
        <f t="shared" si="23"/>
        <v>0</v>
      </c>
      <c r="L59" s="205">
        <f t="shared" si="24"/>
        <v>93.4</v>
      </c>
      <c r="M59" s="205">
        <f t="shared" si="19"/>
        <v>0</v>
      </c>
      <c r="N59" s="207">
        <f t="shared" si="20"/>
        <v>0</v>
      </c>
      <c r="O59" s="207">
        <f t="shared" si="21"/>
        <v>78</v>
      </c>
      <c r="P59" s="205">
        <f t="shared" si="22"/>
        <v>0</v>
      </c>
      <c r="Q59" s="206">
        <v>93.52</v>
      </c>
      <c r="R59" s="205">
        <f t="shared" si="25"/>
        <v>93.4</v>
      </c>
      <c r="S59" s="205">
        <f t="shared" si="14"/>
        <v>8734.768</v>
      </c>
      <c r="T59" s="207">
        <f t="shared" si="26"/>
        <v>93.52</v>
      </c>
      <c r="U59" s="207">
        <v>78</v>
      </c>
      <c r="V59" s="205">
        <f t="shared" si="18"/>
        <v>7294.5599999999995</v>
      </c>
      <c r="W59" s="123"/>
      <c r="Y59" s="207">
        <v>93.52</v>
      </c>
      <c r="Z59" s="205">
        <v>93.4</v>
      </c>
      <c r="AA59" s="205">
        <v>8734.768</v>
      </c>
      <c r="AB59" s="207">
        <v>93.52</v>
      </c>
      <c r="AC59" s="207">
        <v>78</v>
      </c>
      <c r="AD59" s="205">
        <v>7294.56</v>
      </c>
    </row>
    <row r="60" spans="1:30" s="59" customFormat="1" ht="23.1" hidden="1" customHeight="1" outlineLevel="2">
      <c r="A60" s="171">
        <v>1.6999999999999993</v>
      </c>
      <c r="B60" s="113" t="s">
        <v>1077</v>
      </c>
      <c r="C60" s="237" t="s">
        <v>1131</v>
      </c>
      <c r="D60" s="238" t="s">
        <v>247</v>
      </c>
      <c r="E60" s="123"/>
      <c r="F60" s="120">
        <v>84.56</v>
      </c>
      <c r="G60" s="205">
        <v>16218.875141064222</v>
      </c>
      <c r="H60" s="123"/>
      <c r="I60" s="120"/>
      <c r="J60" s="205">
        <v>28122.94</v>
      </c>
      <c r="K60" s="207">
        <f t="shared" si="23"/>
        <v>0</v>
      </c>
      <c r="L60" s="205">
        <f t="shared" si="24"/>
        <v>84.56</v>
      </c>
      <c r="M60" s="205">
        <f t="shared" si="19"/>
        <v>0</v>
      </c>
      <c r="N60" s="207">
        <f t="shared" si="20"/>
        <v>0</v>
      </c>
      <c r="O60" s="207">
        <f t="shared" si="21"/>
        <v>78</v>
      </c>
      <c r="P60" s="205">
        <f t="shared" si="22"/>
        <v>0</v>
      </c>
      <c r="Q60" s="206">
        <v>238.33</v>
      </c>
      <c r="R60" s="205">
        <f t="shared" si="25"/>
        <v>84.56</v>
      </c>
      <c r="S60" s="205">
        <f t="shared" si="14"/>
        <v>20153.184800000003</v>
      </c>
      <c r="T60" s="207">
        <f t="shared" si="26"/>
        <v>238.33</v>
      </c>
      <c r="U60" s="207">
        <v>78</v>
      </c>
      <c r="V60" s="205">
        <f t="shared" si="18"/>
        <v>18589.740000000002</v>
      </c>
      <c r="W60" s="123"/>
      <c r="Y60" s="207">
        <v>238.33</v>
      </c>
      <c r="Z60" s="205">
        <v>84.56</v>
      </c>
      <c r="AA60" s="205">
        <v>20153.184800000003</v>
      </c>
      <c r="AB60" s="207">
        <v>238.33</v>
      </c>
      <c r="AC60" s="207">
        <v>78</v>
      </c>
      <c r="AD60" s="205">
        <v>18589.740000000002</v>
      </c>
    </row>
    <row r="61" spans="1:30" s="59" customFormat="1" ht="23.1" hidden="1" customHeight="1" outlineLevel="2">
      <c r="A61" s="171">
        <v>1.7999999999999992</v>
      </c>
      <c r="B61" s="113" t="s">
        <v>1077</v>
      </c>
      <c r="C61" s="237" t="s">
        <v>1132</v>
      </c>
      <c r="D61" s="238" t="s">
        <v>247</v>
      </c>
      <c r="E61" s="123"/>
      <c r="F61" s="120">
        <v>85.95</v>
      </c>
      <c r="G61" s="205">
        <v>82971.755037357798</v>
      </c>
      <c r="H61" s="123"/>
      <c r="I61" s="120"/>
      <c r="J61" s="205">
        <v>141406.47999999998</v>
      </c>
      <c r="K61" s="207">
        <f t="shared" si="23"/>
        <v>0</v>
      </c>
      <c r="L61" s="205">
        <f t="shared" si="24"/>
        <v>85.95</v>
      </c>
      <c r="M61" s="205">
        <f t="shared" si="19"/>
        <v>0</v>
      </c>
      <c r="N61" s="207">
        <f t="shared" si="20"/>
        <v>0</v>
      </c>
      <c r="O61" s="207">
        <f t="shared" si="21"/>
        <v>78</v>
      </c>
      <c r="P61" s="205">
        <f t="shared" si="22"/>
        <v>0</v>
      </c>
      <c r="Q61" s="206">
        <v>1125.3599999999999</v>
      </c>
      <c r="R61" s="205">
        <f t="shared" si="25"/>
        <v>85.95</v>
      </c>
      <c r="S61" s="205">
        <f t="shared" si="14"/>
        <v>96724.691999999995</v>
      </c>
      <c r="T61" s="207">
        <f t="shared" si="26"/>
        <v>1125.3599999999999</v>
      </c>
      <c r="U61" s="207">
        <v>78</v>
      </c>
      <c r="V61" s="205">
        <f t="shared" si="18"/>
        <v>87778.079999999987</v>
      </c>
      <c r="W61" s="123"/>
      <c r="Y61" s="207">
        <v>1125.3599999999999</v>
      </c>
      <c r="Z61" s="205">
        <v>85.95</v>
      </c>
      <c r="AA61" s="205">
        <v>96724.691999999995</v>
      </c>
      <c r="AB61" s="207">
        <v>1125.3599999999999</v>
      </c>
      <c r="AC61" s="207">
        <v>78</v>
      </c>
      <c r="AD61" s="205">
        <v>87778.079999999987</v>
      </c>
    </row>
    <row r="62" spans="1:30" s="59" customFormat="1" ht="23.1" hidden="1" customHeight="1" outlineLevel="2">
      <c r="A62" s="171">
        <v>1.899999999999999</v>
      </c>
      <c r="B62" s="113" t="s">
        <v>1086</v>
      </c>
      <c r="C62" s="237" t="s">
        <v>1133</v>
      </c>
      <c r="D62" s="238" t="s">
        <v>247</v>
      </c>
      <c r="E62" s="123"/>
      <c r="F62" s="120">
        <v>84.07</v>
      </c>
      <c r="G62" s="205">
        <v>30813.066274102013</v>
      </c>
      <c r="H62" s="123"/>
      <c r="I62" s="120"/>
      <c r="J62" s="205">
        <v>0</v>
      </c>
      <c r="K62" s="207">
        <f t="shared" si="23"/>
        <v>0</v>
      </c>
      <c r="L62" s="205">
        <f t="shared" si="24"/>
        <v>84.07</v>
      </c>
      <c r="M62" s="205">
        <f t="shared" si="19"/>
        <v>0</v>
      </c>
      <c r="N62" s="207">
        <f t="shared" si="20"/>
        <v>0</v>
      </c>
      <c r="O62" s="207">
        <f t="shared" si="21"/>
        <v>78</v>
      </c>
      <c r="P62" s="205">
        <f t="shared" si="22"/>
        <v>0</v>
      </c>
      <c r="Q62" s="206"/>
      <c r="R62" s="205">
        <f t="shared" si="25"/>
        <v>84.07</v>
      </c>
      <c r="S62" s="205">
        <f t="shared" si="14"/>
        <v>0</v>
      </c>
      <c r="T62" s="207">
        <f t="shared" si="26"/>
        <v>0</v>
      </c>
      <c r="U62" s="207">
        <v>78</v>
      </c>
      <c r="V62" s="205">
        <f t="shared" si="18"/>
        <v>0</v>
      </c>
      <c r="W62" s="123"/>
      <c r="Y62" s="207"/>
      <c r="Z62" s="205">
        <v>84.07</v>
      </c>
      <c r="AA62" s="205">
        <v>0</v>
      </c>
      <c r="AB62" s="207">
        <v>0</v>
      </c>
      <c r="AC62" s="207">
        <v>78</v>
      </c>
      <c r="AD62" s="205">
        <v>0</v>
      </c>
    </row>
    <row r="63" spans="1:30" s="59" customFormat="1" ht="23.1" hidden="1" customHeight="1" outlineLevel="2">
      <c r="A63" s="239">
        <v>1.1000000000000001</v>
      </c>
      <c r="B63" s="113" t="s">
        <v>1086</v>
      </c>
      <c r="C63" s="237" t="s">
        <v>1124</v>
      </c>
      <c r="D63" s="238" t="s">
        <v>247</v>
      </c>
      <c r="E63" s="123"/>
      <c r="F63" s="120">
        <v>98.29</v>
      </c>
      <c r="G63" s="205">
        <v>7849.4747009174307</v>
      </c>
      <c r="H63" s="123"/>
      <c r="I63" s="120"/>
      <c r="J63" s="205">
        <v>0</v>
      </c>
      <c r="K63" s="207">
        <f t="shared" si="23"/>
        <v>0</v>
      </c>
      <c r="L63" s="205">
        <f t="shared" si="24"/>
        <v>98.29</v>
      </c>
      <c r="M63" s="205">
        <f t="shared" si="19"/>
        <v>0</v>
      </c>
      <c r="N63" s="207">
        <f t="shared" si="20"/>
        <v>0</v>
      </c>
      <c r="O63" s="207">
        <f t="shared" si="21"/>
        <v>78</v>
      </c>
      <c r="P63" s="205">
        <f t="shared" si="22"/>
        <v>0</v>
      </c>
      <c r="Q63" s="206"/>
      <c r="R63" s="205">
        <f t="shared" si="25"/>
        <v>98.29</v>
      </c>
      <c r="S63" s="205">
        <f t="shared" si="14"/>
        <v>0</v>
      </c>
      <c r="T63" s="207">
        <f t="shared" si="26"/>
        <v>0</v>
      </c>
      <c r="U63" s="207">
        <v>78</v>
      </c>
      <c r="V63" s="205">
        <f t="shared" si="18"/>
        <v>0</v>
      </c>
      <c r="W63" s="123"/>
      <c r="Y63" s="207"/>
      <c r="Z63" s="205">
        <v>98.29</v>
      </c>
      <c r="AA63" s="205">
        <v>0</v>
      </c>
      <c r="AB63" s="207">
        <v>0</v>
      </c>
      <c r="AC63" s="207">
        <v>78</v>
      </c>
      <c r="AD63" s="205">
        <v>0</v>
      </c>
    </row>
    <row r="64" spans="1:30" s="59" customFormat="1" ht="23.1" hidden="1" customHeight="1" outlineLevel="2">
      <c r="A64" s="171">
        <v>1.1100000000000001</v>
      </c>
      <c r="B64" s="113" t="s">
        <v>1088</v>
      </c>
      <c r="C64" s="237" t="s">
        <v>1134</v>
      </c>
      <c r="D64" s="238" t="s">
        <v>247</v>
      </c>
      <c r="E64" s="123"/>
      <c r="F64" s="120">
        <v>160.82</v>
      </c>
      <c r="G64" s="205">
        <v>19239.918384405137</v>
      </c>
      <c r="H64" s="123"/>
      <c r="I64" s="120"/>
      <c r="J64" s="205">
        <v>17643.36</v>
      </c>
      <c r="K64" s="207">
        <f t="shared" si="23"/>
        <v>0</v>
      </c>
      <c r="L64" s="205">
        <f t="shared" si="24"/>
        <v>160.82</v>
      </c>
      <c r="M64" s="205">
        <f t="shared" si="19"/>
        <v>0</v>
      </c>
      <c r="N64" s="207">
        <f t="shared" si="20"/>
        <v>0</v>
      </c>
      <c r="O64" s="207">
        <f t="shared" si="21"/>
        <v>78</v>
      </c>
      <c r="P64" s="205">
        <f t="shared" si="22"/>
        <v>0</v>
      </c>
      <c r="Q64" s="206">
        <v>149.52000000000001</v>
      </c>
      <c r="R64" s="205">
        <f t="shared" si="25"/>
        <v>160.82</v>
      </c>
      <c r="S64" s="205">
        <f t="shared" si="14"/>
        <v>24045.806400000001</v>
      </c>
      <c r="T64" s="207">
        <f t="shared" si="26"/>
        <v>149.52000000000001</v>
      </c>
      <c r="U64" s="207">
        <v>78</v>
      </c>
      <c r="V64" s="205">
        <f t="shared" si="18"/>
        <v>11662.560000000001</v>
      </c>
      <c r="W64" s="123"/>
      <c r="Y64" s="207">
        <v>149.52000000000001</v>
      </c>
      <c r="Z64" s="205">
        <v>160.82</v>
      </c>
      <c r="AA64" s="205">
        <v>24045.806400000001</v>
      </c>
      <c r="AB64" s="207">
        <v>149.52000000000001</v>
      </c>
      <c r="AC64" s="207">
        <v>78</v>
      </c>
      <c r="AD64" s="205">
        <v>11662.560000000001</v>
      </c>
    </row>
    <row r="65" spans="1:30" s="59" customFormat="1" ht="23.1" hidden="1" customHeight="1" outlineLevel="2">
      <c r="A65" s="239">
        <v>1.1200000000000001</v>
      </c>
      <c r="B65" s="113" t="s">
        <v>1090</v>
      </c>
      <c r="C65" s="237" t="s">
        <v>1135</v>
      </c>
      <c r="D65" s="238" t="s">
        <v>247</v>
      </c>
      <c r="E65" s="123"/>
      <c r="F65" s="120">
        <v>92.78</v>
      </c>
      <c r="G65" s="205">
        <v>9791.330790446973</v>
      </c>
      <c r="H65" s="123"/>
      <c r="I65" s="120"/>
      <c r="J65" s="205">
        <v>0</v>
      </c>
      <c r="K65" s="207">
        <f t="shared" si="23"/>
        <v>0</v>
      </c>
      <c r="L65" s="205">
        <f t="shared" si="24"/>
        <v>92.78</v>
      </c>
      <c r="M65" s="205">
        <f t="shared" si="19"/>
        <v>0</v>
      </c>
      <c r="N65" s="207">
        <f t="shared" si="20"/>
        <v>0</v>
      </c>
      <c r="O65" s="207">
        <f t="shared" si="21"/>
        <v>78</v>
      </c>
      <c r="P65" s="205">
        <f t="shared" si="22"/>
        <v>0</v>
      </c>
      <c r="Q65" s="206"/>
      <c r="R65" s="205">
        <f t="shared" si="25"/>
        <v>92.78</v>
      </c>
      <c r="S65" s="205">
        <f t="shared" si="14"/>
        <v>0</v>
      </c>
      <c r="T65" s="207">
        <f t="shared" si="26"/>
        <v>0</v>
      </c>
      <c r="U65" s="207">
        <v>78</v>
      </c>
      <c r="V65" s="205">
        <f t="shared" si="18"/>
        <v>0</v>
      </c>
      <c r="W65" s="123"/>
      <c r="Y65" s="207"/>
      <c r="Z65" s="205">
        <v>92.78</v>
      </c>
      <c r="AA65" s="205">
        <v>0</v>
      </c>
      <c r="AB65" s="207">
        <v>0</v>
      </c>
      <c r="AC65" s="207">
        <v>78</v>
      </c>
      <c r="AD65" s="205">
        <v>0</v>
      </c>
    </row>
    <row r="66" spans="1:30" s="59" customFormat="1" ht="23.1" hidden="1" customHeight="1" outlineLevel="2">
      <c r="A66" s="171">
        <v>1.1300000000000001</v>
      </c>
      <c r="B66" s="113" t="s">
        <v>1092</v>
      </c>
      <c r="C66" s="237" t="s">
        <v>1136</v>
      </c>
      <c r="D66" s="238" t="s">
        <v>247</v>
      </c>
      <c r="E66" s="123"/>
      <c r="F66" s="120">
        <v>108.08</v>
      </c>
      <c r="G66" s="205">
        <v>1641.320891881101</v>
      </c>
      <c r="H66" s="123"/>
      <c r="I66" s="120"/>
      <c r="J66" s="205">
        <v>0</v>
      </c>
      <c r="K66" s="207">
        <f t="shared" si="23"/>
        <v>0</v>
      </c>
      <c r="L66" s="205">
        <f t="shared" si="24"/>
        <v>108.08</v>
      </c>
      <c r="M66" s="205">
        <f t="shared" si="19"/>
        <v>0</v>
      </c>
      <c r="N66" s="207">
        <f t="shared" si="20"/>
        <v>0</v>
      </c>
      <c r="O66" s="207">
        <f t="shared" si="21"/>
        <v>78</v>
      </c>
      <c r="P66" s="205">
        <f t="shared" si="22"/>
        <v>0</v>
      </c>
      <c r="Q66" s="206"/>
      <c r="R66" s="205">
        <f t="shared" si="25"/>
        <v>108.08</v>
      </c>
      <c r="S66" s="205">
        <f t="shared" si="14"/>
        <v>0</v>
      </c>
      <c r="T66" s="207">
        <f t="shared" si="26"/>
        <v>0</v>
      </c>
      <c r="U66" s="207">
        <v>78</v>
      </c>
      <c r="V66" s="205">
        <f t="shared" si="18"/>
        <v>0</v>
      </c>
      <c r="W66" s="123"/>
      <c r="Y66" s="207"/>
      <c r="Z66" s="205">
        <v>108.08</v>
      </c>
      <c r="AA66" s="205">
        <v>0</v>
      </c>
      <c r="AB66" s="207">
        <v>0</v>
      </c>
      <c r="AC66" s="207">
        <v>78</v>
      </c>
      <c r="AD66" s="205">
        <v>0</v>
      </c>
    </row>
    <row r="67" spans="1:30" s="59" customFormat="1" ht="23.1" hidden="1" customHeight="1" outlineLevel="2">
      <c r="A67" s="239">
        <v>1.1400000000000001</v>
      </c>
      <c r="B67" s="113" t="s">
        <v>1094</v>
      </c>
      <c r="C67" s="237" t="s">
        <v>1137</v>
      </c>
      <c r="D67" s="238" t="s">
        <v>247</v>
      </c>
      <c r="E67" s="123"/>
      <c r="F67" s="120">
        <v>88.61</v>
      </c>
      <c r="G67" s="205">
        <v>3778.6086992146779</v>
      </c>
      <c r="H67" s="123"/>
      <c r="I67" s="120"/>
      <c r="J67" s="205">
        <v>6276.42</v>
      </c>
      <c r="K67" s="207">
        <f t="shared" si="23"/>
        <v>0</v>
      </c>
      <c r="L67" s="205">
        <f t="shared" si="24"/>
        <v>88.61</v>
      </c>
      <c r="M67" s="205">
        <f t="shared" si="19"/>
        <v>0</v>
      </c>
      <c r="N67" s="207">
        <f t="shared" si="20"/>
        <v>0</v>
      </c>
      <c r="O67" s="207">
        <f t="shared" si="21"/>
        <v>78</v>
      </c>
      <c r="P67" s="205">
        <f t="shared" si="22"/>
        <v>0</v>
      </c>
      <c r="Q67" s="206"/>
      <c r="R67" s="205">
        <f t="shared" si="25"/>
        <v>88.61</v>
      </c>
      <c r="S67" s="205">
        <f t="shared" si="14"/>
        <v>0</v>
      </c>
      <c r="T67" s="207">
        <f t="shared" si="26"/>
        <v>0</v>
      </c>
      <c r="U67" s="207">
        <v>78</v>
      </c>
      <c r="V67" s="205">
        <f t="shared" si="18"/>
        <v>0</v>
      </c>
      <c r="W67" s="123"/>
      <c r="Y67" s="207"/>
      <c r="Z67" s="205">
        <v>88.61</v>
      </c>
      <c r="AA67" s="205">
        <v>0</v>
      </c>
      <c r="AB67" s="207">
        <v>0</v>
      </c>
      <c r="AC67" s="207">
        <v>78</v>
      </c>
      <c r="AD67" s="205">
        <v>0</v>
      </c>
    </row>
    <row r="68" spans="1:30" s="59" customFormat="1" ht="23.1" hidden="1" customHeight="1" outlineLevel="2">
      <c r="A68" s="171">
        <v>1.1500000000000001</v>
      </c>
      <c r="B68" s="113" t="s">
        <v>1138</v>
      </c>
      <c r="C68" s="237" t="s">
        <v>1139</v>
      </c>
      <c r="D68" s="238" t="s">
        <v>247</v>
      </c>
      <c r="E68" s="123"/>
      <c r="F68" s="120">
        <v>116.3</v>
      </c>
      <c r="G68" s="205">
        <v>41349.80778526239</v>
      </c>
      <c r="H68" s="123"/>
      <c r="I68" s="120"/>
      <c r="J68" s="205">
        <v>52692.9</v>
      </c>
      <c r="K68" s="207">
        <f t="shared" si="23"/>
        <v>0</v>
      </c>
      <c r="L68" s="205">
        <f t="shared" si="24"/>
        <v>116.3</v>
      </c>
      <c r="M68" s="205">
        <f t="shared" si="19"/>
        <v>0</v>
      </c>
      <c r="N68" s="207">
        <f t="shared" si="20"/>
        <v>0</v>
      </c>
      <c r="O68" s="207">
        <f t="shared" si="21"/>
        <v>78</v>
      </c>
      <c r="P68" s="205">
        <f t="shared" si="22"/>
        <v>0</v>
      </c>
      <c r="Q68" s="206"/>
      <c r="R68" s="205">
        <f t="shared" si="25"/>
        <v>116.3</v>
      </c>
      <c r="S68" s="205">
        <f t="shared" si="14"/>
        <v>0</v>
      </c>
      <c r="T68" s="207">
        <f t="shared" si="26"/>
        <v>0</v>
      </c>
      <c r="U68" s="207">
        <v>78</v>
      </c>
      <c r="V68" s="205">
        <f t="shared" si="18"/>
        <v>0</v>
      </c>
      <c r="W68" s="123"/>
      <c r="Y68" s="207"/>
      <c r="Z68" s="205">
        <v>116.3</v>
      </c>
      <c r="AA68" s="205">
        <v>0</v>
      </c>
      <c r="AB68" s="207">
        <v>0</v>
      </c>
      <c r="AC68" s="207">
        <v>78</v>
      </c>
      <c r="AD68" s="205">
        <v>0</v>
      </c>
    </row>
    <row r="69" spans="1:30" s="59" customFormat="1" ht="23.1" hidden="1" customHeight="1" outlineLevel="2">
      <c r="A69" s="239">
        <v>1.1600000000000001</v>
      </c>
      <c r="B69" s="113" t="s">
        <v>1140</v>
      </c>
      <c r="C69" s="237" t="s">
        <v>1141</v>
      </c>
      <c r="D69" s="238" t="s">
        <v>247</v>
      </c>
      <c r="E69" s="123"/>
      <c r="F69" s="120">
        <v>131.07</v>
      </c>
      <c r="G69" s="205">
        <v>70785.022929344588</v>
      </c>
      <c r="H69" s="123"/>
      <c r="I69" s="120"/>
      <c r="J69" s="205">
        <v>79038.760000000009</v>
      </c>
      <c r="K69" s="207">
        <f t="shared" si="23"/>
        <v>0</v>
      </c>
      <c r="L69" s="205">
        <f t="shared" si="24"/>
        <v>131.07</v>
      </c>
      <c r="M69" s="205">
        <f t="shared" si="19"/>
        <v>0</v>
      </c>
      <c r="N69" s="207">
        <f t="shared" si="20"/>
        <v>0</v>
      </c>
      <c r="O69" s="207">
        <f t="shared" si="21"/>
        <v>78</v>
      </c>
      <c r="P69" s="205">
        <f t="shared" si="22"/>
        <v>0</v>
      </c>
      <c r="Q69" s="206"/>
      <c r="R69" s="205">
        <f t="shared" si="25"/>
        <v>131.07</v>
      </c>
      <c r="S69" s="205">
        <f t="shared" si="14"/>
        <v>0</v>
      </c>
      <c r="T69" s="207">
        <f t="shared" si="26"/>
        <v>0</v>
      </c>
      <c r="U69" s="207">
        <v>78</v>
      </c>
      <c r="V69" s="205">
        <f t="shared" si="18"/>
        <v>0</v>
      </c>
      <c r="W69" s="123"/>
      <c r="Y69" s="207"/>
      <c r="Z69" s="205">
        <v>131.07</v>
      </c>
      <c r="AA69" s="205">
        <v>0</v>
      </c>
      <c r="AB69" s="207">
        <v>0</v>
      </c>
      <c r="AC69" s="207">
        <v>78</v>
      </c>
      <c r="AD69" s="205">
        <v>0</v>
      </c>
    </row>
    <row r="70" spans="1:30" s="59" customFormat="1" ht="23.1" hidden="1" customHeight="1" outlineLevel="2">
      <c r="A70" s="171">
        <v>1.1700000000000002</v>
      </c>
      <c r="B70" s="113" t="s">
        <v>1096</v>
      </c>
      <c r="C70" s="237" t="s">
        <v>1142</v>
      </c>
      <c r="D70" s="238" t="s">
        <v>247</v>
      </c>
      <c r="E70" s="123"/>
      <c r="F70" s="120">
        <v>96.91</v>
      </c>
      <c r="G70" s="205">
        <v>9342.8644836374333</v>
      </c>
      <c r="H70" s="123"/>
      <c r="I70" s="120"/>
      <c r="J70" s="205">
        <v>0</v>
      </c>
      <c r="K70" s="207">
        <f t="shared" si="23"/>
        <v>0</v>
      </c>
      <c r="L70" s="205">
        <f t="shared" si="24"/>
        <v>96.91</v>
      </c>
      <c r="M70" s="205">
        <f t="shared" si="19"/>
        <v>0</v>
      </c>
      <c r="N70" s="207">
        <f t="shared" si="20"/>
        <v>0</v>
      </c>
      <c r="O70" s="207">
        <f t="shared" si="21"/>
        <v>78</v>
      </c>
      <c r="P70" s="205">
        <f t="shared" si="22"/>
        <v>0</v>
      </c>
      <c r="Q70" s="206"/>
      <c r="R70" s="205">
        <f t="shared" si="25"/>
        <v>96.91</v>
      </c>
      <c r="S70" s="205">
        <f t="shared" si="14"/>
        <v>0</v>
      </c>
      <c r="T70" s="207">
        <f t="shared" si="26"/>
        <v>0</v>
      </c>
      <c r="U70" s="207">
        <v>78</v>
      </c>
      <c r="V70" s="205">
        <f t="shared" si="18"/>
        <v>0</v>
      </c>
      <c r="W70" s="123"/>
      <c r="Y70" s="207"/>
      <c r="Z70" s="205">
        <v>96.91</v>
      </c>
      <c r="AA70" s="205">
        <v>0</v>
      </c>
      <c r="AB70" s="207">
        <v>0</v>
      </c>
      <c r="AC70" s="207">
        <v>78</v>
      </c>
      <c r="AD70" s="205">
        <v>0</v>
      </c>
    </row>
    <row r="71" spans="1:30" s="59" customFormat="1" ht="23.1" hidden="1" customHeight="1" outlineLevel="2">
      <c r="A71" s="239">
        <v>1.1800000000000002</v>
      </c>
      <c r="B71" s="113" t="s">
        <v>1098</v>
      </c>
      <c r="C71" s="237" t="s">
        <v>1143</v>
      </c>
      <c r="D71" s="238" t="s">
        <v>103</v>
      </c>
      <c r="E71" s="123"/>
      <c r="F71" s="120">
        <v>18.2</v>
      </c>
      <c r="G71" s="205">
        <v>21562.86030565872</v>
      </c>
      <c r="H71" s="123"/>
      <c r="I71" s="120"/>
      <c r="J71" s="205">
        <v>0</v>
      </c>
      <c r="K71" s="207">
        <f t="shared" si="23"/>
        <v>0</v>
      </c>
      <c r="L71" s="205">
        <f t="shared" si="24"/>
        <v>18.2</v>
      </c>
      <c r="M71" s="205">
        <f t="shared" si="19"/>
        <v>0</v>
      </c>
      <c r="N71" s="207">
        <f t="shared" si="20"/>
        <v>0</v>
      </c>
      <c r="O71" s="207">
        <f t="shared" si="21"/>
        <v>10</v>
      </c>
      <c r="P71" s="205">
        <f t="shared" si="22"/>
        <v>0</v>
      </c>
      <c r="Q71" s="206">
        <v>1373.63</v>
      </c>
      <c r="R71" s="205">
        <f t="shared" si="25"/>
        <v>18.2</v>
      </c>
      <c r="S71" s="205">
        <f t="shared" si="14"/>
        <v>25000.066000000003</v>
      </c>
      <c r="T71" s="207">
        <f t="shared" si="26"/>
        <v>1373.63</v>
      </c>
      <c r="U71" s="207">
        <v>10</v>
      </c>
      <c r="V71" s="205">
        <f t="shared" si="18"/>
        <v>13736.300000000001</v>
      </c>
      <c r="W71" s="123"/>
      <c r="Y71" s="207">
        <v>1373.63</v>
      </c>
      <c r="Z71" s="205">
        <v>18.2</v>
      </c>
      <c r="AA71" s="205">
        <v>25000.066000000003</v>
      </c>
      <c r="AB71" s="207">
        <v>1373.63</v>
      </c>
      <c r="AC71" s="207">
        <v>10</v>
      </c>
      <c r="AD71" s="205">
        <v>13736.3</v>
      </c>
    </row>
    <row r="72" spans="1:30" s="59" customFormat="1" ht="23.1" hidden="1" customHeight="1" outlineLevel="2">
      <c r="A72" s="171">
        <v>1.1900000000000002</v>
      </c>
      <c r="B72" s="113" t="s">
        <v>1098</v>
      </c>
      <c r="C72" s="237" t="s">
        <v>1144</v>
      </c>
      <c r="D72" s="238" t="s">
        <v>103</v>
      </c>
      <c r="E72" s="123"/>
      <c r="F72" s="120">
        <v>20.92</v>
      </c>
      <c r="G72" s="205">
        <v>8280.8935345056889</v>
      </c>
      <c r="H72" s="123"/>
      <c r="I72" s="120"/>
      <c r="J72" s="205">
        <v>0</v>
      </c>
      <c r="K72" s="207">
        <f t="shared" si="23"/>
        <v>0</v>
      </c>
      <c r="L72" s="205">
        <f t="shared" si="24"/>
        <v>20.92</v>
      </c>
      <c r="M72" s="205">
        <f t="shared" si="19"/>
        <v>0</v>
      </c>
      <c r="N72" s="207">
        <f t="shared" si="20"/>
        <v>0</v>
      </c>
      <c r="O72" s="207">
        <f t="shared" si="21"/>
        <v>10</v>
      </c>
      <c r="P72" s="205">
        <f t="shared" si="22"/>
        <v>0</v>
      </c>
      <c r="Q72" s="206">
        <v>500.91</v>
      </c>
      <c r="R72" s="205">
        <f t="shared" si="25"/>
        <v>20.92</v>
      </c>
      <c r="S72" s="205">
        <f t="shared" ref="S72:S103" si="27">+R72*Q72</f>
        <v>10479.037200000001</v>
      </c>
      <c r="T72" s="207">
        <f t="shared" si="26"/>
        <v>500.91</v>
      </c>
      <c r="U72" s="207">
        <v>10</v>
      </c>
      <c r="V72" s="205">
        <f t="shared" si="18"/>
        <v>5009.1000000000004</v>
      </c>
      <c r="W72" s="123"/>
      <c r="Y72" s="207">
        <v>500.91</v>
      </c>
      <c r="Z72" s="205">
        <v>20.92</v>
      </c>
      <c r="AA72" s="205">
        <v>10479.037200000001</v>
      </c>
      <c r="AB72" s="207">
        <v>500.91</v>
      </c>
      <c r="AC72" s="207">
        <v>10</v>
      </c>
      <c r="AD72" s="205">
        <v>5009.1000000000004</v>
      </c>
    </row>
    <row r="73" spans="1:30" s="59" customFormat="1" ht="23.1" hidden="1" customHeight="1" outlineLevel="2">
      <c r="A73" s="239">
        <v>1.2000000000000002</v>
      </c>
      <c r="B73" s="113" t="s">
        <v>1098</v>
      </c>
      <c r="C73" s="237" t="s">
        <v>1145</v>
      </c>
      <c r="D73" s="238" t="s">
        <v>103</v>
      </c>
      <c r="E73" s="123"/>
      <c r="F73" s="120">
        <v>22.77</v>
      </c>
      <c r="G73" s="205">
        <v>12.587992777981652</v>
      </c>
      <c r="H73" s="123"/>
      <c r="I73" s="120"/>
      <c r="J73" s="205">
        <v>0</v>
      </c>
      <c r="K73" s="207">
        <f t="shared" si="23"/>
        <v>0</v>
      </c>
      <c r="L73" s="205">
        <f t="shared" si="24"/>
        <v>22.77</v>
      </c>
      <c r="M73" s="205">
        <f t="shared" si="19"/>
        <v>0</v>
      </c>
      <c r="N73" s="207">
        <f t="shared" si="20"/>
        <v>0</v>
      </c>
      <c r="O73" s="207">
        <f t="shared" si="21"/>
        <v>10</v>
      </c>
      <c r="P73" s="205">
        <f t="shared" si="22"/>
        <v>0</v>
      </c>
      <c r="Q73" s="206">
        <v>0.7</v>
      </c>
      <c r="R73" s="205">
        <f t="shared" si="25"/>
        <v>22.77</v>
      </c>
      <c r="S73" s="205">
        <f t="shared" si="27"/>
        <v>15.938999999999998</v>
      </c>
      <c r="T73" s="207">
        <f t="shared" si="26"/>
        <v>0.7</v>
      </c>
      <c r="U73" s="207">
        <v>10</v>
      </c>
      <c r="V73" s="205">
        <f t="shared" si="18"/>
        <v>7</v>
      </c>
      <c r="W73" s="123"/>
      <c r="Y73" s="207">
        <v>0.7</v>
      </c>
      <c r="Z73" s="205">
        <v>22.77</v>
      </c>
      <c r="AA73" s="205">
        <v>15.938999999999998</v>
      </c>
      <c r="AB73" s="207">
        <v>0.7</v>
      </c>
      <c r="AC73" s="207">
        <v>10</v>
      </c>
      <c r="AD73" s="205">
        <v>7</v>
      </c>
    </row>
    <row r="74" spans="1:30" s="59" customFormat="1" ht="23.1" hidden="1" customHeight="1" outlineLevel="2">
      <c r="A74" s="171">
        <v>1.2100000000000002</v>
      </c>
      <c r="B74" s="113" t="s">
        <v>1102</v>
      </c>
      <c r="C74" s="237" t="s">
        <v>1146</v>
      </c>
      <c r="D74" s="238" t="s">
        <v>103</v>
      </c>
      <c r="E74" s="123"/>
      <c r="F74" s="120">
        <v>18.2</v>
      </c>
      <c r="G74" s="205">
        <v>25303.595479133946</v>
      </c>
      <c r="H74" s="123"/>
      <c r="I74" s="120"/>
      <c r="J74" s="205">
        <v>0</v>
      </c>
      <c r="K74" s="207">
        <f t="shared" si="23"/>
        <v>0</v>
      </c>
      <c r="L74" s="205">
        <f t="shared" si="24"/>
        <v>18.2</v>
      </c>
      <c r="M74" s="205">
        <f t="shared" si="19"/>
        <v>0</v>
      </c>
      <c r="N74" s="207">
        <f t="shared" si="20"/>
        <v>0</v>
      </c>
      <c r="O74" s="207">
        <f t="shared" si="21"/>
        <v>10</v>
      </c>
      <c r="P74" s="205">
        <f t="shared" si="22"/>
        <v>0</v>
      </c>
      <c r="Q74" s="206">
        <v>1760.96</v>
      </c>
      <c r="R74" s="205">
        <f t="shared" si="25"/>
        <v>18.2</v>
      </c>
      <c r="S74" s="205">
        <f t="shared" si="27"/>
        <v>32049.471999999998</v>
      </c>
      <c r="T74" s="240">
        <f t="shared" si="26"/>
        <v>1760.96</v>
      </c>
      <c r="U74" s="207">
        <v>10</v>
      </c>
      <c r="V74" s="205">
        <f t="shared" si="18"/>
        <v>17609.599999999999</v>
      </c>
      <c r="W74" s="123"/>
      <c r="Y74" s="207">
        <v>1760.96</v>
      </c>
      <c r="Z74" s="205">
        <v>18.2</v>
      </c>
      <c r="AA74" s="205">
        <v>32049.471999999998</v>
      </c>
      <c r="AB74" s="207">
        <v>1760.96</v>
      </c>
      <c r="AC74" s="207">
        <v>10</v>
      </c>
      <c r="AD74" s="205">
        <v>17609.599999999999</v>
      </c>
    </row>
    <row r="75" spans="1:30" s="59" customFormat="1" ht="23.1" hidden="1" customHeight="1" outlineLevel="2">
      <c r="A75" s="239">
        <v>1.2200000000000002</v>
      </c>
      <c r="B75" s="113" t="s">
        <v>1102</v>
      </c>
      <c r="C75" s="237" t="s">
        <v>1147</v>
      </c>
      <c r="D75" s="238" t="s">
        <v>103</v>
      </c>
      <c r="E75" s="123"/>
      <c r="F75" s="120">
        <v>20.71</v>
      </c>
      <c r="G75" s="205">
        <v>86740.68714393246</v>
      </c>
      <c r="H75" s="123"/>
      <c r="I75" s="120"/>
      <c r="J75" s="205">
        <v>0</v>
      </c>
      <c r="K75" s="207">
        <f t="shared" si="23"/>
        <v>0</v>
      </c>
      <c r="L75" s="205">
        <f t="shared" si="24"/>
        <v>20.71</v>
      </c>
      <c r="M75" s="205">
        <f t="shared" si="19"/>
        <v>0</v>
      </c>
      <c r="N75" s="207">
        <f t="shared" si="20"/>
        <v>0</v>
      </c>
      <c r="O75" s="207">
        <f t="shared" si="21"/>
        <v>10</v>
      </c>
      <c r="P75" s="205">
        <f t="shared" si="22"/>
        <v>0</v>
      </c>
      <c r="Q75" s="206">
        <v>4917.6099999999997</v>
      </c>
      <c r="R75" s="205">
        <f t="shared" si="25"/>
        <v>20.71</v>
      </c>
      <c r="S75" s="205">
        <f t="shared" si="27"/>
        <v>101843.7031</v>
      </c>
      <c r="T75" s="240">
        <f t="shared" si="26"/>
        <v>4917.6099999999997</v>
      </c>
      <c r="U75" s="207">
        <v>10</v>
      </c>
      <c r="V75" s="205">
        <f t="shared" si="18"/>
        <v>49176.1</v>
      </c>
      <c r="W75" s="123"/>
      <c r="Y75" s="207">
        <v>4917.6099999999997</v>
      </c>
      <c r="Z75" s="205">
        <v>20.71</v>
      </c>
      <c r="AA75" s="205">
        <v>101843.7031</v>
      </c>
      <c r="AB75" s="207">
        <v>4917.6099999999997</v>
      </c>
      <c r="AC75" s="207">
        <v>10</v>
      </c>
      <c r="AD75" s="205">
        <v>49176.1</v>
      </c>
    </row>
    <row r="76" spans="1:30" s="60" customFormat="1" ht="23.1" hidden="1" customHeight="1" outlineLevel="1" collapsed="1">
      <c r="A76" s="233">
        <v>2</v>
      </c>
      <c r="B76" s="234" t="s">
        <v>1107</v>
      </c>
      <c r="C76" s="235"/>
      <c r="D76" s="236"/>
      <c r="E76" s="137"/>
      <c r="F76" s="119"/>
      <c r="G76" s="222">
        <f>SUM(G77:G84)</f>
        <v>276847.07006318093</v>
      </c>
      <c r="H76" s="137"/>
      <c r="I76" s="119"/>
      <c r="J76" s="222">
        <f>SUM(J77:J84)</f>
        <v>274221.43310000002</v>
      </c>
      <c r="K76" s="229"/>
      <c r="L76" s="222"/>
      <c r="M76" s="222">
        <f>SUM(M77:M84)</f>
        <v>208812.68349999998</v>
      </c>
      <c r="N76" s="229">
        <f t="shared" si="20"/>
        <v>0</v>
      </c>
      <c r="O76" s="229">
        <f t="shared" si="21"/>
        <v>0</v>
      </c>
      <c r="P76" s="222">
        <f>SUM(P77:P84)</f>
        <v>115347.38</v>
      </c>
      <c r="Q76" s="229"/>
      <c r="R76" s="222"/>
      <c r="S76" s="222">
        <f>SUM(S77:S84)</f>
        <v>208812.68349999998</v>
      </c>
      <c r="T76" s="229"/>
      <c r="U76" s="229"/>
      <c r="V76" s="222">
        <f>SUM(V77:V84)</f>
        <v>115347.38</v>
      </c>
      <c r="W76" s="137"/>
      <c r="Y76" s="229"/>
      <c r="Z76" s="222"/>
      <c r="AA76" s="222">
        <v>0</v>
      </c>
      <c r="AB76" s="229"/>
      <c r="AC76" s="229"/>
      <c r="AD76" s="222">
        <v>0</v>
      </c>
    </row>
    <row r="77" spans="1:30" s="59" customFormat="1" ht="23.1" hidden="1" customHeight="1" outlineLevel="2">
      <c r="A77" s="171">
        <v>2.1</v>
      </c>
      <c r="B77" s="113" t="s">
        <v>1108</v>
      </c>
      <c r="C77" s="237"/>
      <c r="D77" s="238" t="s">
        <v>247</v>
      </c>
      <c r="E77" s="123">
        <v>3392.57</v>
      </c>
      <c r="F77" s="120">
        <v>51.86</v>
      </c>
      <c r="G77" s="205">
        <v>140904.17926376808</v>
      </c>
      <c r="H77" s="123"/>
      <c r="I77" s="120"/>
      <c r="J77" s="205">
        <v>254442.75</v>
      </c>
      <c r="K77" s="207">
        <f t="shared" ref="K77:K84" si="28">+Q77-Y77</f>
        <v>3392.57</v>
      </c>
      <c r="L77" s="205">
        <f t="shared" ref="L77:L84" si="29">+R77</f>
        <v>51.86</v>
      </c>
      <c r="M77" s="205">
        <f t="shared" ref="M77:M84" si="30">+L77*K77</f>
        <v>175938.6802</v>
      </c>
      <c r="N77" s="207">
        <f t="shared" si="20"/>
        <v>3392.57</v>
      </c>
      <c r="O77" s="207">
        <f t="shared" si="21"/>
        <v>34</v>
      </c>
      <c r="P77" s="205">
        <f t="shared" si="22"/>
        <v>115347.38</v>
      </c>
      <c r="Q77" s="207">
        <f>+E77</f>
        <v>3392.57</v>
      </c>
      <c r="R77" s="205">
        <f>+F77</f>
        <v>51.86</v>
      </c>
      <c r="S77" s="205">
        <f t="shared" si="27"/>
        <v>175938.6802</v>
      </c>
      <c r="T77" s="207">
        <f>+E77</f>
        <v>3392.57</v>
      </c>
      <c r="U77" s="207">
        <v>34</v>
      </c>
      <c r="V77" s="205">
        <f t="shared" si="18"/>
        <v>115347.38</v>
      </c>
      <c r="W77" s="123"/>
      <c r="Y77" s="207"/>
      <c r="Z77" s="205">
        <v>51.86</v>
      </c>
      <c r="AA77" s="205">
        <v>0</v>
      </c>
      <c r="AB77" s="207"/>
      <c r="AC77" s="207"/>
      <c r="AD77" s="205">
        <v>0</v>
      </c>
    </row>
    <row r="78" spans="1:30" s="59" customFormat="1" ht="23.1" hidden="1" customHeight="1" outlineLevel="2">
      <c r="A78" s="171">
        <v>2.2000000000000002</v>
      </c>
      <c r="B78" s="113" t="s">
        <v>1148</v>
      </c>
      <c r="C78" s="237"/>
      <c r="D78" s="238" t="s">
        <v>247</v>
      </c>
      <c r="E78" s="123">
        <v>3392.57</v>
      </c>
      <c r="F78" s="120">
        <v>9.69</v>
      </c>
      <c r="G78" s="205">
        <v>28251.625803514133</v>
      </c>
      <c r="H78" s="123"/>
      <c r="I78" s="120"/>
      <c r="J78" s="205">
        <v>19778.683100000002</v>
      </c>
      <c r="K78" s="207">
        <f t="shared" si="28"/>
        <v>3392.57</v>
      </c>
      <c r="L78" s="205">
        <f t="shared" si="29"/>
        <v>9.69</v>
      </c>
      <c r="M78" s="205">
        <f t="shared" si="30"/>
        <v>32874.003299999997</v>
      </c>
      <c r="N78" s="207">
        <f t="shared" si="20"/>
        <v>3392.57</v>
      </c>
      <c r="O78" s="207">
        <f t="shared" si="21"/>
        <v>0</v>
      </c>
      <c r="P78" s="205">
        <f t="shared" si="22"/>
        <v>0</v>
      </c>
      <c r="Q78" s="207">
        <f>+E78</f>
        <v>3392.57</v>
      </c>
      <c r="R78" s="205">
        <f t="shared" ref="R78:R84" si="31">+F78</f>
        <v>9.69</v>
      </c>
      <c r="S78" s="205">
        <f t="shared" si="27"/>
        <v>32874.003299999997</v>
      </c>
      <c r="T78" s="207"/>
      <c r="U78" s="207"/>
      <c r="V78" s="205">
        <f t="shared" si="18"/>
        <v>0</v>
      </c>
      <c r="W78" s="123"/>
      <c r="Y78" s="207"/>
      <c r="Z78" s="205">
        <v>9.69</v>
      </c>
      <c r="AA78" s="205">
        <v>0</v>
      </c>
      <c r="AB78" s="207"/>
      <c r="AC78" s="207"/>
      <c r="AD78" s="205">
        <v>0</v>
      </c>
    </row>
    <row r="79" spans="1:30" s="59" customFormat="1" ht="23.1" hidden="1" customHeight="1" outlineLevel="2">
      <c r="A79" s="171">
        <v>2.3000000000000003</v>
      </c>
      <c r="B79" s="113" t="s">
        <v>1110</v>
      </c>
      <c r="C79" s="237"/>
      <c r="D79" s="238" t="s">
        <v>247</v>
      </c>
      <c r="E79" s="123">
        <v>2198.64</v>
      </c>
      <c r="F79" s="120">
        <v>14.05</v>
      </c>
      <c r="G79" s="205">
        <v>24335.770044524037</v>
      </c>
      <c r="H79" s="123"/>
      <c r="I79" s="120"/>
      <c r="J79" s="205">
        <v>0</v>
      </c>
      <c r="K79" s="207">
        <f t="shared" si="28"/>
        <v>0</v>
      </c>
      <c r="L79" s="205">
        <f t="shared" si="29"/>
        <v>14.05</v>
      </c>
      <c r="M79" s="205">
        <f t="shared" si="30"/>
        <v>0</v>
      </c>
      <c r="N79" s="207">
        <f t="shared" si="20"/>
        <v>0</v>
      </c>
      <c r="O79" s="207">
        <f t="shared" si="21"/>
        <v>0</v>
      </c>
      <c r="P79" s="205">
        <f t="shared" si="22"/>
        <v>0</v>
      </c>
      <c r="Q79" s="207"/>
      <c r="R79" s="205">
        <f t="shared" si="31"/>
        <v>14.05</v>
      </c>
      <c r="S79" s="205">
        <f t="shared" si="27"/>
        <v>0</v>
      </c>
      <c r="T79" s="207"/>
      <c r="U79" s="207"/>
      <c r="V79" s="205">
        <f t="shared" si="18"/>
        <v>0</v>
      </c>
      <c r="W79" s="123"/>
      <c r="Y79" s="207"/>
      <c r="Z79" s="205">
        <v>14.05</v>
      </c>
      <c r="AA79" s="205">
        <v>0</v>
      </c>
      <c r="AB79" s="207"/>
      <c r="AC79" s="207"/>
      <c r="AD79" s="205">
        <v>0</v>
      </c>
    </row>
    <row r="80" spans="1:30" s="59" customFormat="1" ht="23.1" hidden="1" customHeight="1" outlineLevel="2">
      <c r="A80" s="171">
        <v>2.4000000000000004</v>
      </c>
      <c r="B80" s="113" t="s">
        <v>1110</v>
      </c>
      <c r="C80" s="237"/>
      <c r="D80" s="238" t="s">
        <v>247</v>
      </c>
      <c r="E80" s="123">
        <v>100.1</v>
      </c>
      <c r="F80" s="120">
        <v>17.309999999999999</v>
      </c>
      <c r="G80" s="205">
        <v>1362.4045664587154</v>
      </c>
      <c r="H80" s="123"/>
      <c r="I80" s="120"/>
      <c r="J80" s="205">
        <v>0</v>
      </c>
      <c r="K80" s="207">
        <f t="shared" si="28"/>
        <v>0</v>
      </c>
      <c r="L80" s="205">
        <f t="shared" si="29"/>
        <v>17.309999999999999</v>
      </c>
      <c r="M80" s="205">
        <f t="shared" si="30"/>
        <v>0</v>
      </c>
      <c r="N80" s="207">
        <f t="shared" si="20"/>
        <v>0</v>
      </c>
      <c r="O80" s="207">
        <f t="shared" si="21"/>
        <v>0</v>
      </c>
      <c r="P80" s="205">
        <f t="shared" si="22"/>
        <v>0</v>
      </c>
      <c r="Q80" s="207"/>
      <c r="R80" s="205">
        <f t="shared" si="31"/>
        <v>17.309999999999999</v>
      </c>
      <c r="S80" s="205">
        <f t="shared" si="27"/>
        <v>0</v>
      </c>
      <c r="T80" s="207"/>
      <c r="U80" s="207"/>
      <c r="V80" s="205">
        <f t="shared" si="18"/>
        <v>0</v>
      </c>
      <c r="W80" s="123"/>
      <c r="Y80" s="207"/>
      <c r="Z80" s="205">
        <v>17.309999999999999</v>
      </c>
      <c r="AA80" s="205">
        <v>0</v>
      </c>
      <c r="AB80" s="207"/>
      <c r="AC80" s="207"/>
      <c r="AD80" s="205">
        <v>0</v>
      </c>
    </row>
    <row r="81" spans="1:30" s="59" customFormat="1" ht="23.1" hidden="1" customHeight="1" outlineLevel="2">
      <c r="A81" s="171">
        <v>2.5000000000000004</v>
      </c>
      <c r="B81" s="113" t="s">
        <v>1110</v>
      </c>
      <c r="C81" s="237"/>
      <c r="D81" s="238" t="s">
        <v>247</v>
      </c>
      <c r="E81" s="123">
        <v>3126.92</v>
      </c>
      <c r="F81" s="120">
        <v>10.82</v>
      </c>
      <c r="G81" s="205">
        <v>26662.236357155227</v>
      </c>
      <c r="H81" s="123"/>
      <c r="I81" s="120"/>
      <c r="J81" s="205">
        <v>0</v>
      </c>
      <c r="K81" s="207">
        <f t="shared" si="28"/>
        <v>0</v>
      </c>
      <c r="L81" s="205">
        <f t="shared" si="29"/>
        <v>10.82</v>
      </c>
      <c r="M81" s="205">
        <f t="shared" si="30"/>
        <v>0</v>
      </c>
      <c r="N81" s="207">
        <f t="shared" si="20"/>
        <v>0</v>
      </c>
      <c r="O81" s="207">
        <f t="shared" si="21"/>
        <v>0</v>
      </c>
      <c r="P81" s="205">
        <f t="shared" si="22"/>
        <v>0</v>
      </c>
      <c r="Q81" s="207"/>
      <c r="R81" s="205">
        <f t="shared" si="31"/>
        <v>10.82</v>
      </c>
      <c r="S81" s="205">
        <f t="shared" si="27"/>
        <v>0</v>
      </c>
      <c r="T81" s="207"/>
      <c r="U81" s="207"/>
      <c r="V81" s="205">
        <f t="shared" si="18"/>
        <v>0</v>
      </c>
      <c r="W81" s="123"/>
      <c r="Y81" s="207"/>
      <c r="Z81" s="205">
        <v>10.82</v>
      </c>
      <c r="AA81" s="205">
        <v>0</v>
      </c>
      <c r="AB81" s="207"/>
      <c r="AC81" s="207"/>
      <c r="AD81" s="205">
        <v>0</v>
      </c>
    </row>
    <row r="82" spans="1:30" s="59" customFormat="1" ht="23.1" hidden="1" customHeight="1" outlineLevel="2">
      <c r="A82" s="171">
        <v>2.6000000000000005</v>
      </c>
      <c r="B82" s="113" t="s">
        <v>1110</v>
      </c>
      <c r="C82" s="237"/>
      <c r="D82" s="238" t="s">
        <v>247</v>
      </c>
      <c r="E82" s="123">
        <v>310.39999999999998</v>
      </c>
      <c r="F82" s="120">
        <v>26.63</v>
      </c>
      <c r="G82" s="205">
        <v>6500.4121548330259</v>
      </c>
      <c r="H82" s="123"/>
      <c r="I82" s="120"/>
      <c r="J82" s="205">
        <v>0</v>
      </c>
      <c r="K82" s="207">
        <f t="shared" si="28"/>
        <v>0</v>
      </c>
      <c r="L82" s="205">
        <f t="shared" si="29"/>
        <v>26.63</v>
      </c>
      <c r="M82" s="205">
        <f t="shared" si="30"/>
        <v>0</v>
      </c>
      <c r="N82" s="207">
        <f t="shared" si="20"/>
        <v>0</v>
      </c>
      <c r="O82" s="207">
        <f t="shared" si="21"/>
        <v>0</v>
      </c>
      <c r="P82" s="205">
        <f t="shared" si="22"/>
        <v>0</v>
      </c>
      <c r="Q82" s="207"/>
      <c r="R82" s="205">
        <f t="shared" si="31"/>
        <v>26.63</v>
      </c>
      <c r="S82" s="205">
        <f t="shared" si="27"/>
        <v>0</v>
      </c>
      <c r="T82" s="207"/>
      <c r="U82" s="207"/>
      <c r="V82" s="205">
        <f t="shared" si="18"/>
        <v>0</v>
      </c>
      <c r="W82" s="123"/>
      <c r="Y82" s="207"/>
      <c r="Z82" s="205">
        <v>26.63</v>
      </c>
      <c r="AA82" s="205">
        <v>0</v>
      </c>
      <c r="AB82" s="207"/>
      <c r="AC82" s="207"/>
      <c r="AD82" s="205">
        <v>0</v>
      </c>
    </row>
    <row r="83" spans="1:30" s="59" customFormat="1" ht="23.1" hidden="1" customHeight="1" outlineLevel="2">
      <c r="A83" s="171">
        <v>2.7000000000000006</v>
      </c>
      <c r="B83" s="113" t="s">
        <v>1116</v>
      </c>
      <c r="C83" s="237"/>
      <c r="D83" s="238" t="s">
        <v>247</v>
      </c>
      <c r="E83" s="123">
        <v>1655.47</v>
      </c>
      <c r="F83" s="120">
        <v>35.29</v>
      </c>
      <c r="G83" s="205">
        <v>46382.261279313025</v>
      </c>
      <c r="H83" s="123"/>
      <c r="I83" s="120"/>
      <c r="J83" s="205">
        <v>0</v>
      </c>
      <c r="K83" s="207">
        <f t="shared" si="28"/>
        <v>0</v>
      </c>
      <c r="L83" s="205">
        <f t="shared" si="29"/>
        <v>35.29</v>
      </c>
      <c r="M83" s="205">
        <f t="shared" si="30"/>
        <v>0</v>
      </c>
      <c r="N83" s="207">
        <f t="shared" si="20"/>
        <v>0</v>
      </c>
      <c r="O83" s="207">
        <f t="shared" si="21"/>
        <v>0</v>
      </c>
      <c r="P83" s="205">
        <f t="shared" si="22"/>
        <v>0</v>
      </c>
      <c r="Q83" s="207"/>
      <c r="R83" s="205">
        <f t="shared" si="31"/>
        <v>35.29</v>
      </c>
      <c r="S83" s="205">
        <f t="shared" si="27"/>
        <v>0</v>
      </c>
      <c r="T83" s="207"/>
      <c r="U83" s="207"/>
      <c r="V83" s="205">
        <f t="shared" si="18"/>
        <v>0</v>
      </c>
      <c r="W83" s="123"/>
      <c r="Y83" s="207"/>
      <c r="Z83" s="205">
        <v>35.29</v>
      </c>
      <c r="AA83" s="205">
        <v>0</v>
      </c>
      <c r="AB83" s="207"/>
      <c r="AC83" s="207"/>
      <c r="AD83" s="205">
        <v>0</v>
      </c>
    </row>
    <row r="84" spans="1:30" s="59" customFormat="1" ht="23.1" hidden="1" customHeight="1" outlineLevel="2">
      <c r="A84" s="171">
        <v>2.8000000000000007</v>
      </c>
      <c r="B84" s="113" t="s">
        <v>1116</v>
      </c>
      <c r="C84" s="237"/>
      <c r="D84" s="238" t="s">
        <v>247</v>
      </c>
      <c r="E84" s="123">
        <v>71.900000000000006</v>
      </c>
      <c r="F84" s="120">
        <v>42.88</v>
      </c>
      <c r="G84" s="205">
        <v>2448.1805936146793</v>
      </c>
      <c r="H84" s="123"/>
      <c r="I84" s="120"/>
      <c r="J84" s="205">
        <v>0</v>
      </c>
      <c r="K84" s="207">
        <f t="shared" si="28"/>
        <v>0</v>
      </c>
      <c r="L84" s="205">
        <f t="shared" si="29"/>
        <v>42.88</v>
      </c>
      <c r="M84" s="205">
        <f t="shared" si="30"/>
        <v>0</v>
      </c>
      <c r="N84" s="207">
        <f t="shared" si="20"/>
        <v>0</v>
      </c>
      <c r="O84" s="207">
        <f t="shared" si="21"/>
        <v>0</v>
      </c>
      <c r="P84" s="205">
        <f t="shared" si="22"/>
        <v>0</v>
      </c>
      <c r="Q84" s="207"/>
      <c r="R84" s="205">
        <f t="shared" si="31"/>
        <v>42.88</v>
      </c>
      <c r="S84" s="205">
        <f t="shared" si="27"/>
        <v>0</v>
      </c>
      <c r="T84" s="207"/>
      <c r="U84" s="207"/>
      <c r="V84" s="205">
        <f t="shared" si="18"/>
        <v>0</v>
      </c>
      <c r="W84" s="123"/>
      <c r="Y84" s="207"/>
      <c r="Z84" s="205">
        <v>42.88</v>
      </c>
      <c r="AA84" s="205">
        <v>0</v>
      </c>
      <c r="AB84" s="207"/>
      <c r="AC84" s="207"/>
      <c r="AD84" s="205">
        <v>0</v>
      </c>
    </row>
    <row r="85" spans="1:30" s="60" customFormat="1" ht="23.1" customHeight="1" collapsed="1">
      <c r="A85" s="233" t="s">
        <v>204</v>
      </c>
      <c r="B85" s="234" t="s">
        <v>515</v>
      </c>
      <c r="C85" s="235"/>
      <c r="D85" s="236"/>
      <c r="E85" s="137"/>
      <c r="F85" s="119"/>
      <c r="G85" s="222">
        <v>5079423.4274610598</v>
      </c>
      <c r="H85" s="137"/>
      <c r="I85" s="119"/>
      <c r="J85" s="222">
        <v>4362951.8435999993</v>
      </c>
      <c r="K85" s="229"/>
      <c r="L85" s="222"/>
      <c r="M85" s="222">
        <f>+M86+M112</f>
        <v>1045537.0444334862</v>
      </c>
      <c r="N85" s="229"/>
      <c r="O85" s="229"/>
      <c r="P85" s="222">
        <f>+P86+P112</f>
        <v>261045.1728</v>
      </c>
      <c r="Q85" s="229"/>
      <c r="R85" s="222"/>
      <c r="S85" s="222">
        <f>+S86+S112</f>
        <v>2124737.903772959</v>
      </c>
      <c r="T85" s="229"/>
      <c r="U85" s="229"/>
      <c r="V85" s="222">
        <f>+V86+V112</f>
        <v>389815.3401657049</v>
      </c>
      <c r="W85" s="137"/>
      <c r="Y85" s="229"/>
      <c r="Z85" s="222"/>
      <c r="AA85" s="222">
        <v>1079200.8593394731</v>
      </c>
      <c r="AB85" s="229"/>
      <c r="AC85" s="229"/>
      <c r="AD85" s="222">
        <v>432944.75085617567</v>
      </c>
    </row>
    <row r="86" spans="1:30" s="60" customFormat="1" ht="23.1" hidden="1" customHeight="1" outlineLevel="1" collapsed="1">
      <c r="A86" s="233">
        <v>1</v>
      </c>
      <c r="B86" s="234" t="s">
        <v>1054</v>
      </c>
      <c r="C86" s="235"/>
      <c r="D86" s="236"/>
      <c r="E86" s="137"/>
      <c r="F86" s="119"/>
      <c r="G86" s="222">
        <v>2761149.5214712871</v>
      </c>
      <c r="H86" s="137"/>
      <c r="I86" s="119"/>
      <c r="J86" s="222">
        <v>3354456.36</v>
      </c>
      <c r="K86" s="229"/>
      <c r="L86" s="222"/>
      <c r="M86" s="222">
        <f>SUM(M87:M111)</f>
        <v>402948.759785</v>
      </c>
      <c r="N86" s="229"/>
      <c r="O86" s="229"/>
      <c r="P86" s="222">
        <f>SUM(P87:P111)</f>
        <v>261045.1728</v>
      </c>
      <c r="Q86" s="229"/>
      <c r="R86" s="222"/>
      <c r="S86" s="222">
        <f>SUM(S87:S111)</f>
        <v>1466946.104361</v>
      </c>
      <c r="T86" s="229"/>
      <c r="U86" s="229"/>
      <c r="V86" s="222">
        <f>SUM(V87:V111)</f>
        <v>228956.52779999998</v>
      </c>
      <c r="W86" s="137"/>
      <c r="Y86" s="229"/>
      <c r="Z86" s="222"/>
      <c r="AA86" s="222">
        <v>1063997.344576</v>
      </c>
      <c r="AB86" s="229"/>
      <c r="AC86" s="229"/>
      <c r="AD86" s="222">
        <v>228956.52779999998</v>
      </c>
    </row>
    <row r="87" spans="1:30" s="59" customFormat="1" ht="23.1" hidden="1" customHeight="1" outlineLevel="2">
      <c r="A87" s="171">
        <v>1.1000000000000001</v>
      </c>
      <c r="B87" s="113" t="s">
        <v>1063</v>
      </c>
      <c r="C87" s="237"/>
      <c r="D87" s="238" t="s">
        <v>247</v>
      </c>
      <c r="E87" s="123"/>
      <c r="F87" s="120">
        <v>84.07</v>
      </c>
      <c r="G87" s="205">
        <v>104879.88002675668</v>
      </c>
      <c r="H87" s="123"/>
      <c r="I87" s="120"/>
      <c r="J87" s="205">
        <v>183727.18</v>
      </c>
      <c r="K87" s="207">
        <f>+Q87-Y87</f>
        <v>0</v>
      </c>
      <c r="L87" s="205">
        <f>+R87</f>
        <v>84.07</v>
      </c>
      <c r="M87" s="205">
        <f t="shared" ref="M87:M111" si="32">+L87*K87</f>
        <v>0</v>
      </c>
      <c r="N87" s="207">
        <f t="shared" ref="N87:N111" si="33">+K87</f>
        <v>0</v>
      </c>
      <c r="O87" s="207">
        <f t="shared" ref="O87:O111" si="34">+U87</f>
        <v>78</v>
      </c>
      <c r="P87" s="205">
        <f t="shared" ref="P87:P116" si="35">+O87*N87</f>
        <v>0</v>
      </c>
      <c r="Q87" s="206">
        <v>1145.9967999999999</v>
      </c>
      <c r="R87" s="205">
        <f t="shared" ref="R87:R111" si="36">+F87</f>
        <v>84.07</v>
      </c>
      <c r="S87" s="205">
        <f t="shared" si="27"/>
        <v>96343.950975999978</v>
      </c>
      <c r="T87" s="207">
        <f>+Q87</f>
        <v>1145.9967999999999</v>
      </c>
      <c r="U87" s="207">
        <v>78</v>
      </c>
      <c r="V87" s="205">
        <f t="shared" si="18"/>
        <v>89387.75039999999</v>
      </c>
      <c r="W87" s="123"/>
      <c r="Y87" s="207">
        <v>1145.9967999999999</v>
      </c>
      <c r="Z87" s="205">
        <v>84.07</v>
      </c>
      <c r="AA87" s="205">
        <v>96343.950975999978</v>
      </c>
      <c r="AB87" s="207">
        <v>1145.9967999999999</v>
      </c>
      <c r="AC87" s="207">
        <v>78</v>
      </c>
      <c r="AD87" s="205">
        <v>89387.75039999999</v>
      </c>
    </row>
    <row r="88" spans="1:30" s="59" customFormat="1" ht="23.1" hidden="1" customHeight="1" outlineLevel="2">
      <c r="A88" s="171">
        <v>1.2</v>
      </c>
      <c r="B88" s="113" t="s">
        <v>1125</v>
      </c>
      <c r="C88" s="237"/>
      <c r="D88" s="238" t="s">
        <v>247</v>
      </c>
      <c r="E88" s="123"/>
      <c r="F88" s="120">
        <v>74.41</v>
      </c>
      <c r="G88" s="205">
        <v>61420.041156497602</v>
      </c>
      <c r="H88" s="123"/>
      <c r="I88" s="120"/>
      <c r="J88" s="205">
        <v>120204.24</v>
      </c>
      <c r="K88" s="207">
        <f t="shared" ref="K88:K111" si="37">+Q88-Y88</f>
        <v>0</v>
      </c>
      <c r="L88" s="205">
        <f t="shared" ref="L88:L111" si="38">+R88</f>
        <v>74.41</v>
      </c>
      <c r="M88" s="205">
        <f t="shared" si="32"/>
        <v>0</v>
      </c>
      <c r="N88" s="207">
        <f t="shared" si="33"/>
        <v>0</v>
      </c>
      <c r="O88" s="207">
        <f t="shared" si="34"/>
        <v>78</v>
      </c>
      <c r="P88" s="205">
        <f t="shared" si="35"/>
        <v>0</v>
      </c>
      <c r="Q88" s="206">
        <v>769.44309999999996</v>
      </c>
      <c r="R88" s="205">
        <f t="shared" si="36"/>
        <v>74.41</v>
      </c>
      <c r="S88" s="205">
        <f t="shared" si="27"/>
        <v>57254.261070999994</v>
      </c>
      <c r="T88" s="207">
        <f t="shared" ref="T88:T105" si="39">+Q88</f>
        <v>769.44309999999996</v>
      </c>
      <c r="U88" s="207">
        <v>78</v>
      </c>
      <c r="V88" s="205">
        <f t="shared" si="18"/>
        <v>60016.561799999996</v>
      </c>
      <c r="W88" s="123"/>
      <c r="Y88" s="207">
        <v>769.44309999999996</v>
      </c>
      <c r="Z88" s="205">
        <v>74.41</v>
      </c>
      <c r="AA88" s="205">
        <v>57254.261070999994</v>
      </c>
      <c r="AB88" s="207">
        <v>769.44309999999996</v>
      </c>
      <c r="AC88" s="207">
        <v>78</v>
      </c>
      <c r="AD88" s="205">
        <v>60016.561799999996</v>
      </c>
    </row>
    <row r="89" spans="1:30" s="59" customFormat="1" ht="23.1" hidden="1" customHeight="1" outlineLevel="2">
      <c r="A89" s="171">
        <v>1.2999999999999998</v>
      </c>
      <c r="B89" s="113" t="s">
        <v>1070</v>
      </c>
      <c r="C89" s="237"/>
      <c r="D89" s="238" t="s">
        <v>247</v>
      </c>
      <c r="E89" s="123"/>
      <c r="F89" s="120">
        <v>88.66</v>
      </c>
      <c r="G89" s="205">
        <v>121834.05471042935</v>
      </c>
      <c r="H89" s="123"/>
      <c r="I89" s="120"/>
      <c r="J89" s="205">
        <v>203266.8</v>
      </c>
      <c r="K89" s="207">
        <f t="shared" si="37"/>
        <v>0</v>
      </c>
      <c r="L89" s="205">
        <f t="shared" si="38"/>
        <v>88.66</v>
      </c>
      <c r="M89" s="205">
        <f t="shared" si="32"/>
        <v>0</v>
      </c>
      <c r="N89" s="207">
        <f t="shared" si="33"/>
        <v>0</v>
      </c>
      <c r="O89" s="207">
        <f t="shared" si="34"/>
        <v>78</v>
      </c>
      <c r="P89" s="205">
        <f t="shared" si="35"/>
        <v>0</v>
      </c>
      <c r="Q89" s="206"/>
      <c r="R89" s="205">
        <f t="shared" si="36"/>
        <v>88.66</v>
      </c>
      <c r="S89" s="205">
        <f t="shared" si="27"/>
        <v>0</v>
      </c>
      <c r="T89" s="207">
        <f t="shared" si="39"/>
        <v>0</v>
      </c>
      <c r="U89" s="207">
        <v>78</v>
      </c>
      <c r="V89" s="205">
        <f t="shared" si="18"/>
        <v>0</v>
      </c>
      <c r="W89" s="123"/>
      <c r="Y89" s="207"/>
      <c r="Z89" s="205">
        <v>88.66</v>
      </c>
      <c r="AA89" s="205">
        <v>0</v>
      </c>
      <c r="AB89" s="207">
        <v>0</v>
      </c>
      <c r="AC89" s="207">
        <v>78</v>
      </c>
      <c r="AD89" s="205">
        <v>0</v>
      </c>
    </row>
    <row r="90" spans="1:30" s="59" customFormat="1" ht="23.1" hidden="1" customHeight="1" outlineLevel="2">
      <c r="A90" s="171">
        <v>1.3999999999999997</v>
      </c>
      <c r="B90" s="113" t="s">
        <v>1070</v>
      </c>
      <c r="C90" s="237"/>
      <c r="D90" s="238" t="s">
        <v>247</v>
      </c>
      <c r="E90" s="123"/>
      <c r="F90" s="120">
        <v>103.37</v>
      </c>
      <c r="G90" s="205">
        <v>6137.0391426935785</v>
      </c>
      <c r="H90" s="123"/>
      <c r="I90" s="120"/>
      <c r="J90" s="205">
        <v>8814.6</v>
      </c>
      <c r="K90" s="207">
        <f t="shared" si="37"/>
        <v>0</v>
      </c>
      <c r="L90" s="205">
        <f t="shared" si="38"/>
        <v>103.37</v>
      </c>
      <c r="M90" s="205">
        <f t="shared" si="32"/>
        <v>0</v>
      </c>
      <c r="N90" s="207">
        <f t="shared" si="33"/>
        <v>0</v>
      </c>
      <c r="O90" s="207">
        <f t="shared" si="34"/>
        <v>78</v>
      </c>
      <c r="P90" s="205">
        <f t="shared" si="35"/>
        <v>0</v>
      </c>
      <c r="Q90" s="206"/>
      <c r="R90" s="205">
        <f t="shared" si="36"/>
        <v>103.37</v>
      </c>
      <c r="S90" s="205">
        <f t="shared" si="27"/>
        <v>0</v>
      </c>
      <c r="T90" s="207">
        <f t="shared" si="39"/>
        <v>0</v>
      </c>
      <c r="U90" s="207">
        <v>78</v>
      </c>
      <c r="V90" s="205">
        <f t="shared" si="18"/>
        <v>0</v>
      </c>
      <c r="W90" s="123"/>
      <c r="Y90" s="207"/>
      <c r="Z90" s="205">
        <v>103.37</v>
      </c>
      <c r="AA90" s="205">
        <v>0</v>
      </c>
      <c r="AB90" s="207">
        <v>0</v>
      </c>
      <c r="AC90" s="207">
        <v>78</v>
      </c>
      <c r="AD90" s="205">
        <v>0</v>
      </c>
    </row>
    <row r="91" spans="1:30" s="59" customFormat="1" ht="23.1" hidden="1" customHeight="1" outlineLevel="2">
      <c r="A91" s="171">
        <v>1.4999999999999996</v>
      </c>
      <c r="B91" s="113" t="s">
        <v>1073</v>
      </c>
      <c r="C91" s="237"/>
      <c r="D91" s="238" t="s">
        <v>247</v>
      </c>
      <c r="E91" s="123"/>
      <c r="F91" s="120">
        <v>81.2</v>
      </c>
      <c r="G91" s="205">
        <v>41203.372780667894</v>
      </c>
      <c r="H91" s="123"/>
      <c r="I91" s="120"/>
      <c r="J91" s="205">
        <v>74454.460000000006</v>
      </c>
      <c r="K91" s="207">
        <f t="shared" si="37"/>
        <v>0</v>
      </c>
      <c r="L91" s="205">
        <f t="shared" si="38"/>
        <v>81.2</v>
      </c>
      <c r="M91" s="205">
        <f t="shared" si="32"/>
        <v>0</v>
      </c>
      <c r="N91" s="207">
        <f t="shared" si="33"/>
        <v>0</v>
      </c>
      <c r="O91" s="207">
        <f t="shared" si="34"/>
        <v>78</v>
      </c>
      <c r="P91" s="205">
        <f t="shared" si="35"/>
        <v>0</v>
      </c>
      <c r="Q91" s="206">
        <f>345.4854+95.8757</f>
        <v>441.36110000000002</v>
      </c>
      <c r="R91" s="205">
        <f t="shared" si="36"/>
        <v>81.2</v>
      </c>
      <c r="S91" s="205">
        <f t="shared" si="27"/>
        <v>35838.52132</v>
      </c>
      <c r="T91" s="207">
        <f t="shared" si="39"/>
        <v>441.36110000000002</v>
      </c>
      <c r="U91" s="207">
        <v>78</v>
      </c>
      <c r="V91" s="205">
        <f t="shared" si="18"/>
        <v>34426.165800000002</v>
      </c>
      <c r="W91" s="123"/>
      <c r="Y91" s="207">
        <v>441.36110000000002</v>
      </c>
      <c r="Z91" s="205">
        <v>81.2</v>
      </c>
      <c r="AA91" s="205">
        <v>35838.52132</v>
      </c>
      <c r="AB91" s="207">
        <v>441.36110000000002</v>
      </c>
      <c r="AC91" s="207">
        <v>78</v>
      </c>
      <c r="AD91" s="205">
        <v>34426.165800000002</v>
      </c>
    </row>
    <row r="92" spans="1:30" s="59" customFormat="1" ht="23.1" hidden="1" customHeight="1" outlineLevel="2">
      <c r="A92" s="171">
        <v>1.5999999999999994</v>
      </c>
      <c r="B92" s="113" t="s">
        <v>1073</v>
      </c>
      <c r="C92" s="237"/>
      <c r="D92" s="238" t="s">
        <v>247</v>
      </c>
      <c r="E92" s="123"/>
      <c r="F92" s="120">
        <v>88.86</v>
      </c>
      <c r="G92" s="205">
        <v>1222.1745924814682</v>
      </c>
      <c r="H92" s="123"/>
      <c r="I92" s="120"/>
      <c r="J92" s="205">
        <v>2022.52</v>
      </c>
      <c r="K92" s="207">
        <f t="shared" si="37"/>
        <v>0</v>
      </c>
      <c r="L92" s="205">
        <f t="shared" si="38"/>
        <v>88.86</v>
      </c>
      <c r="M92" s="205">
        <f t="shared" si="32"/>
        <v>0</v>
      </c>
      <c r="N92" s="207">
        <f t="shared" si="33"/>
        <v>0</v>
      </c>
      <c r="O92" s="207">
        <f t="shared" si="34"/>
        <v>78</v>
      </c>
      <c r="P92" s="205">
        <f t="shared" si="35"/>
        <v>0</v>
      </c>
      <c r="Q92" s="206"/>
      <c r="R92" s="205">
        <f t="shared" si="36"/>
        <v>88.86</v>
      </c>
      <c r="S92" s="205">
        <f t="shared" si="27"/>
        <v>0</v>
      </c>
      <c r="T92" s="207">
        <f t="shared" si="39"/>
        <v>0</v>
      </c>
      <c r="U92" s="207">
        <v>78</v>
      </c>
      <c r="V92" s="205">
        <f t="shared" si="18"/>
        <v>0</v>
      </c>
      <c r="W92" s="123"/>
      <c r="Y92" s="207"/>
      <c r="Z92" s="205">
        <v>88.86</v>
      </c>
      <c r="AA92" s="205">
        <v>0</v>
      </c>
      <c r="AB92" s="207">
        <v>0</v>
      </c>
      <c r="AC92" s="207">
        <v>78</v>
      </c>
      <c r="AD92" s="205">
        <v>0</v>
      </c>
    </row>
    <row r="93" spans="1:30" s="59" customFormat="1" ht="23.1" hidden="1" customHeight="1" outlineLevel="2">
      <c r="A93" s="171">
        <v>1.6999999999999993</v>
      </c>
      <c r="B93" s="113" t="s">
        <v>1073</v>
      </c>
      <c r="C93" s="237"/>
      <c r="D93" s="238" t="s">
        <v>247</v>
      </c>
      <c r="E93" s="123"/>
      <c r="F93" s="120">
        <v>93.4</v>
      </c>
      <c r="G93" s="205">
        <v>5178.6501500477061</v>
      </c>
      <c r="H93" s="123"/>
      <c r="I93" s="120"/>
      <c r="J93" s="205">
        <v>8134.92</v>
      </c>
      <c r="K93" s="207">
        <f t="shared" si="37"/>
        <v>0</v>
      </c>
      <c r="L93" s="205">
        <f t="shared" si="38"/>
        <v>93.4</v>
      </c>
      <c r="M93" s="205">
        <f t="shared" si="32"/>
        <v>0</v>
      </c>
      <c r="N93" s="207">
        <f t="shared" si="33"/>
        <v>0</v>
      </c>
      <c r="O93" s="207">
        <f t="shared" si="34"/>
        <v>78</v>
      </c>
      <c r="P93" s="205">
        <f t="shared" si="35"/>
        <v>0</v>
      </c>
      <c r="Q93" s="206"/>
      <c r="R93" s="205">
        <f t="shared" si="36"/>
        <v>93.4</v>
      </c>
      <c r="S93" s="205">
        <f t="shared" si="27"/>
        <v>0</v>
      </c>
      <c r="T93" s="207">
        <f t="shared" si="39"/>
        <v>0</v>
      </c>
      <c r="U93" s="207">
        <v>78</v>
      </c>
      <c r="V93" s="205">
        <f t="shared" si="18"/>
        <v>0</v>
      </c>
      <c r="W93" s="123"/>
      <c r="Y93" s="207"/>
      <c r="Z93" s="205">
        <v>93.4</v>
      </c>
      <c r="AA93" s="205">
        <v>0</v>
      </c>
      <c r="AB93" s="207">
        <v>0</v>
      </c>
      <c r="AC93" s="207">
        <v>78</v>
      </c>
      <c r="AD93" s="205">
        <v>0</v>
      </c>
    </row>
    <row r="94" spans="1:30" s="59" customFormat="1" ht="23.1" hidden="1" customHeight="1" outlineLevel="2">
      <c r="A94" s="171">
        <v>1.7999999999999992</v>
      </c>
      <c r="B94" s="113" t="s">
        <v>1077</v>
      </c>
      <c r="C94" s="237"/>
      <c r="D94" s="238" t="s">
        <v>247</v>
      </c>
      <c r="E94" s="123"/>
      <c r="F94" s="120">
        <v>84.56</v>
      </c>
      <c r="G94" s="205">
        <v>4302.9390977614676</v>
      </c>
      <c r="H94" s="123"/>
      <c r="I94" s="120"/>
      <c r="J94" s="205">
        <v>7461.14</v>
      </c>
      <c r="K94" s="207">
        <f t="shared" si="37"/>
        <v>0</v>
      </c>
      <c r="L94" s="205">
        <f t="shared" si="38"/>
        <v>84.56</v>
      </c>
      <c r="M94" s="205">
        <f t="shared" si="32"/>
        <v>0</v>
      </c>
      <c r="N94" s="207">
        <f t="shared" si="33"/>
        <v>0</v>
      </c>
      <c r="O94" s="207">
        <f t="shared" si="34"/>
        <v>78</v>
      </c>
      <c r="P94" s="205">
        <f t="shared" si="35"/>
        <v>0</v>
      </c>
      <c r="Q94" s="206">
        <v>452.13840000000005</v>
      </c>
      <c r="R94" s="205">
        <f t="shared" si="36"/>
        <v>84.56</v>
      </c>
      <c r="S94" s="205">
        <f t="shared" si="27"/>
        <v>38232.823104000003</v>
      </c>
      <c r="T94" s="207">
        <f t="shared" si="39"/>
        <v>452.13840000000005</v>
      </c>
      <c r="U94" s="207">
        <v>78</v>
      </c>
      <c r="V94" s="205">
        <f t="shared" si="18"/>
        <v>35266.7952</v>
      </c>
      <c r="W94" s="123"/>
      <c r="Y94" s="207">
        <v>452.13840000000005</v>
      </c>
      <c r="Z94" s="205">
        <v>84.56</v>
      </c>
      <c r="AA94" s="205">
        <v>38232.823104000003</v>
      </c>
      <c r="AB94" s="207">
        <v>452.13840000000005</v>
      </c>
      <c r="AC94" s="207">
        <v>78</v>
      </c>
      <c r="AD94" s="205">
        <v>35266.7952</v>
      </c>
    </row>
    <row r="95" spans="1:30" s="59" customFormat="1" ht="23.1" hidden="1" customHeight="1" outlineLevel="2">
      <c r="A95" s="171">
        <v>1.899999999999999</v>
      </c>
      <c r="B95" s="113" t="s">
        <v>1077</v>
      </c>
      <c r="C95" s="237"/>
      <c r="D95" s="238" t="s">
        <v>247</v>
      </c>
      <c r="E95" s="123"/>
      <c r="F95" s="120">
        <v>85.03</v>
      </c>
      <c r="G95" s="205">
        <v>24287.617178298715</v>
      </c>
      <c r="H95" s="123"/>
      <c r="I95" s="120"/>
      <c r="J95" s="205">
        <v>41868.76</v>
      </c>
      <c r="K95" s="207">
        <f t="shared" si="37"/>
        <v>0</v>
      </c>
      <c r="L95" s="205">
        <f t="shared" si="38"/>
        <v>85.03</v>
      </c>
      <c r="M95" s="205">
        <f t="shared" si="32"/>
        <v>0</v>
      </c>
      <c r="N95" s="207">
        <f t="shared" si="33"/>
        <v>0</v>
      </c>
      <c r="O95" s="207">
        <f t="shared" si="34"/>
        <v>78</v>
      </c>
      <c r="P95" s="205">
        <f t="shared" si="35"/>
        <v>0</v>
      </c>
      <c r="Q95" s="206"/>
      <c r="R95" s="205">
        <f t="shared" si="36"/>
        <v>85.03</v>
      </c>
      <c r="S95" s="205">
        <f t="shared" si="27"/>
        <v>0</v>
      </c>
      <c r="T95" s="207">
        <f t="shared" si="39"/>
        <v>0</v>
      </c>
      <c r="U95" s="207">
        <v>78</v>
      </c>
      <c r="V95" s="205">
        <f t="shared" si="18"/>
        <v>0</v>
      </c>
      <c r="W95" s="123"/>
      <c r="Y95" s="207"/>
      <c r="Z95" s="205">
        <v>85.03</v>
      </c>
      <c r="AA95" s="205">
        <v>0</v>
      </c>
      <c r="AB95" s="207">
        <v>0</v>
      </c>
      <c r="AC95" s="207">
        <v>78</v>
      </c>
      <c r="AD95" s="205">
        <v>0</v>
      </c>
    </row>
    <row r="96" spans="1:30" s="59" customFormat="1" ht="23.1" hidden="1" customHeight="1" outlineLevel="2">
      <c r="A96" s="239">
        <v>1.1000000000000001</v>
      </c>
      <c r="B96" s="113" t="s">
        <v>1077</v>
      </c>
      <c r="C96" s="237"/>
      <c r="D96" s="238" t="s">
        <v>247</v>
      </c>
      <c r="E96" s="123"/>
      <c r="F96" s="120">
        <v>85.95</v>
      </c>
      <c r="G96" s="205">
        <v>8957.9806291376153</v>
      </c>
      <c r="H96" s="123"/>
      <c r="I96" s="120"/>
      <c r="J96" s="205">
        <v>15266.84</v>
      </c>
      <c r="K96" s="207">
        <f t="shared" si="37"/>
        <v>0</v>
      </c>
      <c r="L96" s="205">
        <f t="shared" si="38"/>
        <v>85.95</v>
      </c>
      <c r="M96" s="205">
        <f t="shared" si="32"/>
        <v>0</v>
      </c>
      <c r="N96" s="207">
        <f t="shared" si="33"/>
        <v>0</v>
      </c>
      <c r="O96" s="207">
        <f t="shared" si="34"/>
        <v>78</v>
      </c>
      <c r="P96" s="205">
        <f t="shared" si="35"/>
        <v>0</v>
      </c>
      <c r="Q96" s="206"/>
      <c r="R96" s="205">
        <f t="shared" si="36"/>
        <v>85.95</v>
      </c>
      <c r="S96" s="205">
        <f t="shared" si="27"/>
        <v>0</v>
      </c>
      <c r="T96" s="207">
        <f t="shared" si="39"/>
        <v>0</v>
      </c>
      <c r="U96" s="207">
        <v>78</v>
      </c>
      <c r="V96" s="205">
        <f t="shared" si="18"/>
        <v>0</v>
      </c>
      <c r="W96" s="123"/>
      <c r="Y96" s="207"/>
      <c r="Z96" s="205">
        <v>85.95</v>
      </c>
      <c r="AA96" s="205">
        <v>0</v>
      </c>
      <c r="AB96" s="207">
        <v>0</v>
      </c>
      <c r="AC96" s="207">
        <v>78</v>
      </c>
      <c r="AD96" s="205">
        <v>0</v>
      </c>
    </row>
    <row r="97" spans="1:30" s="59" customFormat="1" ht="23.1" hidden="1" customHeight="1" outlineLevel="2">
      <c r="A97" s="171">
        <v>1.1100000000000001</v>
      </c>
      <c r="B97" s="113" t="s">
        <v>1084</v>
      </c>
      <c r="C97" s="237"/>
      <c r="D97" s="238" t="s">
        <v>247</v>
      </c>
      <c r="E97" s="123"/>
      <c r="F97" s="120">
        <v>108.2</v>
      </c>
      <c r="G97" s="205">
        <v>981.56780095706415</v>
      </c>
      <c r="H97" s="123"/>
      <c r="I97" s="120"/>
      <c r="J97" s="205">
        <v>1355.82</v>
      </c>
      <c r="K97" s="207">
        <f t="shared" si="37"/>
        <v>0</v>
      </c>
      <c r="L97" s="205">
        <f t="shared" si="38"/>
        <v>108.2</v>
      </c>
      <c r="M97" s="205">
        <f t="shared" si="32"/>
        <v>0</v>
      </c>
      <c r="N97" s="207">
        <f t="shared" si="33"/>
        <v>0</v>
      </c>
      <c r="O97" s="207">
        <f t="shared" si="34"/>
        <v>78</v>
      </c>
      <c r="P97" s="205">
        <f t="shared" si="35"/>
        <v>0</v>
      </c>
      <c r="Q97" s="206">
        <v>27.803000000000001</v>
      </c>
      <c r="R97" s="205">
        <f t="shared" si="36"/>
        <v>108.2</v>
      </c>
      <c r="S97" s="205">
        <f t="shared" si="27"/>
        <v>3008.2846</v>
      </c>
      <c r="T97" s="207">
        <f t="shared" si="39"/>
        <v>27.803000000000001</v>
      </c>
      <c r="U97" s="207">
        <v>78</v>
      </c>
      <c r="V97" s="205">
        <f t="shared" si="18"/>
        <v>2168.634</v>
      </c>
      <c r="W97" s="123"/>
      <c r="Y97" s="207">
        <v>27.803000000000001</v>
      </c>
      <c r="Z97" s="205">
        <v>108.2</v>
      </c>
      <c r="AA97" s="205">
        <v>3008.2846</v>
      </c>
      <c r="AB97" s="207">
        <v>27.803000000000001</v>
      </c>
      <c r="AC97" s="207">
        <v>78</v>
      </c>
      <c r="AD97" s="205">
        <v>2168.634</v>
      </c>
    </row>
    <row r="98" spans="1:30" s="59" customFormat="1" ht="23.1" hidden="1" customHeight="1" outlineLevel="2">
      <c r="A98" s="239">
        <v>1.1200000000000001</v>
      </c>
      <c r="B98" s="113" t="s">
        <v>1086</v>
      </c>
      <c r="C98" s="237"/>
      <c r="D98" s="238" t="s">
        <v>247</v>
      </c>
      <c r="E98" s="123"/>
      <c r="F98" s="120">
        <v>84.07</v>
      </c>
      <c r="G98" s="205">
        <v>24326.991266377976</v>
      </c>
      <c r="H98" s="123"/>
      <c r="I98" s="120"/>
      <c r="J98" s="205">
        <v>0</v>
      </c>
      <c r="K98" s="207">
        <f t="shared" si="37"/>
        <v>0</v>
      </c>
      <c r="L98" s="205">
        <f t="shared" si="38"/>
        <v>84.07</v>
      </c>
      <c r="M98" s="205">
        <f t="shared" si="32"/>
        <v>0</v>
      </c>
      <c r="N98" s="207">
        <f t="shared" si="33"/>
        <v>0</v>
      </c>
      <c r="O98" s="207">
        <f t="shared" si="34"/>
        <v>78</v>
      </c>
      <c r="P98" s="205">
        <f t="shared" si="35"/>
        <v>0</v>
      </c>
      <c r="Q98" s="206"/>
      <c r="R98" s="205">
        <f t="shared" si="36"/>
        <v>84.07</v>
      </c>
      <c r="S98" s="205">
        <f t="shared" si="27"/>
        <v>0</v>
      </c>
      <c r="T98" s="207">
        <f t="shared" si="39"/>
        <v>0</v>
      </c>
      <c r="U98" s="207">
        <v>78</v>
      </c>
      <c r="V98" s="205">
        <f t="shared" si="18"/>
        <v>0</v>
      </c>
      <c r="W98" s="123"/>
      <c r="Y98" s="207"/>
      <c r="Z98" s="205">
        <v>84.07</v>
      </c>
      <c r="AA98" s="205">
        <v>0</v>
      </c>
      <c r="AB98" s="207">
        <v>0</v>
      </c>
      <c r="AC98" s="207">
        <v>78</v>
      </c>
      <c r="AD98" s="205">
        <v>0</v>
      </c>
    </row>
    <row r="99" spans="1:30" s="59" customFormat="1" ht="23.1" hidden="1" customHeight="1" outlineLevel="2">
      <c r="A99" s="171">
        <v>1.1300000000000001</v>
      </c>
      <c r="B99" s="113" t="s">
        <v>1088</v>
      </c>
      <c r="C99" s="237"/>
      <c r="D99" s="238" t="s">
        <v>247</v>
      </c>
      <c r="E99" s="123"/>
      <c r="F99" s="120">
        <v>160.82</v>
      </c>
      <c r="G99" s="205">
        <v>8539.064900943853</v>
      </c>
      <c r="H99" s="123"/>
      <c r="I99" s="120"/>
      <c r="J99" s="205">
        <v>0</v>
      </c>
      <c r="K99" s="207">
        <f t="shared" si="37"/>
        <v>0</v>
      </c>
      <c r="L99" s="205">
        <f t="shared" si="38"/>
        <v>160.82</v>
      </c>
      <c r="M99" s="205">
        <f t="shared" si="32"/>
        <v>0</v>
      </c>
      <c r="N99" s="207">
        <f t="shared" si="33"/>
        <v>0</v>
      </c>
      <c r="O99" s="207">
        <f t="shared" si="34"/>
        <v>78</v>
      </c>
      <c r="P99" s="205">
        <f t="shared" si="35"/>
        <v>0</v>
      </c>
      <c r="Q99" s="206"/>
      <c r="R99" s="205">
        <f t="shared" si="36"/>
        <v>160.82</v>
      </c>
      <c r="S99" s="205">
        <f t="shared" si="27"/>
        <v>0</v>
      </c>
      <c r="T99" s="207">
        <f t="shared" si="39"/>
        <v>0</v>
      </c>
      <c r="U99" s="207">
        <v>78</v>
      </c>
      <c r="V99" s="205">
        <f t="shared" si="18"/>
        <v>0</v>
      </c>
      <c r="W99" s="123"/>
      <c r="Y99" s="207"/>
      <c r="Z99" s="205">
        <v>160.82</v>
      </c>
      <c r="AA99" s="205">
        <v>0</v>
      </c>
      <c r="AB99" s="207">
        <v>0</v>
      </c>
      <c r="AC99" s="207">
        <v>78</v>
      </c>
      <c r="AD99" s="205">
        <v>0</v>
      </c>
    </row>
    <row r="100" spans="1:30" s="59" customFormat="1" ht="23.1" hidden="1" customHeight="1" outlineLevel="2">
      <c r="A100" s="239">
        <v>1.1400000000000001</v>
      </c>
      <c r="B100" s="113" t="s">
        <v>1090</v>
      </c>
      <c r="C100" s="237"/>
      <c r="D100" s="238" t="s">
        <v>247</v>
      </c>
      <c r="E100" s="123"/>
      <c r="F100" s="120">
        <v>92.78</v>
      </c>
      <c r="G100" s="205">
        <v>676.82351693504597</v>
      </c>
      <c r="H100" s="123"/>
      <c r="I100" s="120"/>
      <c r="J100" s="205">
        <v>0</v>
      </c>
      <c r="K100" s="207">
        <f t="shared" si="37"/>
        <v>0</v>
      </c>
      <c r="L100" s="205">
        <f t="shared" si="38"/>
        <v>92.78</v>
      </c>
      <c r="M100" s="205">
        <f t="shared" si="32"/>
        <v>0</v>
      </c>
      <c r="N100" s="207">
        <f t="shared" si="33"/>
        <v>0</v>
      </c>
      <c r="O100" s="207">
        <f t="shared" si="34"/>
        <v>78</v>
      </c>
      <c r="P100" s="205">
        <f t="shared" si="35"/>
        <v>0</v>
      </c>
      <c r="Q100" s="206"/>
      <c r="R100" s="205">
        <f t="shared" si="36"/>
        <v>92.78</v>
      </c>
      <c r="S100" s="205">
        <f t="shared" si="27"/>
        <v>0</v>
      </c>
      <c r="T100" s="207">
        <f t="shared" si="39"/>
        <v>0</v>
      </c>
      <c r="U100" s="207">
        <v>78</v>
      </c>
      <c r="V100" s="205">
        <f t="shared" si="18"/>
        <v>0</v>
      </c>
      <c r="W100" s="123"/>
      <c r="Y100" s="207"/>
      <c r="Z100" s="205">
        <v>92.78</v>
      </c>
      <c r="AA100" s="205">
        <v>0</v>
      </c>
      <c r="AB100" s="207">
        <v>0</v>
      </c>
      <c r="AC100" s="207">
        <v>78</v>
      </c>
      <c r="AD100" s="205">
        <v>0</v>
      </c>
    </row>
    <row r="101" spans="1:30" s="59" customFormat="1" ht="23.1" hidden="1" customHeight="1" outlineLevel="2">
      <c r="A101" s="171">
        <v>1.1500000000000001</v>
      </c>
      <c r="B101" s="113" t="s">
        <v>1092</v>
      </c>
      <c r="C101" s="237"/>
      <c r="D101" s="238" t="s">
        <v>247</v>
      </c>
      <c r="E101" s="123"/>
      <c r="F101" s="120">
        <v>108.08</v>
      </c>
      <c r="G101" s="205">
        <v>2559.8985552880731</v>
      </c>
      <c r="H101" s="123"/>
      <c r="I101" s="120"/>
      <c r="J101" s="205">
        <v>0</v>
      </c>
      <c r="K101" s="207">
        <f t="shared" si="37"/>
        <v>0</v>
      </c>
      <c r="L101" s="205">
        <f t="shared" si="38"/>
        <v>108.08</v>
      </c>
      <c r="M101" s="205">
        <f t="shared" si="32"/>
        <v>0</v>
      </c>
      <c r="N101" s="207">
        <f t="shared" si="33"/>
        <v>0</v>
      </c>
      <c r="O101" s="207">
        <f t="shared" si="34"/>
        <v>78</v>
      </c>
      <c r="P101" s="205">
        <f t="shared" si="35"/>
        <v>0</v>
      </c>
      <c r="Q101" s="206"/>
      <c r="R101" s="205">
        <f t="shared" si="36"/>
        <v>108.08</v>
      </c>
      <c r="S101" s="205">
        <f t="shared" si="27"/>
        <v>0</v>
      </c>
      <c r="T101" s="207">
        <f t="shared" si="39"/>
        <v>0</v>
      </c>
      <c r="U101" s="207">
        <v>78</v>
      </c>
      <c r="V101" s="205">
        <f t="shared" si="18"/>
        <v>0</v>
      </c>
      <c r="W101" s="123"/>
      <c r="Y101" s="207"/>
      <c r="Z101" s="205">
        <v>108.08</v>
      </c>
      <c r="AA101" s="205">
        <v>0</v>
      </c>
      <c r="AB101" s="207">
        <v>0</v>
      </c>
      <c r="AC101" s="207">
        <v>78</v>
      </c>
      <c r="AD101" s="205">
        <v>0</v>
      </c>
    </row>
    <row r="102" spans="1:30" s="59" customFormat="1" ht="23.1" hidden="1" customHeight="1" outlineLevel="2">
      <c r="A102" s="239">
        <v>1.1600000000000001</v>
      </c>
      <c r="B102" s="113" t="s">
        <v>1094</v>
      </c>
      <c r="C102" s="237"/>
      <c r="D102" s="238" t="s">
        <v>247</v>
      </c>
      <c r="E102" s="123"/>
      <c r="F102" s="120">
        <v>88.61</v>
      </c>
      <c r="G102" s="205">
        <v>94043.951272689897</v>
      </c>
      <c r="H102" s="123"/>
      <c r="I102" s="120"/>
      <c r="J102" s="205">
        <v>156210.75999999998</v>
      </c>
      <c r="K102" s="207">
        <f t="shared" si="37"/>
        <v>0</v>
      </c>
      <c r="L102" s="205">
        <f t="shared" si="38"/>
        <v>88.61</v>
      </c>
      <c r="M102" s="205">
        <f t="shared" si="32"/>
        <v>0</v>
      </c>
      <c r="N102" s="207">
        <f t="shared" si="33"/>
        <v>0</v>
      </c>
      <c r="O102" s="207">
        <f t="shared" si="34"/>
        <v>78</v>
      </c>
      <c r="P102" s="205">
        <f t="shared" si="35"/>
        <v>0</v>
      </c>
      <c r="Q102" s="206">
        <v>38.750999999999998</v>
      </c>
      <c r="R102" s="205">
        <f t="shared" si="36"/>
        <v>88.61</v>
      </c>
      <c r="S102" s="205">
        <f t="shared" si="27"/>
        <v>3433.7261099999996</v>
      </c>
      <c r="T102" s="207">
        <f t="shared" si="39"/>
        <v>38.750999999999998</v>
      </c>
      <c r="U102" s="207">
        <v>78</v>
      </c>
      <c r="V102" s="205">
        <f t="shared" si="18"/>
        <v>3022.578</v>
      </c>
      <c r="W102" s="123"/>
      <c r="Y102" s="207">
        <v>38.750999999999998</v>
      </c>
      <c r="Z102" s="205">
        <v>88.61</v>
      </c>
      <c r="AA102" s="205">
        <v>3433.7261099999996</v>
      </c>
      <c r="AB102" s="207">
        <v>38.750999999999998</v>
      </c>
      <c r="AC102" s="207">
        <v>78</v>
      </c>
      <c r="AD102" s="205">
        <v>3022.578</v>
      </c>
    </row>
    <row r="103" spans="1:30" s="59" customFormat="1" ht="23.1" hidden="1" customHeight="1" outlineLevel="2">
      <c r="A103" s="171">
        <v>1.1700000000000002</v>
      </c>
      <c r="B103" s="113" t="s">
        <v>1138</v>
      </c>
      <c r="C103" s="237"/>
      <c r="D103" s="238" t="s">
        <v>247</v>
      </c>
      <c r="E103" s="123"/>
      <c r="F103" s="120">
        <v>116.3</v>
      </c>
      <c r="G103" s="205">
        <v>6599.4867335251365</v>
      </c>
      <c r="H103" s="123"/>
      <c r="I103" s="120"/>
      <c r="J103" s="205">
        <v>8409.8599999999988</v>
      </c>
      <c r="K103" s="207">
        <f t="shared" si="37"/>
        <v>0</v>
      </c>
      <c r="L103" s="205">
        <f t="shared" si="38"/>
        <v>116.3</v>
      </c>
      <c r="M103" s="205">
        <f t="shared" si="32"/>
        <v>0</v>
      </c>
      <c r="N103" s="207">
        <f t="shared" si="33"/>
        <v>0</v>
      </c>
      <c r="O103" s="207">
        <f t="shared" si="34"/>
        <v>78</v>
      </c>
      <c r="P103" s="205">
        <f t="shared" si="35"/>
        <v>0</v>
      </c>
      <c r="Q103" s="206">
        <v>59.846699999999998</v>
      </c>
      <c r="R103" s="205">
        <f t="shared" si="36"/>
        <v>116.3</v>
      </c>
      <c r="S103" s="205">
        <f t="shared" si="27"/>
        <v>6960.1712099999995</v>
      </c>
      <c r="T103" s="207">
        <f t="shared" si="39"/>
        <v>59.846699999999998</v>
      </c>
      <c r="U103" s="207">
        <v>78</v>
      </c>
      <c r="V103" s="205">
        <f t="shared" si="18"/>
        <v>4668.0425999999998</v>
      </c>
      <c r="W103" s="123"/>
      <c r="Y103" s="207">
        <v>59.846699999999998</v>
      </c>
      <c r="Z103" s="205">
        <v>116.3</v>
      </c>
      <c r="AA103" s="205">
        <v>6960.1712099999995</v>
      </c>
      <c r="AB103" s="207">
        <v>59.846699999999998</v>
      </c>
      <c r="AC103" s="207">
        <v>78</v>
      </c>
      <c r="AD103" s="205">
        <v>4668.0425999999998</v>
      </c>
    </row>
    <row r="104" spans="1:30" s="59" customFormat="1" ht="23.1" hidden="1" customHeight="1" outlineLevel="2">
      <c r="A104" s="239">
        <v>1.1800000000000002</v>
      </c>
      <c r="B104" s="113" t="s">
        <v>1140</v>
      </c>
      <c r="C104" s="237"/>
      <c r="D104" s="238" t="s">
        <v>247</v>
      </c>
      <c r="E104" s="123"/>
      <c r="F104" s="120">
        <v>131.07</v>
      </c>
      <c r="G104" s="205">
        <v>625.6118595170642</v>
      </c>
      <c r="H104" s="123"/>
      <c r="I104" s="120"/>
      <c r="J104" s="205">
        <v>698.56</v>
      </c>
      <c r="K104" s="207">
        <f t="shared" si="37"/>
        <v>0</v>
      </c>
      <c r="L104" s="205">
        <f t="shared" si="38"/>
        <v>131.07</v>
      </c>
      <c r="M104" s="205">
        <f t="shared" si="32"/>
        <v>0</v>
      </c>
      <c r="N104" s="207">
        <f t="shared" si="33"/>
        <v>0</v>
      </c>
      <c r="O104" s="207">
        <f t="shared" si="34"/>
        <v>78</v>
      </c>
      <c r="P104" s="205">
        <f t="shared" si="35"/>
        <v>0</v>
      </c>
      <c r="Q104" s="206"/>
      <c r="R104" s="205">
        <f t="shared" si="36"/>
        <v>131.07</v>
      </c>
      <c r="S104" s="205">
        <f t="shared" ref="S104:S144" si="40">+R104*Q104</f>
        <v>0</v>
      </c>
      <c r="T104" s="207">
        <f t="shared" si="39"/>
        <v>0</v>
      </c>
      <c r="U104" s="207">
        <v>78</v>
      </c>
      <c r="V104" s="205">
        <f t="shared" si="18"/>
        <v>0</v>
      </c>
      <c r="W104" s="123"/>
      <c r="Y104" s="207"/>
      <c r="Z104" s="205">
        <v>131.07</v>
      </c>
      <c r="AA104" s="205">
        <v>0</v>
      </c>
      <c r="AB104" s="207">
        <v>0</v>
      </c>
      <c r="AC104" s="207">
        <v>78</v>
      </c>
      <c r="AD104" s="205">
        <v>0</v>
      </c>
    </row>
    <row r="105" spans="1:30" s="59" customFormat="1" ht="23.1" hidden="1" customHeight="1" outlineLevel="2">
      <c r="A105" s="171">
        <v>1.1900000000000002</v>
      </c>
      <c r="B105" s="113" t="s">
        <v>1096</v>
      </c>
      <c r="C105" s="237"/>
      <c r="D105" s="238" t="s">
        <v>247</v>
      </c>
      <c r="E105" s="123"/>
      <c r="F105" s="120">
        <v>96.91</v>
      </c>
      <c r="G105" s="205">
        <v>94781.664082991556</v>
      </c>
      <c r="H105" s="123"/>
      <c r="I105" s="120"/>
      <c r="J105" s="205">
        <v>0</v>
      </c>
      <c r="K105" s="207">
        <f t="shared" si="37"/>
        <v>0</v>
      </c>
      <c r="L105" s="205">
        <f t="shared" si="38"/>
        <v>96.91</v>
      </c>
      <c r="M105" s="205">
        <f t="shared" si="32"/>
        <v>0</v>
      </c>
      <c r="N105" s="207">
        <f t="shared" si="33"/>
        <v>0</v>
      </c>
      <c r="O105" s="207">
        <f t="shared" si="34"/>
        <v>78</v>
      </c>
      <c r="P105" s="205">
        <f t="shared" si="35"/>
        <v>0</v>
      </c>
      <c r="Q105" s="206"/>
      <c r="R105" s="205">
        <f t="shared" si="36"/>
        <v>96.91</v>
      </c>
      <c r="S105" s="205">
        <f t="shared" si="40"/>
        <v>0</v>
      </c>
      <c r="T105" s="207">
        <f t="shared" si="39"/>
        <v>0</v>
      </c>
      <c r="U105" s="207">
        <v>78</v>
      </c>
      <c r="V105" s="205">
        <f t="shared" si="18"/>
        <v>0</v>
      </c>
      <c r="W105" s="123"/>
      <c r="Y105" s="207"/>
      <c r="Z105" s="205">
        <v>96.91</v>
      </c>
      <c r="AA105" s="205">
        <v>0</v>
      </c>
      <c r="AB105" s="207">
        <v>0</v>
      </c>
      <c r="AC105" s="207">
        <v>78</v>
      </c>
      <c r="AD105" s="205">
        <v>0</v>
      </c>
    </row>
    <row r="106" spans="1:30" s="59" customFormat="1" ht="23.1" hidden="1" customHeight="1" outlineLevel="2">
      <c r="A106" s="239">
        <v>1.2000000000000002</v>
      </c>
      <c r="B106" s="113" t="s">
        <v>1149</v>
      </c>
      <c r="C106" s="237"/>
      <c r="D106" s="238" t="s">
        <v>247</v>
      </c>
      <c r="E106" s="123"/>
      <c r="F106" s="120">
        <v>74.540000000000006</v>
      </c>
      <c r="G106" s="205">
        <v>575665.22224681976</v>
      </c>
      <c r="H106" s="123"/>
      <c r="I106" s="120"/>
      <c r="J106" s="205">
        <v>662914.69999999995</v>
      </c>
      <c r="K106" s="207">
        <f t="shared" si="37"/>
        <v>1676.1687999999999</v>
      </c>
      <c r="L106" s="205">
        <f t="shared" si="38"/>
        <v>74.540000000000006</v>
      </c>
      <c r="M106" s="205">
        <f t="shared" si="32"/>
        <v>124941.62235200001</v>
      </c>
      <c r="N106" s="207">
        <f t="shared" si="33"/>
        <v>1676.1687999999999</v>
      </c>
      <c r="O106" s="207">
        <f t="shared" si="34"/>
        <v>48</v>
      </c>
      <c r="P106" s="205">
        <f t="shared" si="35"/>
        <v>80456.102400000003</v>
      </c>
      <c r="Q106" s="206">
        <v>5503.7388000000001</v>
      </c>
      <c r="R106" s="205">
        <f t="shared" si="36"/>
        <v>74.540000000000006</v>
      </c>
      <c r="S106" s="205">
        <f t="shared" si="40"/>
        <v>410248.69015200005</v>
      </c>
      <c r="T106" s="207">
        <v>0</v>
      </c>
      <c r="U106" s="207">
        <v>48</v>
      </c>
      <c r="V106" s="205">
        <f t="shared" si="18"/>
        <v>0</v>
      </c>
      <c r="W106" s="123"/>
      <c r="Y106" s="207">
        <v>3827.57</v>
      </c>
      <c r="Z106" s="205">
        <v>74.540000000000006</v>
      </c>
      <c r="AA106" s="205">
        <v>285307.06780000002</v>
      </c>
      <c r="AB106" s="207">
        <v>0</v>
      </c>
      <c r="AC106" s="207">
        <v>18</v>
      </c>
      <c r="AD106" s="205">
        <v>0</v>
      </c>
    </row>
    <row r="107" spans="1:30" s="59" customFormat="1" ht="23.1" hidden="1" customHeight="1" outlineLevel="2">
      <c r="A107" s="171">
        <v>1.2100000000000002</v>
      </c>
      <c r="B107" s="113" t="s">
        <v>1150</v>
      </c>
      <c r="C107" s="237"/>
      <c r="D107" s="238" t="s">
        <v>247</v>
      </c>
      <c r="E107" s="123"/>
      <c r="F107" s="120">
        <v>71.95</v>
      </c>
      <c r="G107" s="205">
        <v>903897.2749690481</v>
      </c>
      <c r="H107" s="123"/>
      <c r="I107" s="120"/>
      <c r="J107" s="205">
        <v>1078243.5999999999</v>
      </c>
      <c r="K107" s="207">
        <f t="shared" si="37"/>
        <v>1549.9607999999994</v>
      </c>
      <c r="L107" s="205">
        <f t="shared" si="38"/>
        <v>71.95</v>
      </c>
      <c r="M107" s="205">
        <f t="shared" si="32"/>
        <v>111519.67955999996</v>
      </c>
      <c r="N107" s="207">
        <f t="shared" si="33"/>
        <v>1549.9607999999994</v>
      </c>
      <c r="O107" s="207">
        <f t="shared" si="34"/>
        <v>48</v>
      </c>
      <c r="P107" s="205">
        <f t="shared" si="35"/>
        <v>74398.118399999978</v>
      </c>
      <c r="Q107" s="206">
        <v>5573.4396999999999</v>
      </c>
      <c r="R107" s="205">
        <f t="shared" si="36"/>
        <v>71.95</v>
      </c>
      <c r="S107" s="205">
        <f t="shared" si="40"/>
        <v>401008.98641499999</v>
      </c>
      <c r="T107" s="207">
        <v>0</v>
      </c>
      <c r="U107" s="207">
        <v>48</v>
      </c>
      <c r="V107" s="205">
        <f t="shared" si="18"/>
        <v>0</v>
      </c>
      <c r="W107" s="123"/>
      <c r="Y107" s="207">
        <v>4023.4789000000005</v>
      </c>
      <c r="Z107" s="205">
        <v>71.95</v>
      </c>
      <c r="AA107" s="205">
        <v>289489.30685500003</v>
      </c>
      <c r="AB107" s="207">
        <v>0</v>
      </c>
      <c r="AC107" s="207">
        <v>18</v>
      </c>
      <c r="AD107" s="205">
        <v>0</v>
      </c>
    </row>
    <row r="108" spans="1:30" s="59" customFormat="1" ht="23.1" hidden="1" customHeight="1" outlineLevel="2">
      <c r="A108" s="239">
        <v>1.2200000000000002</v>
      </c>
      <c r="B108" s="113" t="s">
        <v>1151</v>
      </c>
      <c r="C108" s="237"/>
      <c r="D108" s="238" t="s">
        <v>247</v>
      </c>
      <c r="E108" s="123"/>
      <c r="F108" s="120">
        <v>79.31</v>
      </c>
      <c r="G108" s="205">
        <v>258705.08168232223</v>
      </c>
      <c r="H108" s="123"/>
      <c r="I108" s="120"/>
      <c r="J108" s="205">
        <v>280496.3</v>
      </c>
      <c r="K108" s="207">
        <f t="shared" si="37"/>
        <v>1187.4547</v>
      </c>
      <c r="L108" s="205">
        <f t="shared" si="38"/>
        <v>79.31</v>
      </c>
      <c r="M108" s="205">
        <f t="shared" si="32"/>
        <v>94177.032256999999</v>
      </c>
      <c r="N108" s="207">
        <f t="shared" si="33"/>
        <v>1187.4547</v>
      </c>
      <c r="O108" s="207">
        <f t="shared" si="34"/>
        <v>48</v>
      </c>
      <c r="P108" s="205">
        <f t="shared" si="35"/>
        <v>56997.825599999996</v>
      </c>
      <c r="Q108" s="206">
        <v>2370.1745000000001</v>
      </c>
      <c r="R108" s="205">
        <f t="shared" si="36"/>
        <v>79.31</v>
      </c>
      <c r="S108" s="205">
        <f t="shared" si="40"/>
        <v>187978.53959500001</v>
      </c>
      <c r="T108" s="207">
        <v>0</v>
      </c>
      <c r="U108" s="207">
        <v>48</v>
      </c>
      <c r="V108" s="205">
        <f t="shared" si="18"/>
        <v>0</v>
      </c>
      <c r="W108" s="123"/>
      <c r="Y108" s="207">
        <v>1182.7198000000001</v>
      </c>
      <c r="Z108" s="205">
        <v>79.31</v>
      </c>
      <c r="AA108" s="205">
        <v>93801.50733800001</v>
      </c>
      <c r="AB108" s="207">
        <v>0</v>
      </c>
      <c r="AC108" s="207">
        <v>18</v>
      </c>
      <c r="AD108" s="205">
        <v>0</v>
      </c>
    </row>
    <row r="109" spans="1:30" s="59" customFormat="1" ht="23.1" hidden="1" customHeight="1" outlineLevel="2">
      <c r="A109" s="171">
        <v>1.2300000000000002</v>
      </c>
      <c r="B109" s="113" t="s">
        <v>1152</v>
      </c>
      <c r="C109" s="237"/>
      <c r="D109" s="238" t="s">
        <v>247</v>
      </c>
      <c r="E109" s="123"/>
      <c r="F109" s="120">
        <v>70.02</v>
      </c>
      <c r="G109" s="205">
        <v>398993.3201781314</v>
      </c>
      <c r="H109" s="123"/>
      <c r="I109" s="120"/>
      <c r="J109" s="205">
        <v>489318.2</v>
      </c>
      <c r="K109" s="207">
        <f t="shared" si="37"/>
        <v>984.77280000000019</v>
      </c>
      <c r="L109" s="205">
        <f t="shared" si="38"/>
        <v>70.02</v>
      </c>
      <c r="M109" s="205">
        <f t="shared" si="32"/>
        <v>68953.791456000006</v>
      </c>
      <c r="N109" s="207">
        <f t="shared" si="33"/>
        <v>984.77280000000019</v>
      </c>
      <c r="O109" s="207">
        <f t="shared" si="34"/>
        <v>48</v>
      </c>
      <c r="P109" s="205">
        <f t="shared" si="35"/>
        <v>47269.094400000009</v>
      </c>
      <c r="Q109" s="206">
        <v>3029.1424000000002</v>
      </c>
      <c r="R109" s="205">
        <f t="shared" si="36"/>
        <v>70.02</v>
      </c>
      <c r="S109" s="205">
        <f t="shared" si="40"/>
        <v>212100.55084800001</v>
      </c>
      <c r="T109" s="207">
        <v>0</v>
      </c>
      <c r="U109" s="207">
        <v>48</v>
      </c>
      <c r="V109" s="205">
        <f t="shared" si="18"/>
        <v>0</v>
      </c>
      <c r="W109" s="123"/>
      <c r="Y109" s="207">
        <v>2044.3696</v>
      </c>
      <c r="Z109" s="205">
        <v>70.02</v>
      </c>
      <c r="AA109" s="205">
        <v>143146.75939199998</v>
      </c>
      <c r="AB109" s="207">
        <v>0</v>
      </c>
      <c r="AC109" s="207">
        <v>18</v>
      </c>
      <c r="AD109" s="205">
        <v>0</v>
      </c>
    </row>
    <row r="110" spans="1:30" s="59" customFormat="1" ht="23.1" hidden="1" customHeight="1" outlineLevel="2">
      <c r="A110" s="239">
        <v>1.2400000000000002</v>
      </c>
      <c r="B110" s="113" t="s">
        <v>1153</v>
      </c>
      <c r="C110" s="237"/>
      <c r="D110" s="238" t="s">
        <v>247</v>
      </c>
      <c r="E110" s="123"/>
      <c r="F110" s="120">
        <v>94.88</v>
      </c>
      <c r="G110" s="205">
        <v>290.32585368660551</v>
      </c>
      <c r="H110" s="123"/>
      <c r="I110" s="120"/>
      <c r="J110" s="205">
        <v>263.2</v>
      </c>
      <c r="K110" s="207">
        <f t="shared" si="37"/>
        <v>0</v>
      </c>
      <c r="L110" s="205">
        <f t="shared" si="38"/>
        <v>94.88</v>
      </c>
      <c r="M110" s="205">
        <f t="shared" si="32"/>
        <v>0</v>
      </c>
      <c r="N110" s="207">
        <f t="shared" si="33"/>
        <v>0</v>
      </c>
      <c r="O110" s="207">
        <f t="shared" si="34"/>
        <v>48</v>
      </c>
      <c r="P110" s="205">
        <f t="shared" si="35"/>
        <v>0</v>
      </c>
      <c r="Q110" s="206"/>
      <c r="R110" s="205">
        <f t="shared" si="36"/>
        <v>94.88</v>
      </c>
      <c r="S110" s="205">
        <f t="shared" si="40"/>
        <v>0</v>
      </c>
      <c r="T110" s="207">
        <v>0</v>
      </c>
      <c r="U110" s="207">
        <v>48</v>
      </c>
      <c r="V110" s="205">
        <f t="shared" si="18"/>
        <v>0</v>
      </c>
      <c r="W110" s="123"/>
      <c r="Y110" s="207"/>
      <c r="Z110" s="205">
        <v>94.88</v>
      </c>
      <c r="AA110" s="205">
        <v>0</v>
      </c>
      <c r="AB110" s="207">
        <v>0</v>
      </c>
      <c r="AC110" s="207">
        <v>18</v>
      </c>
      <c r="AD110" s="205">
        <v>0</v>
      </c>
    </row>
    <row r="111" spans="1:30" s="59" customFormat="1" ht="23.1" hidden="1" customHeight="1" outlineLevel="2">
      <c r="A111" s="171">
        <v>1.2500000000000002</v>
      </c>
      <c r="B111" s="113" t="s">
        <v>1154</v>
      </c>
      <c r="C111" s="237"/>
      <c r="D111" s="238" t="s">
        <v>247</v>
      </c>
      <c r="E111" s="123"/>
      <c r="F111" s="120">
        <v>83.74</v>
      </c>
      <c r="G111" s="205">
        <v>11039.487087280733</v>
      </c>
      <c r="H111" s="123"/>
      <c r="I111" s="120"/>
      <c r="J111" s="205">
        <v>11323.900000000001</v>
      </c>
      <c r="K111" s="207">
        <f t="shared" si="37"/>
        <v>40.084000000000032</v>
      </c>
      <c r="L111" s="205">
        <f t="shared" si="38"/>
        <v>83.74</v>
      </c>
      <c r="M111" s="205">
        <f t="shared" si="32"/>
        <v>3356.6341600000023</v>
      </c>
      <c r="N111" s="207">
        <f t="shared" si="33"/>
        <v>40.084000000000032</v>
      </c>
      <c r="O111" s="207">
        <f t="shared" si="34"/>
        <v>48</v>
      </c>
      <c r="P111" s="205">
        <f t="shared" si="35"/>
        <v>1924.0320000000015</v>
      </c>
      <c r="Q111" s="206">
        <v>173.60400000000001</v>
      </c>
      <c r="R111" s="205">
        <f t="shared" si="36"/>
        <v>83.74</v>
      </c>
      <c r="S111" s="205">
        <f t="shared" si="40"/>
        <v>14537.598959999999</v>
      </c>
      <c r="T111" s="207">
        <v>0</v>
      </c>
      <c r="U111" s="207">
        <v>48</v>
      </c>
      <c r="V111" s="205">
        <f t="shared" si="18"/>
        <v>0</v>
      </c>
      <c r="W111" s="123"/>
      <c r="Y111" s="207">
        <v>133.51999999999998</v>
      </c>
      <c r="Z111" s="205">
        <v>83.74</v>
      </c>
      <c r="AA111" s="205">
        <v>11180.964799999998</v>
      </c>
      <c r="AB111" s="207">
        <v>0</v>
      </c>
      <c r="AC111" s="207">
        <v>18</v>
      </c>
      <c r="AD111" s="205">
        <v>0</v>
      </c>
    </row>
    <row r="112" spans="1:30" s="59" customFormat="1" ht="23.1" hidden="1" customHeight="1" outlineLevel="1" collapsed="1">
      <c r="A112" s="233">
        <v>2</v>
      </c>
      <c r="B112" s="234" t="s">
        <v>1107</v>
      </c>
      <c r="C112" s="235"/>
      <c r="D112" s="236"/>
      <c r="E112" s="123"/>
      <c r="F112" s="120"/>
      <c r="G112" s="205">
        <v>2318273.9059897722</v>
      </c>
      <c r="H112" s="123"/>
      <c r="I112" s="120"/>
      <c r="J112" s="205">
        <v>1008495.4835999999</v>
      </c>
      <c r="K112" s="207"/>
      <c r="L112" s="205"/>
      <c r="M112" s="205">
        <f>SUM(M113:M117)</f>
        <v>642588.28464848618</v>
      </c>
      <c r="N112" s="207"/>
      <c r="O112" s="207"/>
      <c r="P112" s="205">
        <f t="shared" si="35"/>
        <v>0</v>
      </c>
      <c r="Q112" s="207"/>
      <c r="R112" s="205"/>
      <c r="S112" s="205">
        <f>SUM(S113:S117)</f>
        <v>657791.79941195913</v>
      </c>
      <c r="T112" s="207"/>
      <c r="U112" s="207"/>
      <c r="V112" s="205">
        <f>SUM(V113:V117)</f>
        <v>160858.81236570491</v>
      </c>
      <c r="W112" s="123"/>
      <c r="Y112" s="207"/>
      <c r="Z112" s="205"/>
      <c r="AA112" s="205">
        <v>15203.514763473029</v>
      </c>
      <c r="AB112" s="207"/>
      <c r="AC112" s="207"/>
      <c r="AD112" s="205">
        <v>203988.22305617569</v>
      </c>
    </row>
    <row r="113" spans="1:30" s="59" customFormat="1" ht="23.1" hidden="1" customHeight="1" outlineLevel="2">
      <c r="A113" s="171">
        <v>2.1</v>
      </c>
      <c r="B113" s="113" t="s">
        <v>1155</v>
      </c>
      <c r="C113" s="237"/>
      <c r="D113" s="238" t="s">
        <v>247</v>
      </c>
      <c r="E113" s="123">
        <f>+G113/F113</f>
        <v>13577.777439592648</v>
      </c>
      <c r="F113" s="120">
        <v>160.91</v>
      </c>
      <c r="G113" s="205">
        <v>2184800.1678048531</v>
      </c>
      <c r="H113" s="123"/>
      <c r="I113" s="120"/>
      <c r="J113" s="205">
        <v>983848.8</v>
      </c>
      <c r="K113" s="207">
        <f>+Q113-Y113</f>
        <v>3993.463952821367</v>
      </c>
      <c r="L113" s="205">
        <f>+R113</f>
        <v>160.91</v>
      </c>
      <c r="M113" s="205">
        <f>+L113*K113</f>
        <v>642588.28464848618</v>
      </c>
      <c r="N113" s="207">
        <f>+K113</f>
        <v>3993.463952821367</v>
      </c>
      <c r="O113" s="207">
        <f>+U113</f>
        <v>36</v>
      </c>
      <c r="P113" s="205">
        <f t="shared" si="35"/>
        <v>143764.70230156922</v>
      </c>
      <c r="Q113" s="206">
        <f>+T113</f>
        <v>3993.463952821367</v>
      </c>
      <c r="R113" s="120">
        <v>160.91</v>
      </c>
      <c r="S113" s="205">
        <f t="shared" si="40"/>
        <v>642588.28464848618</v>
      </c>
      <c r="T113" s="206">
        <f>+E113/34*10</f>
        <v>3993.463952821367</v>
      </c>
      <c r="U113" s="207">
        <v>36</v>
      </c>
      <c r="V113" s="205">
        <f t="shared" si="18"/>
        <v>143764.70230156922</v>
      </c>
      <c r="W113" s="123"/>
      <c r="Y113" s="207"/>
      <c r="Z113" s="205">
        <v>160.91</v>
      </c>
      <c r="AA113" s="205">
        <v>0</v>
      </c>
      <c r="AB113" s="207">
        <v>5191.5031386677774</v>
      </c>
      <c r="AC113" s="207">
        <v>36</v>
      </c>
      <c r="AD113" s="205">
        <v>186894.11299204</v>
      </c>
    </row>
    <row r="114" spans="1:30" s="59" customFormat="1" ht="23.1" hidden="1" customHeight="1" outlineLevel="2">
      <c r="A114" s="171">
        <v>2.2000000000000002</v>
      </c>
      <c r="B114" s="113" t="s">
        <v>1108</v>
      </c>
      <c r="C114" s="237"/>
      <c r="D114" s="238" t="s">
        <v>247</v>
      </c>
      <c r="E114" s="123">
        <f>+G114/F114</f>
        <v>244.20157234479564</v>
      </c>
      <c r="F114" s="120">
        <v>51.86</v>
      </c>
      <c r="G114" s="205">
        <v>12664.293541801102</v>
      </c>
      <c r="H114" s="123"/>
      <c r="I114" s="120"/>
      <c r="J114" s="205">
        <v>22869</v>
      </c>
      <c r="K114" s="207">
        <f>+Q114-Y114</f>
        <v>0</v>
      </c>
      <c r="L114" s="205">
        <f>+R114</f>
        <v>51.86</v>
      </c>
      <c r="M114" s="205">
        <f>+L114*K114</f>
        <v>0</v>
      </c>
      <c r="N114" s="207">
        <f>+K114</f>
        <v>0</v>
      </c>
      <c r="O114" s="207">
        <f>+U114</f>
        <v>70</v>
      </c>
      <c r="P114" s="205">
        <f t="shared" si="35"/>
        <v>0</v>
      </c>
      <c r="Q114" s="207">
        <f>+E114</f>
        <v>244.20157234479564</v>
      </c>
      <c r="R114" s="120">
        <v>51.86</v>
      </c>
      <c r="S114" s="205">
        <f t="shared" si="40"/>
        <v>12664.293541801102</v>
      </c>
      <c r="T114" s="207">
        <v>244.20157234479564</v>
      </c>
      <c r="U114" s="207">
        <f>34+36</f>
        <v>70</v>
      </c>
      <c r="V114" s="205">
        <f t="shared" si="18"/>
        <v>17094.110064135693</v>
      </c>
      <c r="W114" s="123"/>
      <c r="Y114" s="207">
        <v>244.20157234479564</v>
      </c>
      <c r="Z114" s="205">
        <v>51.86</v>
      </c>
      <c r="AA114" s="205">
        <v>12664.293541801102</v>
      </c>
      <c r="AB114" s="207">
        <v>244.20157234479564</v>
      </c>
      <c r="AC114" s="207">
        <v>70</v>
      </c>
      <c r="AD114" s="205">
        <v>17094.110064135693</v>
      </c>
    </row>
    <row r="115" spans="1:30" s="59" customFormat="1" ht="23.1" hidden="1" customHeight="1" outlineLevel="2">
      <c r="A115" s="171">
        <v>2.3000000000000003</v>
      </c>
      <c r="B115" s="113" t="s">
        <v>1148</v>
      </c>
      <c r="C115" s="237"/>
      <c r="D115" s="238" t="s">
        <v>247</v>
      </c>
      <c r="E115" s="123">
        <f>+G115/F115</f>
        <v>262.0455337122732</v>
      </c>
      <c r="F115" s="120">
        <v>9.69</v>
      </c>
      <c r="G115" s="205">
        <v>2539.2212216719272</v>
      </c>
      <c r="H115" s="123"/>
      <c r="I115" s="120"/>
      <c r="J115" s="205">
        <v>1777.6836000000001</v>
      </c>
      <c r="K115" s="207">
        <f>+Q115-Y115</f>
        <v>0</v>
      </c>
      <c r="L115" s="205">
        <f>+R115</f>
        <v>9.69</v>
      </c>
      <c r="M115" s="205">
        <f>+L115*K115</f>
        <v>0</v>
      </c>
      <c r="N115" s="207">
        <f>+K115</f>
        <v>0</v>
      </c>
      <c r="O115" s="207">
        <f>+U115</f>
        <v>0</v>
      </c>
      <c r="P115" s="205">
        <f t="shared" si="35"/>
        <v>0</v>
      </c>
      <c r="Q115" s="207">
        <f>+E115</f>
        <v>262.0455337122732</v>
      </c>
      <c r="R115" s="120">
        <v>9.69</v>
      </c>
      <c r="S115" s="205">
        <f t="shared" si="40"/>
        <v>2539.2212216719272</v>
      </c>
      <c r="T115" s="207">
        <v>262.0455337122732</v>
      </c>
      <c r="U115" s="207"/>
      <c r="V115" s="205">
        <f t="shared" ref="V115:V144" si="41">+U115*T115</f>
        <v>0</v>
      </c>
      <c r="W115" s="123"/>
      <c r="Y115" s="207">
        <v>262.0455337122732</v>
      </c>
      <c r="Z115" s="205">
        <v>9.69</v>
      </c>
      <c r="AA115" s="205">
        <v>2539.2212216719272</v>
      </c>
      <c r="AB115" s="207">
        <v>262.0455337122732</v>
      </c>
      <c r="AC115" s="207"/>
      <c r="AD115" s="205">
        <v>0</v>
      </c>
    </row>
    <row r="116" spans="1:30" s="59" customFormat="1" ht="23.1" hidden="1" customHeight="1" outlineLevel="2">
      <c r="A116" s="171">
        <v>2.4000000000000004</v>
      </c>
      <c r="B116" s="113" t="s">
        <v>1110</v>
      </c>
      <c r="C116" s="237"/>
      <c r="D116" s="238" t="s">
        <v>247</v>
      </c>
      <c r="E116" s="123">
        <f>+G116/F116</f>
        <v>12645.333489056069</v>
      </c>
      <c r="F116" s="120">
        <v>8.33</v>
      </c>
      <c r="G116" s="205">
        <v>105335.62796383706</v>
      </c>
      <c r="H116" s="123"/>
      <c r="I116" s="120"/>
      <c r="J116" s="205">
        <v>0</v>
      </c>
      <c r="K116" s="207">
        <f>+Q116-Y116</f>
        <v>0</v>
      </c>
      <c r="L116" s="205">
        <f>+R116</f>
        <v>8.33</v>
      </c>
      <c r="M116" s="205">
        <f>+L116*K116</f>
        <v>0</v>
      </c>
      <c r="N116" s="207">
        <f>+K116</f>
        <v>0</v>
      </c>
      <c r="O116" s="207">
        <f>+U116</f>
        <v>0</v>
      </c>
      <c r="P116" s="205">
        <f t="shared" si="35"/>
        <v>0</v>
      </c>
      <c r="Q116" s="206"/>
      <c r="R116" s="120">
        <v>8.33</v>
      </c>
      <c r="S116" s="205">
        <f t="shared" si="40"/>
        <v>0</v>
      </c>
      <c r="T116" s="207"/>
      <c r="U116" s="207"/>
      <c r="V116" s="205">
        <f t="shared" si="41"/>
        <v>0</v>
      </c>
      <c r="W116" s="123"/>
      <c r="Y116" s="207"/>
      <c r="Z116" s="205">
        <v>8.33</v>
      </c>
      <c r="AA116" s="205">
        <v>0</v>
      </c>
      <c r="AB116" s="207"/>
      <c r="AC116" s="207"/>
      <c r="AD116" s="205">
        <v>0</v>
      </c>
    </row>
    <row r="117" spans="1:30" s="59" customFormat="1" ht="23.1" hidden="1" customHeight="1" outlineLevel="2">
      <c r="A117" s="171">
        <v>2.5000000000000004</v>
      </c>
      <c r="B117" s="113" t="s">
        <v>1116</v>
      </c>
      <c r="C117" s="237"/>
      <c r="D117" s="238" t="s">
        <v>247</v>
      </c>
      <c r="E117" s="123">
        <f>+G117/F117</f>
        <v>366.52296564490814</v>
      </c>
      <c r="F117" s="120">
        <v>35.29</v>
      </c>
      <c r="G117" s="205">
        <v>12934.595457608808</v>
      </c>
      <c r="H117" s="123"/>
      <c r="I117" s="120"/>
      <c r="J117" s="205">
        <v>0</v>
      </c>
      <c r="K117" s="207">
        <f>+Q117-Y117</f>
        <v>0</v>
      </c>
      <c r="L117" s="205">
        <f>+R117</f>
        <v>35.29</v>
      </c>
      <c r="M117" s="205">
        <f>+L117*K117</f>
        <v>0</v>
      </c>
      <c r="N117" s="207">
        <f>+K117</f>
        <v>0</v>
      </c>
      <c r="O117" s="207">
        <f>+U117</f>
        <v>0</v>
      </c>
      <c r="P117" s="205">
        <f t="shared" ref="P117:P144" si="42">+O117*N117</f>
        <v>0</v>
      </c>
      <c r="Q117" s="206"/>
      <c r="R117" s="120">
        <v>35.29</v>
      </c>
      <c r="S117" s="205">
        <f t="shared" si="40"/>
        <v>0</v>
      </c>
      <c r="T117" s="207"/>
      <c r="U117" s="207"/>
      <c r="V117" s="205">
        <f t="shared" si="41"/>
        <v>0</v>
      </c>
      <c r="W117" s="123"/>
      <c r="Y117" s="207"/>
      <c r="Z117" s="205">
        <v>35.29</v>
      </c>
      <c r="AA117" s="205">
        <v>0</v>
      </c>
      <c r="AB117" s="207"/>
      <c r="AC117" s="207"/>
      <c r="AD117" s="205">
        <v>0</v>
      </c>
    </row>
    <row r="118" spans="1:30" s="60" customFormat="1" ht="23.1" customHeight="1" collapsed="1">
      <c r="A118" s="233" t="s">
        <v>233</v>
      </c>
      <c r="B118" s="234" t="s">
        <v>570</v>
      </c>
      <c r="C118" s="235"/>
      <c r="D118" s="236"/>
      <c r="E118" s="137"/>
      <c r="F118" s="119"/>
      <c r="G118" s="222">
        <v>4843303.6181849744</v>
      </c>
      <c r="H118" s="137"/>
      <c r="I118" s="119"/>
      <c r="J118" s="222">
        <v>4194917.6436000001</v>
      </c>
      <c r="K118" s="229"/>
      <c r="L118" s="222"/>
      <c r="M118" s="222">
        <f>+M119+M145</f>
        <v>1173921.6654111766</v>
      </c>
      <c r="N118" s="229"/>
      <c r="O118" s="229"/>
      <c r="P118" s="222">
        <f>+P119+P145</f>
        <v>434674.66447058821</v>
      </c>
      <c r="Q118" s="229"/>
      <c r="R118" s="222"/>
      <c r="S118" s="222">
        <f>+S119+S145</f>
        <v>2098953.5633091768</v>
      </c>
      <c r="T118" s="229"/>
      <c r="U118" s="229"/>
      <c r="V118" s="222">
        <f>+V119+V145</f>
        <v>1101530.4636705883</v>
      </c>
      <c r="W118" s="137"/>
      <c r="Y118" s="229"/>
      <c r="Z118" s="222"/>
      <c r="AA118" s="222">
        <v>925031.89789800008</v>
      </c>
      <c r="AB118" s="229"/>
      <c r="AC118" s="229"/>
      <c r="AD118" s="222">
        <v>573327.88761176472</v>
      </c>
    </row>
    <row r="119" spans="1:30" s="60" customFormat="1" ht="23.1" hidden="1" customHeight="1" outlineLevel="1" collapsed="1">
      <c r="A119" s="233">
        <v>1</v>
      </c>
      <c r="B119" s="234" t="s">
        <v>1054</v>
      </c>
      <c r="C119" s="235"/>
      <c r="D119" s="236"/>
      <c r="E119" s="137"/>
      <c r="F119" s="119"/>
      <c r="G119" s="222">
        <v>2525029.7121952027</v>
      </c>
      <c r="H119" s="137"/>
      <c r="I119" s="119"/>
      <c r="J119" s="222">
        <v>3186422.1599999997</v>
      </c>
      <c r="K119" s="229"/>
      <c r="L119" s="222"/>
      <c r="M119" s="222">
        <f>SUM(M120:M144)</f>
        <v>397886.81047000003</v>
      </c>
      <c r="N119" s="229"/>
      <c r="O119" s="229"/>
      <c r="P119" s="222">
        <f>SUM(P120:P144)</f>
        <v>261054.288</v>
      </c>
      <c r="Q119" s="229"/>
      <c r="R119" s="222"/>
      <c r="S119" s="222">
        <f>SUM(S120:S144)</f>
        <v>1304150.8823680002</v>
      </c>
      <c r="T119" s="229"/>
      <c r="U119" s="229"/>
      <c r="V119" s="222">
        <f>SUM(V120:V144)</f>
        <v>906565.68720000016</v>
      </c>
      <c r="W119" s="137"/>
      <c r="Y119" s="229"/>
      <c r="Z119" s="222"/>
      <c r="AA119" s="222">
        <v>906264.07189800008</v>
      </c>
      <c r="AB119" s="229"/>
      <c r="AC119" s="229"/>
      <c r="AD119" s="222">
        <v>326276.99820000003</v>
      </c>
    </row>
    <row r="120" spans="1:30" s="59" customFormat="1" ht="23.1" hidden="1" customHeight="1" outlineLevel="2">
      <c r="A120" s="171">
        <v>1.1000000000000001</v>
      </c>
      <c r="B120" s="113" t="s">
        <v>1063</v>
      </c>
      <c r="C120" s="237"/>
      <c r="D120" s="238" t="s">
        <v>247</v>
      </c>
      <c r="E120" s="123"/>
      <c r="F120" s="120">
        <v>84.07</v>
      </c>
      <c r="G120" s="205">
        <v>17493.33969784954</v>
      </c>
      <c r="H120" s="123"/>
      <c r="I120" s="120"/>
      <c r="J120" s="205">
        <v>30644.6</v>
      </c>
      <c r="K120" s="207">
        <f t="shared" ref="K120:K144" si="43">+Q120-Y120</f>
        <v>0</v>
      </c>
      <c r="L120" s="205">
        <f t="shared" ref="L120:L144" si="44">+R120</f>
        <v>84.07</v>
      </c>
      <c r="M120" s="205">
        <f t="shared" ref="M120:M144" si="45">+L120*K120</f>
        <v>0</v>
      </c>
      <c r="N120" s="207">
        <f>+K120</f>
        <v>0</v>
      </c>
      <c r="O120" s="207">
        <f>+U120</f>
        <v>78</v>
      </c>
      <c r="P120" s="205">
        <f t="shared" si="42"/>
        <v>0</v>
      </c>
      <c r="Q120" s="206"/>
      <c r="R120" s="205">
        <f>+F120</f>
        <v>84.07</v>
      </c>
      <c r="S120" s="205">
        <f t="shared" si="40"/>
        <v>0</v>
      </c>
      <c r="T120" s="207">
        <f>+Q120</f>
        <v>0</v>
      </c>
      <c r="U120" s="207">
        <v>78</v>
      </c>
      <c r="V120" s="205">
        <f t="shared" si="41"/>
        <v>0</v>
      </c>
      <c r="W120" s="123"/>
      <c r="Y120" s="207"/>
      <c r="Z120" s="205">
        <v>84.07</v>
      </c>
      <c r="AA120" s="205">
        <v>0</v>
      </c>
      <c r="AB120" s="207">
        <v>0</v>
      </c>
      <c r="AC120" s="207">
        <v>78</v>
      </c>
      <c r="AD120" s="205">
        <v>0</v>
      </c>
    </row>
    <row r="121" spans="1:30" s="59" customFormat="1" ht="23.1" hidden="1" customHeight="1" outlineLevel="2">
      <c r="A121" s="171">
        <v>1.2</v>
      </c>
      <c r="B121" s="113" t="s">
        <v>1125</v>
      </c>
      <c r="C121" s="237"/>
      <c r="D121" s="238" t="s">
        <v>247</v>
      </c>
      <c r="E121" s="123"/>
      <c r="F121" s="120">
        <v>74.41</v>
      </c>
      <c r="G121" s="205">
        <v>175530.19085174313</v>
      </c>
      <c r="H121" s="123"/>
      <c r="I121" s="120"/>
      <c r="J121" s="205">
        <v>343527.5</v>
      </c>
      <c r="K121" s="207">
        <f t="shared" si="43"/>
        <v>0</v>
      </c>
      <c r="L121" s="205">
        <f t="shared" si="44"/>
        <v>74.41</v>
      </c>
      <c r="M121" s="205">
        <f t="shared" si="45"/>
        <v>0</v>
      </c>
      <c r="N121" s="207">
        <f t="shared" ref="N121:N144" si="46">+K121</f>
        <v>0</v>
      </c>
      <c r="O121" s="207">
        <f t="shared" ref="O121:O144" si="47">+U121</f>
        <v>78</v>
      </c>
      <c r="P121" s="205">
        <f t="shared" si="42"/>
        <v>0</v>
      </c>
      <c r="Q121" s="206">
        <v>1134.5211999999999</v>
      </c>
      <c r="R121" s="205">
        <f t="shared" ref="R121:R144" si="48">+F121</f>
        <v>74.41</v>
      </c>
      <c r="S121" s="205">
        <f t="shared" si="40"/>
        <v>84419.722491999986</v>
      </c>
      <c r="T121" s="207">
        <f t="shared" ref="T121:T144" si="49">+Q121</f>
        <v>1134.5211999999999</v>
      </c>
      <c r="U121" s="207">
        <v>78</v>
      </c>
      <c r="V121" s="205">
        <f t="shared" si="41"/>
        <v>88492.653599999991</v>
      </c>
      <c r="W121" s="123"/>
      <c r="Y121" s="207">
        <v>1134.5211999999999</v>
      </c>
      <c r="Z121" s="205">
        <v>74.41</v>
      </c>
      <c r="AA121" s="205">
        <v>84419.722491999986</v>
      </c>
      <c r="AB121" s="207">
        <v>1134.5211999999999</v>
      </c>
      <c r="AC121" s="207">
        <v>78</v>
      </c>
      <c r="AD121" s="205">
        <v>88492.653599999991</v>
      </c>
    </row>
    <row r="122" spans="1:30" s="59" customFormat="1" ht="23.1" hidden="1" customHeight="1" outlineLevel="2">
      <c r="A122" s="171">
        <v>1.2999999999999998</v>
      </c>
      <c r="B122" s="113" t="s">
        <v>1070</v>
      </c>
      <c r="C122" s="237"/>
      <c r="D122" s="238" t="s">
        <v>247</v>
      </c>
      <c r="E122" s="123"/>
      <c r="F122" s="120">
        <v>88.66</v>
      </c>
      <c r="G122" s="205">
        <v>12603.522901078897</v>
      </c>
      <c r="H122" s="123"/>
      <c r="I122" s="120"/>
      <c r="J122" s="205">
        <v>21027.599999999999</v>
      </c>
      <c r="K122" s="207">
        <f t="shared" si="43"/>
        <v>0</v>
      </c>
      <c r="L122" s="205">
        <f t="shared" si="44"/>
        <v>88.66</v>
      </c>
      <c r="M122" s="205">
        <f t="shared" si="45"/>
        <v>0</v>
      </c>
      <c r="N122" s="207">
        <f t="shared" si="46"/>
        <v>0</v>
      </c>
      <c r="O122" s="207">
        <f t="shared" si="47"/>
        <v>78</v>
      </c>
      <c r="P122" s="205">
        <f t="shared" si="42"/>
        <v>0</v>
      </c>
      <c r="Q122" s="206"/>
      <c r="R122" s="205">
        <f t="shared" si="48"/>
        <v>88.66</v>
      </c>
      <c r="S122" s="205">
        <f t="shared" si="40"/>
        <v>0</v>
      </c>
      <c r="T122" s="207">
        <f t="shared" si="49"/>
        <v>0</v>
      </c>
      <c r="U122" s="207">
        <v>78</v>
      </c>
      <c r="V122" s="205">
        <f t="shared" si="41"/>
        <v>0</v>
      </c>
      <c r="W122" s="123"/>
      <c r="Y122" s="207"/>
      <c r="Z122" s="205">
        <v>88.66</v>
      </c>
      <c r="AA122" s="205">
        <v>0</v>
      </c>
      <c r="AB122" s="207">
        <v>0</v>
      </c>
      <c r="AC122" s="207">
        <v>78</v>
      </c>
      <c r="AD122" s="205">
        <v>0</v>
      </c>
    </row>
    <row r="123" spans="1:30" s="59" customFormat="1" ht="23.1" hidden="1" customHeight="1" outlineLevel="2">
      <c r="A123" s="171">
        <v>1.3999999999999997</v>
      </c>
      <c r="B123" s="113" t="s">
        <v>1070</v>
      </c>
      <c r="C123" s="237"/>
      <c r="D123" s="238" t="s">
        <v>247</v>
      </c>
      <c r="E123" s="123"/>
      <c r="F123" s="120">
        <v>103.37</v>
      </c>
      <c r="G123" s="205">
        <v>137307.00828893943</v>
      </c>
      <c r="H123" s="123"/>
      <c r="I123" s="120"/>
      <c r="J123" s="205">
        <v>197213.4</v>
      </c>
      <c r="K123" s="207">
        <f t="shared" si="43"/>
        <v>0</v>
      </c>
      <c r="L123" s="205">
        <f t="shared" si="44"/>
        <v>103.37</v>
      </c>
      <c r="M123" s="205">
        <f t="shared" si="45"/>
        <v>0</v>
      </c>
      <c r="N123" s="207">
        <f t="shared" si="46"/>
        <v>0</v>
      </c>
      <c r="O123" s="207">
        <f t="shared" si="47"/>
        <v>78</v>
      </c>
      <c r="P123" s="205">
        <f t="shared" si="42"/>
        <v>0</v>
      </c>
      <c r="Q123" s="206"/>
      <c r="R123" s="205">
        <f t="shared" si="48"/>
        <v>103.37</v>
      </c>
      <c r="S123" s="205">
        <f t="shared" si="40"/>
        <v>0</v>
      </c>
      <c r="T123" s="207">
        <f t="shared" si="49"/>
        <v>0</v>
      </c>
      <c r="U123" s="207">
        <v>78</v>
      </c>
      <c r="V123" s="205">
        <f t="shared" si="41"/>
        <v>0</v>
      </c>
      <c r="W123" s="123"/>
      <c r="Y123" s="207"/>
      <c r="Z123" s="205">
        <v>103.37</v>
      </c>
      <c r="AA123" s="205">
        <v>0</v>
      </c>
      <c r="AB123" s="207">
        <v>0</v>
      </c>
      <c r="AC123" s="207">
        <v>78</v>
      </c>
      <c r="AD123" s="205">
        <v>0</v>
      </c>
    </row>
    <row r="124" spans="1:30" s="59" customFormat="1" ht="23.1" hidden="1" customHeight="1" outlineLevel="2">
      <c r="A124" s="171">
        <v>1.4999999999999996</v>
      </c>
      <c r="B124" s="113" t="s">
        <v>1073</v>
      </c>
      <c r="C124" s="237"/>
      <c r="D124" s="238" t="s">
        <v>247</v>
      </c>
      <c r="E124" s="123"/>
      <c r="F124" s="120">
        <v>81.2</v>
      </c>
      <c r="G124" s="205">
        <v>44693.745183677071</v>
      </c>
      <c r="H124" s="123"/>
      <c r="I124" s="120"/>
      <c r="J124" s="205">
        <v>80761.56</v>
      </c>
      <c r="K124" s="207">
        <f t="shared" si="43"/>
        <v>0</v>
      </c>
      <c r="L124" s="205">
        <f t="shared" si="44"/>
        <v>81.2</v>
      </c>
      <c r="M124" s="205">
        <f t="shared" si="45"/>
        <v>0</v>
      </c>
      <c r="N124" s="207">
        <f t="shared" si="46"/>
        <v>0</v>
      </c>
      <c r="O124" s="207">
        <f t="shared" si="47"/>
        <v>78</v>
      </c>
      <c r="P124" s="205">
        <f t="shared" si="42"/>
        <v>0</v>
      </c>
      <c r="Q124" s="206">
        <v>192.803</v>
      </c>
      <c r="R124" s="205">
        <f t="shared" si="48"/>
        <v>81.2</v>
      </c>
      <c r="S124" s="205">
        <f t="shared" si="40"/>
        <v>15655.6036</v>
      </c>
      <c r="T124" s="207">
        <f t="shared" si="49"/>
        <v>192.803</v>
      </c>
      <c r="U124" s="207">
        <v>78</v>
      </c>
      <c r="V124" s="205">
        <f t="shared" si="41"/>
        <v>15038.634</v>
      </c>
      <c r="W124" s="123"/>
      <c r="Y124" s="207">
        <v>192.803</v>
      </c>
      <c r="Z124" s="205">
        <v>81.2</v>
      </c>
      <c r="AA124" s="205">
        <v>15655.6036</v>
      </c>
      <c r="AB124" s="207">
        <v>192.803</v>
      </c>
      <c r="AC124" s="207">
        <v>78</v>
      </c>
      <c r="AD124" s="205">
        <v>15038.634</v>
      </c>
    </row>
    <row r="125" spans="1:30" s="59" customFormat="1" ht="23.1" hidden="1" customHeight="1" outlineLevel="2">
      <c r="A125" s="171">
        <v>1.5999999999999994</v>
      </c>
      <c r="B125" s="113" t="s">
        <v>1073</v>
      </c>
      <c r="C125" s="237"/>
      <c r="D125" s="238" t="s">
        <v>247</v>
      </c>
      <c r="E125" s="123"/>
      <c r="F125" s="120">
        <v>88.86</v>
      </c>
      <c r="G125" s="205">
        <v>1222.1745924814682</v>
      </c>
      <c r="H125" s="123"/>
      <c r="I125" s="120"/>
      <c r="J125" s="205">
        <v>2022.52</v>
      </c>
      <c r="K125" s="207">
        <f t="shared" si="43"/>
        <v>0</v>
      </c>
      <c r="L125" s="205">
        <f t="shared" si="44"/>
        <v>88.86</v>
      </c>
      <c r="M125" s="205">
        <f t="shared" si="45"/>
        <v>0</v>
      </c>
      <c r="N125" s="207">
        <f t="shared" si="46"/>
        <v>0</v>
      </c>
      <c r="O125" s="207">
        <f t="shared" si="47"/>
        <v>78</v>
      </c>
      <c r="P125" s="205">
        <f t="shared" si="42"/>
        <v>0</v>
      </c>
      <c r="Q125" s="206"/>
      <c r="R125" s="205">
        <f t="shared" si="48"/>
        <v>88.86</v>
      </c>
      <c r="S125" s="205">
        <f t="shared" si="40"/>
        <v>0</v>
      </c>
      <c r="T125" s="207">
        <f t="shared" si="49"/>
        <v>0</v>
      </c>
      <c r="U125" s="207">
        <v>78</v>
      </c>
      <c r="V125" s="205">
        <f t="shared" si="41"/>
        <v>0</v>
      </c>
      <c r="W125" s="123"/>
      <c r="Y125" s="207"/>
      <c r="Z125" s="205">
        <v>88.86</v>
      </c>
      <c r="AA125" s="205">
        <v>0</v>
      </c>
      <c r="AB125" s="207">
        <v>0</v>
      </c>
      <c r="AC125" s="207">
        <v>78</v>
      </c>
      <c r="AD125" s="205">
        <v>0</v>
      </c>
    </row>
    <row r="126" spans="1:30" s="59" customFormat="1" ht="23.1" hidden="1" customHeight="1" outlineLevel="2">
      <c r="A126" s="171">
        <v>1.6999999999999993</v>
      </c>
      <c r="B126" s="113" t="s">
        <v>1073</v>
      </c>
      <c r="C126" s="237"/>
      <c r="D126" s="238" t="s">
        <v>247</v>
      </c>
      <c r="E126" s="123"/>
      <c r="F126" s="120">
        <v>93.4</v>
      </c>
      <c r="G126" s="205">
        <v>757.19166684770653</v>
      </c>
      <c r="H126" s="123"/>
      <c r="I126" s="120"/>
      <c r="J126" s="205">
        <v>1189.44</v>
      </c>
      <c r="K126" s="207">
        <f t="shared" si="43"/>
        <v>0</v>
      </c>
      <c r="L126" s="205">
        <f t="shared" si="44"/>
        <v>93.4</v>
      </c>
      <c r="M126" s="205">
        <f t="shared" si="45"/>
        <v>0</v>
      </c>
      <c r="N126" s="207">
        <f t="shared" si="46"/>
        <v>0</v>
      </c>
      <c r="O126" s="207">
        <f t="shared" si="47"/>
        <v>78</v>
      </c>
      <c r="P126" s="205">
        <f t="shared" si="42"/>
        <v>0</v>
      </c>
      <c r="Q126" s="206"/>
      <c r="R126" s="205">
        <f t="shared" si="48"/>
        <v>93.4</v>
      </c>
      <c r="S126" s="205">
        <f t="shared" si="40"/>
        <v>0</v>
      </c>
      <c r="T126" s="207">
        <f t="shared" si="49"/>
        <v>0</v>
      </c>
      <c r="U126" s="207">
        <v>78</v>
      </c>
      <c r="V126" s="205">
        <f t="shared" si="41"/>
        <v>0</v>
      </c>
      <c r="W126" s="123"/>
      <c r="Y126" s="207"/>
      <c r="Z126" s="205">
        <v>93.4</v>
      </c>
      <c r="AA126" s="205">
        <v>0</v>
      </c>
      <c r="AB126" s="207">
        <v>0</v>
      </c>
      <c r="AC126" s="207">
        <v>78</v>
      </c>
      <c r="AD126" s="205">
        <v>0</v>
      </c>
    </row>
    <row r="127" spans="1:30" s="59" customFormat="1" ht="23.1" hidden="1" customHeight="1" outlineLevel="2">
      <c r="A127" s="171">
        <v>1.7999999999999992</v>
      </c>
      <c r="B127" s="113" t="s">
        <v>1077</v>
      </c>
      <c r="C127" s="237"/>
      <c r="D127" s="238" t="s">
        <v>247</v>
      </c>
      <c r="E127" s="123"/>
      <c r="F127" s="120">
        <v>84.56</v>
      </c>
      <c r="G127" s="205">
        <v>6893.0049219082575</v>
      </c>
      <c r="H127" s="123"/>
      <c r="I127" s="120"/>
      <c r="J127" s="205">
        <v>11952.22</v>
      </c>
      <c r="K127" s="207">
        <f t="shared" si="43"/>
        <v>0</v>
      </c>
      <c r="L127" s="205">
        <f t="shared" si="44"/>
        <v>84.56</v>
      </c>
      <c r="M127" s="205">
        <f t="shared" si="45"/>
        <v>0</v>
      </c>
      <c r="N127" s="207">
        <f t="shared" si="46"/>
        <v>0</v>
      </c>
      <c r="O127" s="207">
        <f t="shared" si="47"/>
        <v>78</v>
      </c>
      <c r="P127" s="205">
        <f t="shared" si="42"/>
        <v>0</v>
      </c>
      <c r="Q127" s="206">
        <v>362.65480000000002</v>
      </c>
      <c r="R127" s="205">
        <f t="shared" si="48"/>
        <v>84.56</v>
      </c>
      <c r="S127" s="205">
        <f t="shared" si="40"/>
        <v>30666.089888000002</v>
      </c>
      <c r="T127" s="207">
        <f t="shared" si="49"/>
        <v>362.65480000000002</v>
      </c>
      <c r="U127" s="207">
        <v>78</v>
      </c>
      <c r="V127" s="205">
        <f t="shared" si="41"/>
        <v>28287.074400000001</v>
      </c>
      <c r="W127" s="123"/>
      <c r="Y127" s="207">
        <v>362.65480000000002</v>
      </c>
      <c r="Z127" s="205">
        <v>84.56</v>
      </c>
      <c r="AA127" s="205">
        <v>30666.089888000002</v>
      </c>
      <c r="AB127" s="207">
        <v>362.65480000000002</v>
      </c>
      <c r="AC127" s="207">
        <v>78</v>
      </c>
      <c r="AD127" s="205">
        <v>28287.074400000001</v>
      </c>
    </row>
    <row r="128" spans="1:30" s="59" customFormat="1" ht="23.1" hidden="1" customHeight="1" outlineLevel="2">
      <c r="A128" s="171">
        <v>1.899999999999999</v>
      </c>
      <c r="B128" s="113" t="s">
        <v>1077</v>
      </c>
      <c r="C128" s="237"/>
      <c r="D128" s="238" t="s">
        <v>247</v>
      </c>
      <c r="E128" s="123"/>
      <c r="F128" s="120">
        <v>85.03</v>
      </c>
      <c r="G128" s="205">
        <v>43591.351241914126</v>
      </c>
      <c r="H128" s="123"/>
      <c r="I128" s="120"/>
      <c r="J128" s="205">
        <v>75145.94</v>
      </c>
      <c r="K128" s="207">
        <f t="shared" si="43"/>
        <v>0</v>
      </c>
      <c r="L128" s="205">
        <f t="shared" si="44"/>
        <v>85.03</v>
      </c>
      <c r="M128" s="205">
        <f t="shared" si="45"/>
        <v>0</v>
      </c>
      <c r="N128" s="207">
        <f t="shared" si="46"/>
        <v>0</v>
      </c>
      <c r="O128" s="207">
        <f t="shared" si="47"/>
        <v>78</v>
      </c>
      <c r="P128" s="205">
        <f t="shared" si="42"/>
        <v>0</v>
      </c>
      <c r="Q128" s="206"/>
      <c r="R128" s="205">
        <f t="shared" si="48"/>
        <v>85.03</v>
      </c>
      <c r="S128" s="205">
        <f t="shared" si="40"/>
        <v>0</v>
      </c>
      <c r="T128" s="207">
        <f t="shared" si="49"/>
        <v>0</v>
      </c>
      <c r="U128" s="207">
        <v>78</v>
      </c>
      <c r="V128" s="205">
        <f t="shared" si="41"/>
        <v>0</v>
      </c>
      <c r="W128" s="123"/>
      <c r="Y128" s="207"/>
      <c r="Z128" s="205">
        <v>85.03</v>
      </c>
      <c r="AA128" s="205">
        <v>0</v>
      </c>
      <c r="AB128" s="207">
        <v>0</v>
      </c>
      <c r="AC128" s="207">
        <v>78</v>
      </c>
      <c r="AD128" s="205">
        <v>0</v>
      </c>
    </row>
    <row r="129" spans="1:30" s="59" customFormat="1" ht="23.1" hidden="1" customHeight="1" outlineLevel="2">
      <c r="A129" s="239">
        <v>1.1000000000000001</v>
      </c>
      <c r="B129" s="113" t="s">
        <v>1077</v>
      </c>
      <c r="C129" s="237"/>
      <c r="D129" s="238" t="s">
        <v>247</v>
      </c>
      <c r="E129" s="123"/>
      <c r="F129" s="120">
        <v>85.95</v>
      </c>
      <c r="G129" s="205">
        <v>8109.1257635229367</v>
      </c>
      <c r="H129" s="123"/>
      <c r="I129" s="120"/>
      <c r="J129" s="205">
        <v>13820.16</v>
      </c>
      <c r="K129" s="207">
        <f t="shared" si="43"/>
        <v>0</v>
      </c>
      <c r="L129" s="205">
        <f t="shared" si="44"/>
        <v>85.95</v>
      </c>
      <c r="M129" s="205">
        <f t="shared" si="45"/>
        <v>0</v>
      </c>
      <c r="N129" s="207">
        <f t="shared" si="46"/>
        <v>0</v>
      </c>
      <c r="O129" s="207">
        <f t="shared" si="47"/>
        <v>78</v>
      </c>
      <c r="P129" s="205">
        <f t="shared" si="42"/>
        <v>0</v>
      </c>
      <c r="Q129" s="206"/>
      <c r="R129" s="205">
        <f t="shared" si="48"/>
        <v>85.95</v>
      </c>
      <c r="S129" s="205">
        <f t="shared" si="40"/>
        <v>0</v>
      </c>
      <c r="T129" s="207">
        <f t="shared" si="49"/>
        <v>0</v>
      </c>
      <c r="U129" s="207">
        <v>78</v>
      </c>
      <c r="V129" s="205">
        <f t="shared" si="41"/>
        <v>0</v>
      </c>
      <c r="W129" s="123"/>
      <c r="Y129" s="207"/>
      <c r="Z129" s="205">
        <v>85.95</v>
      </c>
      <c r="AA129" s="205">
        <v>0</v>
      </c>
      <c r="AB129" s="207">
        <v>0</v>
      </c>
      <c r="AC129" s="207">
        <v>78</v>
      </c>
      <c r="AD129" s="205">
        <v>0</v>
      </c>
    </row>
    <row r="130" spans="1:30" s="59" customFormat="1" ht="23.1" hidden="1" customHeight="1" outlineLevel="2">
      <c r="A130" s="171">
        <v>1.1100000000000001</v>
      </c>
      <c r="B130" s="113" t="s">
        <v>1084</v>
      </c>
      <c r="C130" s="237"/>
      <c r="D130" s="238" t="s">
        <v>247</v>
      </c>
      <c r="E130" s="123"/>
      <c r="F130" s="120">
        <v>108.2</v>
      </c>
      <c r="G130" s="205">
        <v>1512.0757247119263</v>
      </c>
      <c r="H130" s="123"/>
      <c r="I130" s="120"/>
      <c r="J130" s="205">
        <v>2088.6</v>
      </c>
      <c r="K130" s="207">
        <f t="shared" si="43"/>
        <v>0</v>
      </c>
      <c r="L130" s="205">
        <f t="shared" si="44"/>
        <v>108.2</v>
      </c>
      <c r="M130" s="205">
        <f t="shared" si="45"/>
        <v>0</v>
      </c>
      <c r="N130" s="207">
        <f t="shared" si="46"/>
        <v>0</v>
      </c>
      <c r="O130" s="207">
        <f t="shared" si="47"/>
        <v>78</v>
      </c>
      <c r="P130" s="205">
        <f t="shared" si="42"/>
        <v>0</v>
      </c>
      <c r="Q130" s="206">
        <v>8.0691000000000006</v>
      </c>
      <c r="R130" s="205">
        <f t="shared" si="48"/>
        <v>108.2</v>
      </c>
      <c r="S130" s="205">
        <f t="shared" si="40"/>
        <v>873.07662000000005</v>
      </c>
      <c r="T130" s="207">
        <f t="shared" si="49"/>
        <v>8.0691000000000006</v>
      </c>
      <c r="U130" s="207">
        <v>78</v>
      </c>
      <c r="V130" s="205">
        <f t="shared" si="41"/>
        <v>629.38980000000004</v>
      </c>
      <c r="W130" s="123"/>
      <c r="Y130" s="207">
        <v>8.0691000000000006</v>
      </c>
      <c r="Z130" s="205">
        <v>108.2</v>
      </c>
      <c r="AA130" s="205">
        <v>873.07662000000005</v>
      </c>
      <c r="AB130" s="207">
        <v>8.0691000000000006</v>
      </c>
      <c r="AC130" s="207">
        <v>78</v>
      </c>
      <c r="AD130" s="205">
        <v>629.38980000000004</v>
      </c>
    </row>
    <row r="131" spans="1:30" s="59" customFormat="1" ht="23.1" hidden="1" customHeight="1" outlineLevel="2">
      <c r="A131" s="239">
        <v>1.1200000000000001</v>
      </c>
      <c r="B131" s="113" t="s">
        <v>1086</v>
      </c>
      <c r="C131" s="237"/>
      <c r="D131" s="238" t="s">
        <v>247</v>
      </c>
      <c r="E131" s="123"/>
      <c r="F131" s="120">
        <v>84.07</v>
      </c>
      <c r="G131" s="205">
        <v>33930.477753564766</v>
      </c>
      <c r="H131" s="123"/>
      <c r="I131" s="120"/>
      <c r="J131" s="205">
        <v>0</v>
      </c>
      <c r="K131" s="207">
        <f t="shared" si="43"/>
        <v>0</v>
      </c>
      <c r="L131" s="205">
        <f t="shared" si="44"/>
        <v>84.07</v>
      </c>
      <c r="M131" s="205">
        <f t="shared" si="45"/>
        <v>0</v>
      </c>
      <c r="N131" s="207">
        <f t="shared" si="46"/>
        <v>0</v>
      </c>
      <c r="O131" s="207">
        <f t="shared" si="47"/>
        <v>78</v>
      </c>
      <c r="P131" s="205">
        <f t="shared" si="42"/>
        <v>0</v>
      </c>
      <c r="Q131" s="206"/>
      <c r="R131" s="205">
        <f t="shared" si="48"/>
        <v>84.07</v>
      </c>
      <c r="S131" s="205">
        <f t="shared" si="40"/>
        <v>0</v>
      </c>
      <c r="T131" s="207">
        <f t="shared" si="49"/>
        <v>0</v>
      </c>
      <c r="U131" s="207">
        <v>78</v>
      </c>
      <c r="V131" s="205">
        <f t="shared" si="41"/>
        <v>0</v>
      </c>
      <c r="W131" s="123"/>
      <c r="Y131" s="207"/>
      <c r="Z131" s="205">
        <v>84.07</v>
      </c>
      <c r="AA131" s="205">
        <v>0</v>
      </c>
      <c r="AB131" s="207">
        <v>0</v>
      </c>
      <c r="AC131" s="207">
        <v>78</v>
      </c>
      <c r="AD131" s="205">
        <v>0</v>
      </c>
    </row>
    <row r="132" spans="1:30" s="59" customFormat="1" ht="23.1" hidden="1" customHeight="1" outlineLevel="2">
      <c r="A132" s="171">
        <v>1.1300000000000001</v>
      </c>
      <c r="B132" s="113" t="s">
        <v>1088</v>
      </c>
      <c r="C132" s="237"/>
      <c r="D132" s="238" t="s">
        <v>247</v>
      </c>
      <c r="E132" s="123"/>
      <c r="F132" s="120">
        <v>160.82</v>
      </c>
      <c r="G132" s="205">
        <v>2708.6696227376146</v>
      </c>
      <c r="H132" s="123"/>
      <c r="I132" s="120"/>
      <c r="J132" s="205">
        <v>2483.9</v>
      </c>
      <c r="K132" s="207">
        <f t="shared" si="43"/>
        <v>0</v>
      </c>
      <c r="L132" s="205">
        <f t="shared" si="44"/>
        <v>160.82</v>
      </c>
      <c r="M132" s="205">
        <f t="shared" si="45"/>
        <v>0</v>
      </c>
      <c r="N132" s="207">
        <f t="shared" si="46"/>
        <v>0</v>
      </c>
      <c r="O132" s="207">
        <f t="shared" si="47"/>
        <v>78</v>
      </c>
      <c r="P132" s="205">
        <f t="shared" si="42"/>
        <v>0</v>
      </c>
      <c r="Q132" s="206"/>
      <c r="R132" s="205">
        <f t="shared" si="48"/>
        <v>160.82</v>
      </c>
      <c r="S132" s="205">
        <f t="shared" si="40"/>
        <v>0</v>
      </c>
      <c r="T132" s="207">
        <f t="shared" si="49"/>
        <v>0</v>
      </c>
      <c r="U132" s="207">
        <v>78</v>
      </c>
      <c r="V132" s="205">
        <f t="shared" si="41"/>
        <v>0</v>
      </c>
      <c r="W132" s="123"/>
      <c r="Y132" s="207"/>
      <c r="Z132" s="205">
        <v>160.82</v>
      </c>
      <c r="AA132" s="205">
        <v>0</v>
      </c>
      <c r="AB132" s="207">
        <v>0</v>
      </c>
      <c r="AC132" s="207">
        <v>78</v>
      </c>
      <c r="AD132" s="205">
        <v>0</v>
      </c>
    </row>
    <row r="133" spans="1:30" s="59" customFormat="1" ht="23.1" hidden="1" customHeight="1" outlineLevel="2">
      <c r="A133" s="239">
        <v>1.1400000000000001</v>
      </c>
      <c r="B133" s="113" t="s">
        <v>1090</v>
      </c>
      <c r="C133" s="237"/>
      <c r="D133" s="238" t="s">
        <v>247</v>
      </c>
      <c r="E133" s="123"/>
      <c r="F133" s="120">
        <v>92.78</v>
      </c>
      <c r="G133" s="205">
        <v>1769.5265442759635</v>
      </c>
      <c r="H133" s="123"/>
      <c r="I133" s="120"/>
      <c r="J133" s="205">
        <v>0</v>
      </c>
      <c r="K133" s="207">
        <f t="shared" si="43"/>
        <v>0</v>
      </c>
      <c r="L133" s="205">
        <f t="shared" si="44"/>
        <v>92.78</v>
      </c>
      <c r="M133" s="205">
        <f t="shared" si="45"/>
        <v>0</v>
      </c>
      <c r="N133" s="207">
        <f t="shared" si="46"/>
        <v>0</v>
      </c>
      <c r="O133" s="207">
        <f t="shared" si="47"/>
        <v>78</v>
      </c>
      <c r="P133" s="205">
        <f t="shared" si="42"/>
        <v>0</v>
      </c>
      <c r="Q133" s="206"/>
      <c r="R133" s="205">
        <f t="shared" si="48"/>
        <v>92.78</v>
      </c>
      <c r="S133" s="205">
        <f t="shared" si="40"/>
        <v>0</v>
      </c>
      <c r="T133" s="207">
        <f t="shared" si="49"/>
        <v>0</v>
      </c>
      <c r="U133" s="207">
        <v>78</v>
      </c>
      <c r="V133" s="205">
        <f t="shared" si="41"/>
        <v>0</v>
      </c>
      <c r="W133" s="123"/>
      <c r="Y133" s="207"/>
      <c r="Z133" s="205">
        <v>92.78</v>
      </c>
      <c r="AA133" s="205">
        <v>0</v>
      </c>
      <c r="AB133" s="207">
        <v>0</v>
      </c>
      <c r="AC133" s="207">
        <v>78</v>
      </c>
      <c r="AD133" s="205">
        <v>0</v>
      </c>
    </row>
    <row r="134" spans="1:30" s="59" customFormat="1" ht="23.1" hidden="1" customHeight="1" outlineLevel="2">
      <c r="A134" s="171">
        <v>1.1500000000000001</v>
      </c>
      <c r="B134" s="113" t="s">
        <v>1092</v>
      </c>
      <c r="C134" s="237"/>
      <c r="D134" s="238" t="s">
        <v>247</v>
      </c>
      <c r="E134" s="123"/>
      <c r="F134" s="120">
        <v>108.08</v>
      </c>
      <c r="G134" s="205">
        <v>4004.5068309137614</v>
      </c>
      <c r="H134" s="123"/>
      <c r="I134" s="120"/>
      <c r="J134" s="205">
        <v>0</v>
      </c>
      <c r="K134" s="207">
        <f t="shared" si="43"/>
        <v>0</v>
      </c>
      <c r="L134" s="205">
        <f t="shared" si="44"/>
        <v>108.08</v>
      </c>
      <c r="M134" s="205">
        <f t="shared" si="45"/>
        <v>0</v>
      </c>
      <c r="N134" s="207">
        <f t="shared" si="46"/>
        <v>0</v>
      </c>
      <c r="O134" s="207">
        <f t="shared" si="47"/>
        <v>78</v>
      </c>
      <c r="P134" s="205">
        <f t="shared" si="42"/>
        <v>0</v>
      </c>
      <c r="Q134" s="206"/>
      <c r="R134" s="205">
        <f t="shared" si="48"/>
        <v>108.08</v>
      </c>
      <c r="S134" s="205">
        <f t="shared" si="40"/>
        <v>0</v>
      </c>
      <c r="T134" s="207">
        <f t="shared" si="49"/>
        <v>0</v>
      </c>
      <c r="U134" s="207">
        <v>78</v>
      </c>
      <c r="V134" s="205">
        <f t="shared" si="41"/>
        <v>0</v>
      </c>
      <c r="W134" s="123"/>
      <c r="Y134" s="207"/>
      <c r="Z134" s="205">
        <v>108.08</v>
      </c>
      <c r="AA134" s="205">
        <v>0</v>
      </c>
      <c r="AB134" s="207">
        <v>0</v>
      </c>
      <c r="AC134" s="207">
        <v>78</v>
      </c>
      <c r="AD134" s="205">
        <v>0</v>
      </c>
    </row>
    <row r="135" spans="1:30" s="59" customFormat="1" ht="23.1" hidden="1" customHeight="1" outlineLevel="2">
      <c r="A135" s="239">
        <v>1.1600000000000001</v>
      </c>
      <c r="B135" s="113" t="s">
        <v>1094</v>
      </c>
      <c r="C135" s="237"/>
      <c r="D135" s="238" t="s">
        <v>247</v>
      </c>
      <c r="E135" s="123"/>
      <c r="F135" s="120">
        <v>88.61</v>
      </c>
      <c r="G135" s="205">
        <v>9910.0566561467876</v>
      </c>
      <c r="H135" s="123"/>
      <c r="I135" s="120"/>
      <c r="J135" s="205">
        <v>16461</v>
      </c>
      <c r="K135" s="207">
        <f t="shared" si="43"/>
        <v>0</v>
      </c>
      <c r="L135" s="205">
        <f t="shared" si="44"/>
        <v>88.61</v>
      </c>
      <c r="M135" s="205">
        <f t="shared" si="45"/>
        <v>0</v>
      </c>
      <c r="N135" s="207">
        <f t="shared" si="46"/>
        <v>0</v>
      </c>
      <c r="O135" s="207">
        <f t="shared" si="47"/>
        <v>78</v>
      </c>
      <c r="P135" s="205">
        <f t="shared" si="42"/>
        <v>0</v>
      </c>
      <c r="Q135" s="206">
        <v>29.341100000000001</v>
      </c>
      <c r="R135" s="205">
        <f t="shared" si="48"/>
        <v>88.61</v>
      </c>
      <c r="S135" s="205">
        <f t="shared" si="40"/>
        <v>2599.9148709999999</v>
      </c>
      <c r="T135" s="207">
        <f t="shared" si="49"/>
        <v>29.341100000000001</v>
      </c>
      <c r="U135" s="207">
        <v>78</v>
      </c>
      <c r="V135" s="205">
        <f t="shared" si="41"/>
        <v>2288.6058000000003</v>
      </c>
      <c r="W135" s="123"/>
      <c r="Y135" s="207">
        <v>29.341100000000001</v>
      </c>
      <c r="Z135" s="205">
        <v>88.61</v>
      </c>
      <c r="AA135" s="205">
        <v>2599.9148709999999</v>
      </c>
      <c r="AB135" s="207">
        <v>29.341100000000001</v>
      </c>
      <c r="AC135" s="207">
        <v>78</v>
      </c>
      <c r="AD135" s="205">
        <v>2288.6058000000003</v>
      </c>
    </row>
    <row r="136" spans="1:30" s="59" customFormat="1" ht="23.1" hidden="1" customHeight="1" outlineLevel="2">
      <c r="A136" s="171">
        <v>1.1700000000000002</v>
      </c>
      <c r="B136" s="113" t="s">
        <v>1138</v>
      </c>
      <c r="C136" s="237"/>
      <c r="D136" s="238" t="s">
        <v>247</v>
      </c>
      <c r="E136" s="123"/>
      <c r="F136" s="120">
        <v>116.3</v>
      </c>
      <c r="G136" s="205">
        <v>5948.520103292477</v>
      </c>
      <c r="H136" s="123"/>
      <c r="I136" s="120"/>
      <c r="J136" s="205">
        <v>7580.32</v>
      </c>
      <c r="K136" s="207">
        <f t="shared" si="43"/>
        <v>0</v>
      </c>
      <c r="L136" s="205">
        <f t="shared" si="44"/>
        <v>116.3</v>
      </c>
      <c r="M136" s="205">
        <f t="shared" si="45"/>
        <v>0</v>
      </c>
      <c r="N136" s="207">
        <f t="shared" si="46"/>
        <v>0</v>
      </c>
      <c r="O136" s="207">
        <f t="shared" si="47"/>
        <v>78</v>
      </c>
      <c r="P136" s="205">
        <f t="shared" si="42"/>
        <v>0</v>
      </c>
      <c r="Q136" s="206"/>
      <c r="R136" s="205">
        <f t="shared" si="48"/>
        <v>116.3</v>
      </c>
      <c r="S136" s="205">
        <f t="shared" si="40"/>
        <v>0</v>
      </c>
      <c r="T136" s="207">
        <f t="shared" si="49"/>
        <v>0</v>
      </c>
      <c r="U136" s="207">
        <v>78</v>
      </c>
      <c r="V136" s="205">
        <f t="shared" si="41"/>
        <v>0</v>
      </c>
      <c r="W136" s="123"/>
      <c r="Y136" s="207"/>
      <c r="Z136" s="205">
        <v>116.3</v>
      </c>
      <c r="AA136" s="205">
        <v>0</v>
      </c>
      <c r="AB136" s="207">
        <v>0</v>
      </c>
      <c r="AC136" s="207">
        <v>78</v>
      </c>
      <c r="AD136" s="205">
        <v>0</v>
      </c>
    </row>
    <row r="137" spans="1:30" s="59" customFormat="1" ht="23.1" hidden="1" customHeight="1" outlineLevel="2">
      <c r="A137" s="239">
        <v>1.1800000000000002</v>
      </c>
      <c r="B137" s="113" t="s">
        <v>1140</v>
      </c>
      <c r="C137" s="237"/>
      <c r="D137" s="238" t="s">
        <v>247</v>
      </c>
      <c r="E137" s="123"/>
      <c r="F137" s="120">
        <v>131.07</v>
      </c>
      <c r="G137" s="205">
        <v>10567.767897247706</v>
      </c>
      <c r="H137" s="123"/>
      <c r="I137" s="120"/>
      <c r="J137" s="205">
        <v>11800</v>
      </c>
      <c r="K137" s="207">
        <f t="shared" si="43"/>
        <v>0</v>
      </c>
      <c r="L137" s="205">
        <f t="shared" si="44"/>
        <v>131.07</v>
      </c>
      <c r="M137" s="205">
        <f t="shared" si="45"/>
        <v>0</v>
      </c>
      <c r="N137" s="207">
        <f t="shared" si="46"/>
        <v>0</v>
      </c>
      <c r="O137" s="207">
        <f t="shared" si="47"/>
        <v>78</v>
      </c>
      <c r="P137" s="205">
        <f t="shared" si="42"/>
        <v>0</v>
      </c>
      <c r="Q137" s="206"/>
      <c r="R137" s="205">
        <f t="shared" si="48"/>
        <v>131.07</v>
      </c>
      <c r="S137" s="205">
        <f t="shared" si="40"/>
        <v>0</v>
      </c>
      <c r="T137" s="207">
        <f t="shared" si="49"/>
        <v>0</v>
      </c>
      <c r="U137" s="207">
        <v>78</v>
      </c>
      <c r="V137" s="205">
        <f t="shared" si="41"/>
        <v>0</v>
      </c>
      <c r="W137" s="123"/>
      <c r="Y137" s="207"/>
      <c r="Z137" s="205">
        <v>131.07</v>
      </c>
      <c r="AA137" s="205">
        <v>0</v>
      </c>
      <c r="AB137" s="207">
        <v>0</v>
      </c>
      <c r="AC137" s="207">
        <v>78</v>
      </c>
      <c r="AD137" s="205">
        <v>0</v>
      </c>
    </row>
    <row r="138" spans="1:30" s="59" customFormat="1" ht="23.1" hidden="1" customHeight="1" outlineLevel="2">
      <c r="A138" s="171">
        <v>1.1900000000000002</v>
      </c>
      <c r="B138" s="113" t="s">
        <v>1096</v>
      </c>
      <c r="C138" s="237"/>
      <c r="D138" s="238" t="s">
        <v>247</v>
      </c>
      <c r="E138" s="123"/>
      <c r="F138" s="120">
        <v>96.91</v>
      </c>
      <c r="G138" s="205">
        <v>7727.1230532110112</v>
      </c>
      <c r="H138" s="123"/>
      <c r="I138" s="120"/>
      <c r="J138" s="205">
        <v>0</v>
      </c>
      <c r="K138" s="207">
        <f t="shared" si="43"/>
        <v>0</v>
      </c>
      <c r="L138" s="205">
        <f t="shared" si="44"/>
        <v>96.91</v>
      </c>
      <c r="M138" s="205">
        <f t="shared" si="45"/>
        <v>0</v>
      </c>
      <c r="N138" s="207">
        <f t="shared" si="46"/>
        <v>0</v>
      </c>
      <c r="O138" s="207">
        <f t="shared" si="47"/>
        <v>78</v>
      </c>
      <c r="P138" s="205">
        <f t="shared" si="42"/>
        <v>0</v>
      </c>
      <c r="Q138" s="206"/>
      <c r="R138" s="205">
        <f t="shared" si="48"/>
        <v>96.91</v>
      </c>
      <c r="S138" s="205">
        <f t="shared" si="40"/>
        <v>0</v>
      </c>
      <c r="T138" s="207">
        <f t="shared" si="49"/>
        <v>0</v>
      </c>
      <c r="U138" s="207">
        <v>78</v>
      </c>
      <c r="V138" s="205">
        <f t="shared" si="41"/>
        <v>0</v>
      </c>
      <c r="W138" s="123"/>
      <c r="Y138" s="207"/>
      <c r="Z138" s="205">
        <v>96.91</v>
      </c>
      <c r="AA138" s="205">
        <v>0</v>
      </c>
      <c r="AB138" s="207">
        <v>0</v>
      </c>
      <c r="AC138" s="207">
        <v>78</v>
      </c>
      <c r="AD138" s="205">
        <v>0</v>
      </c>
    </row>
    <row r="139" spans="1:30" s="59" customFormat="1" ht="23.1" hidden="1" customHeight="1" outlineLevel="2">
      <c r="A139" s="239">
        <v>1.2000000000000002</v>
      </c>
      <c r="B139" s="113" t="s">
        <v>1149</v>
      </c>
      <c r="C139" s="237"/>
      <c r="D139" s="238" t="s">
        <v>247</v>
      </c>
      <c r="E139" s="123"/>
      <c r="F139" s="120">
        <v>74.540000000000006</v>
      </c>
      <c r="G139" s="205">
        <v>4405.8384458686232</v>
      </c>
      <c r="H139" s="123"/>
      <c r="I139" s="120"/>
      <c r="J139" s="205">
        <v>5073.6000000000004</v>
      </c>
      <c r="K139" s="207">
        <f t="shared" si="43"/>
        <v>0</v>
      </c>
      <c r="L139" s="205">
        <f t="shared" si="44"/>
        <v>74.540000000000006</v>
      </c>
      <c r="M139" s="205">
        <f t="shared" si="45"/>
        <v>0</v>
      </c>
      <c r="N139" s="207">
        <f t="shared" si="46"/>
        <v>0</v>
      </c>
      <c r="O139" s="207">
        <f t="shared" si="47"/>
        <v>48</v>
      </c>
      <c r="P139" s="205">
        <f t="shared" si="42"/>
        <v>0</v>
      </c>
      <c r="Q139" s="206">
        <v>17.706</v>
      </c>
      <c r="R139" s="205">
        <f t="shared" si="48"/>
        <v>74.540000000000006</v>
      </c>
      <c r="S139" s="205">
        <f t="shared" si="40"/>
        <v>1319.8052400000001</v>
      </c>
      <c r="T139" s="207">
        <f t="shared" si="49"/>
        <v>17.706</v>
      </c>
      <c r="U139" s="207">
        <v>48</v>
      </c>
      <c r="V139" s="205">
        <f t="shared" si="41"/>
        <v>849.88799999999992</v>
      </c>
      <c r="W139" s="123"/>
      <c r="Y139" s="207">
        <v>17.706</v>
      </c>
      <c r="Z139" s="205">
        <v>74.540000000000006</v>
      </c>
      <c r="AA139" s="205">
        <v>1319.8052400000001</v>
      </c>
      <c r="AB139" s="207">
        <v>17.706</v>
      </c>
      <c r="AC139" s="207">
        <v>18</v>
      </c>
      <c r="AD139" s="205">
        <v>318.70799999999997</v>
      </c>
    </row>
    <row r="140" spans="1:30" s="59" customFormat="1" ht="23.1" hidden="1" customHeight="1" outlineLevel="2">
      <c r="A140" s="171">
        <v>1.2100000000000002</v>
      </c>
      <c r="B140" s="113" t="s">
        <v>1150</v>
      </c>
      <c r="C140" s="237"/>
      <c r="D140" s="238" t="s">
        <v>247</v>
      </c>
      <c r="E140" s="123"/>
      <c r="F140" s="120">
        <v>71.95</v>
      </c>
      <c r="G140" s="205">
        <v>1325222.453863997</v>
      </c>
      <c r="H140" s="123"/>
      <c r="I140" s="120"/>
      <c r="J140" s="205">
        <v>1580835.2</v>
      </c>
      <c r="K140" s="207">
        <f t="shared" si="43"/>
        <v>3083.8097000000007</v>
      </c>
      <c r="L140" s="205">
        <f t="shared" si="44"/>
        <v>71.95</v>
      </c>
      <c r="M140" s="205">
        <f t="shared" si="45"/>
        <v>221880.10791500006</v>
      </c>
      <c r="N140" s="207">
        <f t="shared" si="46"/>
        <v>3083.8097000000007</v>
      </c>
      <c r="O140" s="207">
        <f t="shared" si="47"/>
        <v>48</v>
      </c>
      <c r="P140" s="205">
        <f t="shared" si="42"/>
        <v>148022.86560000002</v>
      </c>
      <c r="Q140" s="206">
        <v>10108.726000000001</v>
      </c>
      <c r="R140" s="205">
        <f t="shared" si="48"/>
        <v>71.95</v>
      </c>
      <c r="S140" s="205">
        <f t="shared" si="40"/>
        <v>727322.83570000005</v>
      </c>
      <c r="T140" s="207">
        <f t="shared" si="49"/>
        <v>10108.726000000001</v>
      </c>
      <c r="U140" s="207">
        <v>48</v>
      </c>
      <c r="V140" s="205">
        <f t="shared" si="41"/>
        <v>485218.848</v>
      </c>
      <c r="W140" s="123"/>
      <c r="Y140" s="207">
        <v>7024.9162999999999</v>
      </c>
      <c r="Z140" s="205">
        <v>71.95</v>
      </c>
      <c r="AA140" s="205">
        <v>505442.727785</v>
      </c>
      <c r="AB140" s="207">
        <v>7024.9162999999999</v>
      </c>
      <c r="AC140" s="207">
        <v>18</v>
      </c>
      <c r="AD140" s="205">
        <v>126448.49339999999</v>
      </c>
    </row>
    <row r="141" spans="1:30" s="59" customFormat="1" ht="23.1" hidden="1" customHeight="1" outlineLevel="2">
      <c r="A141" s="239">
        <v>1.2200000000000002</v>
      </c>
      <c r="B141" s="113" t="s">
        <v>1151</v>
      </c>
      <c r="C141" s="237"/>
      <c r="D141" s="238" t="s">
        <v>247</v>
      </c>
      <c r="E141" s="123"/>
      <c r="F141" s="120">
        <v>79.31</v>
      </c>
      <c r="G141" s="205">
        <v>240983.50371153027</v>
      </c>
      <c r="H141" s="123"/>
      <c r="I141" s="120"/>
      <c r="J141" s="205">
        <v>261282</v>
      </c>
      <c r="K141" s="207">
        <f t="shared" si="43"/>
        <v>1142.9485</v>
      </c>
      <c r="L141" s="205">
        <f t="shared" si="44"/>
        <v>79.31</v>
      </c>
      <c r="M141" s="205">
        <f t="shared" si="45"/>
        <v>90647.245534999995</v>
      </c>
      <c r="N141" s="207">
        <f t="shared" si="46"/>
        <v>1142.9485</v>
      </c>
      <c r="O141" s="207">
        <f t="shared" si="47"/>
        <v>48</v>
      </c>
      <c r="P141" s="205">
        <f t="shared" si="42"/>
        <v>54861.527999999998</v>
      </c>
      <c r="Q141" s="206">
        <v>2365.7055</v>
      </c>
      <c r="R141" s="205">
        <f t="shared" si="48"/>
        <v>79.31</v>
      </c>
      <c r="S141" s="205">
        <f t="shared" si="40"/>
        <v>187624.10320500002</v>
      </c>
      <c r="T141" s="207">
        <f t="shared" si="49"/>
        <v>2365.7055</v>
      </c>
      <c r="U141" s="207">
        <v>48</v>
      </c>
      <c r="V141" s="205">
        <f t="shared" si="41"/>
        <v>113553.864</v>
      </c>
      <c r="W141" s="123"/>
      <c r="Y141" s="207">
        <v>1222.7570000000001</v>
      </c>
      <c r="Z141" s="205">
        <v>79.31</v>
      </c>
      <c r="AA141" s="205">
        <v>96976.857670000012</v>
      </c>
      <c r="AB141" s="207">
        <v>1222.7570000000001</v>
      </c>
      <c r="AC141" s="207">
        <v>18</v>
      </c>
      <c r="AD141" s="205">
        <v>22009.626</v>
      </c>
    </row>
    <row r="142" spans="1:30" s="59" customFormat="1" ht="23.1" hidden="1" customHeight="1" outlineLevel="2">
      <c r="A142" s="171">
        <v>1.2300000000000002</v>
      </c>
      <c r="B142" s="113" t="s">
        <v>1152</v>
      </c>
      <c r="C142" s="237"/>
      <c r="D142" s="238" t="s">
        <v>247</v>
      </c>
      <c r="E142" s="123"/>
      <c r="F142" s="120">
        <v>70.02</v>
      </c>
      <c r="G142" s="205">
        <v>410621.9161273365</v>
      </c>
      <c r="H142" s="123"/>
      <c r="I142" s="120"/>
      <c r="J142" s="205">
        <v>503579.3</v>
      </c>
      <c r="K142" s="207">
        <f t="shared" si="43"/>
        <v>1175.1291000000001</v>
      </c>
      <c r="L142" s="205">
        <f t="shared" si="44"/>
        <v>70.02</v>
      </c>
      <c r="M142" s="205">
        <f t="shared" si="45"/>
        <v>82282.539581999998</v>
      </c>
      <c r="N142" s="207">
        <f t="shared" si="46"/>
        <v>1175.1291000000001</v>
      </c>
      <c r="O142" s="207">
        <f t="shared" si="47"/>
        <v>48</v>
      </c>
      <c r="P142" s="205">
        <f t="shared" si="42"/>
        <v>56406.196800000005</v>
      </c>
      <c r="Q142" s="206">
        <f>3271.9693+136.14</f>
        <v>3408.1093000000001</v>
      </c>
      <c r="R142" s="205">
        <f t="shared" si="48"/>
        <v>70.02</v>
      </c>
      <c r="S142" s="205">
        <f t="shared" si="40"/>
        <v>238635.81318599998</v>
      </c>
      <c r="T142" s="207">
        <f t="shared" si="49"/>
        <v>3408.1093000000001</v>
      </c>
      <c r="U142" s="207">
        <v>48</v>
      </c>
      <c r="V142" s="205">
        <f t="shared" si="41"/>
        <v>163589.2464</v>
      </c>
      <c r="W142" s="123"/>
      <c r="Y142" s="207">
        <v>2232.9802</v>
      </c>
      <c r="Z142" s="205">
        <v>70.02</v>
      </c>
      <c r="AA142" s="205">
        <v>156353.27360399999</v>
      </c>
      <c r="AB142" s="207">
        <v>2232.9802</v>
      </c>
      <c r="AC142" s="207">
        <v>18</v>
      </c>
      <c r="AD142" s="205">
        <v>40193.643599999996</v>
      </c>
    </row>
    <row r="143" spans="1:30" s="59" customFormat="1" ht="23.1" hidden="1" customHeight="1" outlineLevel="2">
      <c r="A143" s="239">
        <v>1.2400000000000002</v>
      </c>
      <c r="B143" s="113" t="s">
        <v>1153</v>
      </c>
      <c r="C143" s="237"/>
      <c r="D143" s="238" t="s">
        <v>247</v>
      </c>
      <c r="E143" s="123"/>
      <c r="F143" s="120">
        <v>94.88</v>
      </c>
      <c r="G143" s="205">
        <v>290.32585368660551</v>
      </c>
      <c r="H143" s="123"/>
      <c r="I143" s="120"/>
      <c r="J143" s="205">
        <v>263.2</v>
      </c>
      <c r="K143" s="207">
        <f t="shared" si="43"/>
        <v>0</v>
      </c>
      <c r="L143" s="205">
        <f t="shared" si="44"/>
        <v>94.88</v>
      </c>
      <c r="M143" s="205">
        <f t="shared" si="45"/>
        <v>0</v>
      </c>
      <c r="N143" s="207">
        <f t="shared" si="46"/>
        <v>0</v>
      </c>
      <c r="O143" s="207">
        <f t="shared" si="47"/>
        <v>48</v>
      </c>
      <c r="P143" s="205">
        <f t="shared" si="42"/>
        <v>0</v>
      </c>
      <c r="Q143" s="206"/>
      <c r="R143" s="205">
        <f t="shared" si="48"/>
        <v>94.88</v>
      </c>
      <c r="S143" s="205">
        <f t="shared" si="40"/>
        <v>0</v>
      </c>
      <c r="T143" s="207">
        <f t="shared" si="49"/>
        <v>0</v>
      </c>
      <c r="U143" s="207">
        <v>48</v>
      </c>
      <c r="V143" s="205">
        <f t="shared" si="41"/>
        <v>0</v>
      </c>
      <c r="W143" s="123"/>
      <c r="Y143" s="207"/>
      <c r="Z143" s="205">
        <v>94.88</v>
      </c>
      <c r="AA143" s="205">
        <v>0</v>
      </c>
      <c r="AB143" s="207">
        <v>0</v>
      </c>
      <c r="AC143" s="207">
        <v>18</v>
      </c>
      <c r="AD143" s="205">
        <v>0</v>
      </c>
    </row>
    <row r="144" spans="1:30" s="59" customFormat="1" ht="23.1" hidden="1" customHeight="1" outlineLevel="2">
      <c r="A144" s="171">
        <v>1.2500000000000002</v>
      </c>
      <c r="B144" s="113" t="s">
        <v>1154</v>
      </c>
      <c r="C144" s="237"/>
      <c r="D144" s="238" t="s">
        <v>247</v>
      </c>
      <c r="E144" s="123"/>
      <c r="F144" s="120">
        <v>83.74</v>
      </c>
      <c r="G144" s="205">
        <v>17226.294896719261</v>
      </c>
      <c r="H144" s="123"/>
      <c r="I144" s="120"/>
      <c r="J144" s="205">
        <v>17670.100000000002</v>
      </c>
      <c r="K144" s="207">
        <f t="shared" si="43"/>
        <v>36.74369999999999</v>
      </c>
      <c r="L144" s="205">
        <f t="shared" si="44"/>
        <v>83.74</v>
      </c>
      <c r="M144" s="205">
        <f t="shared" si="45"/>
        <v>3076.917437999999</v>
      </c>
      <c r="N144" s="207">
        <f t="shared" si="46"/>
        <v>36.74369999999999</v>
      </c>
      <c r="O144" s="207">
        <f t="shared" si="47"/>
        <v>48</v>
      </c>
      <c r="P144" s="205">
        <f t="shared" si="42"/>
        <v>1763.6975999999995</v>
      </c>
      <c r="Q144" s="206">
        <v>179.5309</v>
      </c>
      <c r="R144" s="205">
        <f t="shared" si="48"/>
        <v>83.74</v>
      </c>
      <c r="S144" s="205">
        <f t="shared" si="40"/>
        <v>15033.917566</v>
      </c>
      <c r="T144" s="207">
        <f t="shared" si="49"/>
        <v>179.5309</v>
      </c>
      <c r="U144" s="207">
        <v>48</v>
      </c>
      <c r="V144" s="205">
        <f t="shared" si="41"/>
        <v>8617.4832000000006</v>
      </c>
      <c r="W144" s="123"/>
      <c r="Y144" s="207">
        <v>142.78720000000001</v>
      </c>
      <c r="Z144" s="205">
        <v>83.74</v>
      </c>
      <c r="AA144" s="205">
        <v>11957.000128</v>
      </c>
      <c r="AB144" s="207">
        <v>142.78720000000001</v>
      </c>
      <c r="AC144" s="207">
        <v>18</v>
      </c>
      <c r="AD144" s="205">
        <v>2570.1696000000002</v>
      </c>
    </row>
    <row r="145" spans="1:30" s="59" customFormat="1" ht="23.1" hidden="1" customHeight="1" outlineLevel="1" collapsed="1">
      <c r="A145" s="233">
        <v>2</v>
      </c>
      <c r="B145" s="234" t="s">
        <v>1107</v>
      </c>
      <c r="C145" s="235"/>
      <c r="D145" s="236"/>
      <c r="E145" s="123"/>
      <c r="F145" s="120"/>
      <c r="G145" s="205">
        <v>2318273.9059897722</v>
      </c>
      <c r="H145" s="123"/>
      <c r="I145" s="120"/>
      <c r="J145" s="205">
        <v>1008495.4835999999</v>
      </c>
      <c r="K145" s="207"/>
      <c r="L145" s="205"/>
      <c r="M145" s="205">
        <f>SUM(M146:M150)</f>
        <v>776034.85494117648</v>
      </c>
      <c r="N145" s="207"/>
      <c r="O145" s="207"/>
      <c r="P145" s="205">
        <f>SUM(P146:P150)</f>
        <v>173620.37647058823</v>
      </c>
      <c r="Q145" s="207"/>
      <c r="R145" s="205"/>
      <c r="S145" s="205">
        <f>SUM(S146:S150)</f>
        <v>794802.68094117648</v>
      </c>
      <c r="T145" s="207"/>
      <c r="U145" s="207"/>
      <c r="V145" s="205">
        <f>SUM(V146:V150)</f>
        <v>194964.77647058823</v>
      </c>
      <c r="W145" s="123"/>
      <c r="Y145" s="207"/>
      <c r="Z145" s="205"/>
      <c r="AA145" s="205">
        <v>18767.826000000001</v>
      </c>
      <c r="AB145" s="207"/>
      <c r="AC145" s="207"/>
      <c r="AD145" s="205">
        <v>247050.88941176469</v>
      </c>
    </row>
    <row r="146" spans="1:30" s="59" customFormat="1" ht="23.1" hidden="1" customHeight="1" outlineLevel="2">
      <c r="A146" s="171">
        <v>2.1</v>
      </c>
      <c r="B146" s="113" t="s">
        <v>1155</v>
      </c>
      <c r="C146" s="237"/>
      <c r="D146" s="238" t="s">
        <v>247</v>
      </c>
      <c r="E146" s="123">
        <v>16397.48</v>
      </c>
      <c r="F146" s="120">
        <v>160.91</v>
      </c>
      <c r="G146" s="205">
        <v>2184800.1678048531</v>
      </c>
      <c r="H146" s="123"/>
      <c r="I146" s="120"/>
      <c r="J146" s="205">
        <v>983848.8</v>
      </c>
      <c r="K146" s="207">
        <f>+Q146-Y146</f>
        <v>4822.7882352941178</v>
      </c>
      <c r="L146" s="205">
        <f>+R146</f>
        <v>160.91</v>
      </c>
      <c r="M146" s="205">
        <f t="shared" ref="M146:M152" si="50">+L146*K146</f>
        <v>776034.85494117648</v>
      </c>
      <c r="N146" s="207">
        <f>+K146</f>
        <v>4822.7882352941178</v>
      </c>
      <c r="O146" s="207">
        <f>+U146</f>
        <v>36</v>
      </c>
      <c r="P146" s="205">
        <f>+O146*N146</f>
        <v>173620.37647058823</v>
      </c>
      <c r="Q146" s="206">
        <f>+T146</f>
        <v>4822.7882352941178</v>
      </c>
      <c r="R146" s="205">
        <f>+F146</f>
        <v>160.91</v>
      </c>
      <c r="S146" s="205">
        <f t="shared" ref="S146:S152" si="51">+R146*Q146</f>
        <v>776034.85494117648</v>
      </c>
      <c r="T146" s="206">
        <f>+E146/34*10</f>
        <v>4822.7882352941178</v>
      </c>
      <c r="U146" s="207">
        <v>36</v>
      </c>
      <c r="V146" s="205">
        <f>+U146*T146</f>
        <v>173620.37647058823</v>
      </c>
      <c r="W146" s="123"/>
      <c r="Y146" s="207"/>
      <c r="Z146" s="205">
        <v>160.91</v>
      </c>
      <c r="AA146" s="205">
        <v>0</v>
      </c>
      <c r="AB146" s="207">
        <v>6269.6247058823528</v>
      </c>
      <c r="AC146" s="207">
        <v>36</v>
      </c>
      <c r="AD146" s="205">
        <v>225706.48941176469</v>
      </c>
    </row>
    <row r="147" spans="1:30" s="59" customFormat="1" ht="23.1" hidden="1" customHeight="1" outlineLevel="2">
      <c r="A147" s="171">
        <v>2.2000000000000002</v>
      </c>
      <c r="B147" s="113" t="s">
        <v>1108</v>
      </c>
      <c r="C147" s="237"/>
      <c r="D147" s="238" t="s">
        <v>247</v>
      </c>
      <c r="E147" s="123">
        <v>304.92</v>
      </c>
      <c r="F147" s="120">
        <v>51.86</v>
      </c>
      <c r="G147" s="205">
        <v>12664.2935418011</v>
      </c>
      <c r="H147" s="123"/>
      <c r="I147" s="120"/>
      <c r="J147" s="205">
        <v>22869</v>
      </c>
      <c r="K147" s="207">
        <f>+Q147-Y147</f>
        <v>0</v>
      </c>
      <c r="L147" s="205">
        <f>+R147</f>
        <v>51.86</v>
      </c>
      <c r="M147" s="205">
        <f t="shared" si="50"/>
        <v>0</v>
      </c>
      <c r="N147" s="207">
        <f>+K147</f>
        <v>0</v>
      </c>
      <c r="O147" s="207">
        <f>+U147</f>
        <v>70</v>
      </c>
      <c r="P147" s="205">
        <f>+O147*N147</f>
        <v>0</v>
      </c>
      <c r="Q147" s="207">
        <f>+E147</f>
        <v>304.92</v>
      </c>
      <c r="R147" s="205">
        <f>+F147</f>
        <v>51.86</v>
      </c>
      <c r="S147" s="205">
        <f t="shared" si="51"/>
        <v>15813.1512</v>
      </c>
      <c r="T147" s="207">
        <f>+Q147</f>
        <v>304.92</v>
      </c>
      <c r="U147" s="207">
        <f>34+36</f>
        <v>70</v>
      </c>
      <c r="V147" s="205">
        <f>+U147*T147</f>
        <v>21344.400000000001</v>
      </c>
      <c r="W147" s="123"/>
      <c r="Y147" s="207">
        <v>304.92</v>
      </c>
      <c r="Z147" s="205">
        <v>51.86</v>
      </c>
      <c r="AA147" s="205">
        <v>15813.1512</v>
      </c>
      <c r="AB147" s="207">
        <v>304.92</v>
      </c>
      <c r="AC147" s="207">
        <v>70</v>
      </c>
      <c r="AD147" s="205">
        <v>21344.400000000001</v>
      </c>
    </row>
    <row r="148" spans="1:30" s="59" customFormat="1" ht="23.1" hidden="1" customHeight="1" outlineLevel="2">
      <c r="A148" s="171">
        <v>2.3000000000000003</v>
      </c>
      <c r="B148" s="113" t="s">
        <v>1148</v>
      </c>
      <c r="C148" s="237"/>
      <c r="D148" s="238" t="s">
        <v>247</v>
      </c>
      <c r="E148" s="123">
        <v>304.92</v>
      </c>
      <c r="F148" s="120">
        <v>9.69</v>
      </c>
      <c r="G148" s="205">
        <v>2539.2212216719272</v>
      </c>
      <c r="H148" s="123"/>
      <c r="I148" s="120"/>
      <c r="J148" s="205">
        <v>1777.6836000000001</v>
      </c>
      <c r="K148" s="207">
        <f>+Q148-Y148</f>
        <v>0</v>
      </c>
      <c r="L148" s="205">
        <f>+R148</f>
        <v>9.69</v>
      </c>
      <c r="M148" s="205">
        <f t="shared" si="50"/>
        <v>0</v>
      </c>
      <c r="N148" s="207">
        <f>+K148</f>
        <v>0</v>
      </c>
      <c r="O148" s="207">
        <f>+U148</f>
        <v>0</v>
      </c>
      <c r="P148" s="205">
        <f>+O148*N148</f>
        <v>0</v>
      </c>
      <c r="Q148" s="207">
        <f>+E148</f>
        <v>304.92</v>
      </c>
      <c r="R148" s="205">
        <f>+F148</f>
        <v>9.69</v>
      </c>
      <c r="S148" s="205">
        <f t="shared" si="51"/>
        <v>2954.6747999999998</v>
      </c>
      <c r="T148" s="207">
        <f>+Q148</f>
        <v>304.92</v>
      </c>
      <c r="U148" s="207"/>
      <c r="V148" s="205">
        <f>+U148*T148</f>
        <v>0</v>
      </c>
      <c r="W148" s="123"/>
      <c r="Y148" s="207">
        <v>304.92</v>
      </c>
      <c r="Z148" s="205">
        <v>9.69</v>
      </c>
      <c r="AA148" s="205">
        <v>2954.6747999999998</v>
      </c>
      <c r="AB148" s="207">
        <v>304.92</v>
      </c>
      <c r="AC148" s="207"/>
      <c r="AD148" s="205">
        <v>0</v>
      </c>
    </row>
    <row r="149" spans="1:30" s="59" customFormat="1" ht="23.1" hidden="1" customHeight="1" outlineLevel="2">
      <c r="A149" s="171">
        <v>2.4000000000000004</v>
      </c>
      <c r="B149" s="113" t="s">
        <v>1110</v>
      </c>
      <c r="C149" s="237"/>
      <c r="D149" s="238" t="s">
        <v>247</v>
      </c>
      <c r="E149" s="123"/>
      <c r="F149" s="120">
        <v>8.33</v>
      </c>
      <c r="G149" s="205">
        <v>105335.62796383706</v>
      </c>
      <c r="H149" s="123"/>
      <c r="I149" s="120"/>
      <c r="J149" s="205">
        <v>0</v>
      </c>
      <c r="K149" s="207">
        <f>+Q149-Y149</f>
        <v>0</v>
      </c>
      <c r="L149" s="205">
        <f>+R149</f>
        <v>8.33</v>
      </c>
      <c r="M149" s="205">
        <f t="shared" si="50"/>
        <v>0</v>
      </c>
      <c r="N149" s="207">
        <f>+K149</f>
        <v>0</v>
      </c>
      <c r="O149" s="207">
        <f>+U149</f>
        <v>0</v>
      </c>
      <c r="P149" s="205">
        <f>+O149*N149</f>
        <v>0</v>
      </c>
      <c r="Q149" s="206"/>
      <c r="R149" s="205">
        <f>+F149</f>
        <v>8.33</v>
      </c>
      <c r="S149" s="205">
        <f t="shared" si="51"/>
        <v>0</v>
      </c>
      <c r="T149" s="206">
        <f>+Q149</f>
        <v>0</v>
      </c>
      <c r="U149" s="207"/>
      <c r="V149" s="205">
        <f>+U149*T149</f>
        <v>0</v>
      </c>
      <c r="W149" s="123"/>
      <c r="Y149" s="207"/>
      <c r="Z149" s="205">
        <v>8.33</v>
      </c>
      <c r="AA149" s="205">
        <v>0</v>
      </c>
      <c r="AB149" s="207">
        <v>0</v>
      </c>
      <c r="AC149" s="207"/>
      <c r="AD149" s="205">
        <v>0</v>
      </c>
    </row>
    <row r="150" spans="1:30" s="59" customFormat="1" ht="23.1" hidden="1" customHeight="1" outlineLevel="2">
      <c r="A150" s="171">
        <v>2.5000000000000004</v>
      </c>
      <c r="B150" s="113" t="s">
        <v>1116</v>
      </c>
      <c r="C150" s="237"/>
      <c r="D150" s="238" t="s">
        <v>247</v>
      </c>
      <c r="E150" s="123"/>
      <c r="F150" s="120">
        <v>35.29</v>
      </c>
      <c r="G150" s="205">
        <v>12934.595457608808</v>
      </c>
      <c r="H150" s="123"/>
      <c r="I150" s="120"/>
      <c r="J150" s="205">
        <v>0</v>
      </c>
      <c r="K150" s="207">
        <f>+Q150-Y150</f>
        <v>0</v>
      </c>
      <c r="L150" s="205">
        <f>+R150</f>
        <v>35.29</v>
      </c>
      <c r="M150" s="205">
        <f t="shared" si="50"/>
        <v>0</v>
      </c>
      <c r="N150" s="207">
        <f>+K150</f>
        <v>0</v>
      </c>
      <c r="O150" s="207">
        <f>+U150</f>
        <v>0</v>
      </c>
      <c r="P150" s="205">
        <f>+O150*N150</f>
        <v>0</v>
      </c>
      <c r="Q150" s="206"/>
      <c r="R150" s="205">
        <f>+F150</f>
        <v>35.29</v>
      </c>
      <c r="S150" s="205">
        <f t="shared" si="51"/>
        <v>0</v>
      </c>
      <c r="T150" s="206">
        <f>+Q150</f>
        <v>0</v>
      </c>
      <c r="U150" s="207"/>
      <c r="V150" s="205">
        <f>+U150*T150</f>
        <v>0</v>
      </c>
      <c r="W150" s="123"/>
      <c r="Y150" s="207"/>
      <c r="Z150" s="205">
        <v>35.29</v>
      </c>
      <c r="AA150" s="205">
        <v>0</v>
      </c>
      <c r="AB150" s="207">
        <v>0</v>
      </c>
      <c r="AC150" s="207"/>
      <c r="AD150" s="205">
        <v>0</v>
      </c>
    </row>
    <row r="151" spans="1:30" s="60" customFormat="1" ht="23.1" customHeight="1">
      <c r="A151" s="234" t="s">
        <v>237</v>
      </c>
      <c r="B151" s="234" t="s">
        <v>1156</v>
      </c>
      <c r="C151" s="241" t="s">
        <v>1157</v>
      </c>
      <c r="D151" s="234" t="s">
        <v>47</v>
      </c>
      <c r="E151" s="137"/>
      <c r="F151" s="119"/>
      <c r="G151" s="222">
        <v>0</v>
      </c>
      <c r="H151" s="222"/>
      <c r="I151" s="222"/>
      <c r="J151" s="222">
        <v>0</v>
      </c>
      <c r="K151" s="229"/>
      <c r="L151" s="222"/>
      <c r="M151" s="222">
        <f t="shared" si="50"/>
        <v>0</v>
      </c>
      <c r="N151" s="229"/>
      <c r="O151" s="229"/>
      <c r="P151" s="229">
        <f>+V151-AD151</f>
        <v>15497.35398230108</v>
      </c>
      <c r="Q151" s="229"/>
      <c r="R151" s="222"/>
      <c r="S151" s="222">
        <f t="shared" si="51"/>
        <v>0</v>
      </c>
      <c r="T151" s="229"/>
      <c r="U151" s="229"/>
      <c r="V151" s="254">
        <v>216068.91150442499</v>
      </c>
      <c r="W151" s="137"/>
      <c r="Y151" s="229"/>
      <c r="Z151" s="222"/>
      <c r="AA151" s="222">
        <v>0</v>
      </c>
      <c r="AB151" s="229"/>
      <c r="AC151" s="229"/>
      <c r="AD151" s="254">
        <v>200571.55752212391</v>
      </c>
    </row>
    <row r="152" spans="1:30" s="60" customFormat="1" ht="23.1" customHeight="1">
      <c r="A152" s="234" t="s">
        <v>270</v>
      </c>
      <c r="B152" s="234" t="s">
        <v>1158</v>
      </c>
      <c r="C152" s="241" t="s">
        <v>1159</v>
      </c>
      <c r="D152" s="234" t="s">
        <v>47</v>
      </c>
      <c r="E152" s="137"/>
      <c r="F152" s="119"/>
      <c r="G152" s="222">
        <v>0</v>
      </c>
      <c r="H152" s="222"/>
      <c r="I152" s="222"/>
      <c r="J152" s="222">
        <v>0</v>
      </c>
      <c r="K152" s="229"/>
      <c r="L152" s="222"/>
      <c r="M152" s="222">
        <f t="shared" si="50"/>
        <v>0</v>
      </c>
      <c r="N152" s="229"/>
      <c r="O152" s="229"/>
      <c r="P152" s="229">
        <f>+V152-AD152</f>
        <v>55037.601769911707</v>
      </c>
      <c r="Q152" s="229"/>
      <c r="R152" s="222"/>
      <c r="S152" s="222">
        <f t="shared" si="51"/>
        <v>0</v>
      </c>
      <c r="T152" s="229"/>
      <c r="U152" s="229"/>
      <c r="V152" s="254">
        <v>385281.72566371702</v>
      </c>
      <c r="W152" s="137"/>
      <c r="Y152" s="229"/>
      <c r="Z152" s="222"/>
      <c r="AA152" s="222">
        <v>0</v>
      </c>
      <c r="AB152" s="229"/>
      <c r="AC152" s="229"/>
      <c r="AD152" s="254">
        <v>330244.12389380531</v>
      </c>
    </row>
    <row r="153" spans="1:30" s="60" customFormat="1" ht="23.1" customHeight="1">
      <c r="A153" s="477" t="s">
        <v>63</v>
      </c>
      <c r="B153" s="478"/>
      <c r="C153" s="479"/>
      <c r="D153" s="480"/>
      <c r="E153" s="137"/>
      <c r="F153" s="119"/>
      <c r="G153" s="222">
        <f>+G118+G85+G52+G6+G151+G152</f>
        <v>14850943.841520071</v>
      </c>
      <c r="H153" s="222"/>
      <c r="I153" s="222"/>
      <c r="J153" s="222">
        <f>+J118+J85+J52+J6+J151+J152</f>
        <v>15189226.0803</v>
      </c>
      <c r="K153" s="229"/>
      <c r="L153" s="222"/>
      <c r="M153" s="222">
        <f>+M118+M85+M52+M6+M151+M152</f>
        <v>2428271.3933446626</v>
      </c>
      <c r="N153" s="229"/>
      <c r="O153" s="229"/>
      <c r="P153" s="222">
        <f>+P118+P85+P52+P6+P151+P152</f>
        <v>881602.17302280094</v>
      </c>
      <c r="Q153" s="229"/>
      <c r="R153" s="222"/>
      <c r="S153" s="222">
        <f>+S118+S85+S52+S6+S151+S152</f>
        <v>8875550.6524821352</v>
      </c>
      <c r="T153" s="229"/>
      <c r="U153" s="229"/>
      <c r="V153" s="222">
        <f>+V118+V85+V52+V6+V151+V152</f>
        <v>7555071.6270044362</v>
      </c>
      <c r="W153" s="137"/>
      <c r="Y153" s="229"/>
      <c r="Z153" s="222"/>
      <c r="AA153" s="222">
        <v>6447279.2591374731</v>
      </c>
      <c r="AB153" s="229"/>
      <c r="AC153" s="229"/>
      <c r="AD153" s="222">
        <v>6795577.1258838698</v>
      </c>
    </row>
    <row r="154" spans="1:30" ht="23.1" customHeight="1">
      <c r="A154" s="242"/>
      <c r="B154" s="243"/>
      <c r="C154" s="244"/>
      <c r="D154" s="245"/>
      <c r="E154" s="246"/>
      <c r="F154" s="247"/>
      <c r="G154" s="246"/>
      <c r="H154" s="246"/>
      <c r="I154" s="246"/>
      <c r="J154" s="246"/>
      <c r="K154" s="246"/>
      <c r="L154" s="246"/>
      <c r="M154" s="246"/>
      <c r="N154" s="246"/>
      <c r="O154" s="246"/>
      <c r="P154" s="246"/>
      <c r="Q154" s="246"/>
      <c r="R154" s="246"/>
      <c r="S154" s="246"/>
      <c r="T154" s="246"/>
      <c r="U154" s="246"/>
      <c r="V154" s="246"/>
      <c r="W154" s="138"/>
    </row>
    <row r="155" spans="1:30" ht="23.1" customHeight="1">
      <c r="A155" s="248"/>
      <c r="B155" s="249"/>
      <c r="C155" s="250"/>
      <c r="D155" s="251"/>
      <c r="E155" s="252"/>
      <c r="F155" s="253"/>
      <c r="G155" s="252"/>
      <c r="H155" s="252"/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  <c r="S155" s="252"/>
      <c r="T155" s="252"/>
      <c r="U155" s="252"/>
      <c r="V155" s="252"/>
      <c r="W155" s="104"/>
    </row>
    <row r="156" spans="1:30" ht="23.1" customHeight="1">
      <c r="A156" s="248"/>
      <c r="B156" s="249"/>
      <c r="C156" s="250"/>
      <c r="D156" s="251"/>
      <c r="E156" s="252"/>
      <c r="F156" s="253"/>
      <c r="G156" s="252"/>
      <c r="H156" s="252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2"/>
      <c r="V156" s="252"/>
      <c r="W156" s="104"/>
    </row>
    <row r="157" spans="1:30" ht="23.1" customHeight="1">
      <c r="A157" s="248"/>
      <c r="B157" s="249"/>
      <c r="C157" s="250"/>
      <c r="D157" s="251"/>
      <c r="E157" s="252"/>
      <c r="F157" s="253"/>
      <c r="G157" s="252"/>
      <c r="H157" s="252"/>
      <c r="I157" s="252"/>
      <c r="J157" s="252"/>
      <c r="K157" s="252"/>
      <c r="L157" s="252"/>
      <c r="M157" s="252"/>
      <c r="N157" s="252"/>
      <c r="O157" s="252"/>
      <c r="P157" s="252"/>
      <c r="Q157" s="252"/>
      <c r="R157" s="252"/>
      <c r="S157" s="252"/>
      <c r="T157" s="252"/>
      <c r="U157" s="252"/>
      <c r="V157" s="252"/>
      <c r="W157" s="104"/>
    </row>
    <row r="158" spans="1:30" ht="23.1" customHeight="1">
      <c r="A158" s="248"/>
      <c r="B158" s="249"/>
      <c r="C158" s="250"/>
      <c r="D158" s="251"/>
      <c r="E158" s="252"/>
      <c r="F158" s="253"/>
      <c r="G158" s="252"/>
      <c r="H158" s="252"/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  <c r="S158" s="252"/>
      <c r="T158" s="252"/>
      <c r="U158" s="252"/>
      <c r="V158" s="252"/>
      <c r="W158" s="104"/>
    </row>
    <row r="159" spans="1:30" ht="23.1" customHeight="1">
      <c r="A159" s="248"/>
      <c r="B159" s="249"/>
      <c r="C159" s="250"/>
      <c r="D159" s="251"/>
      <c r="E159" s="252"/>
      <c r="F159" s="253"/>
      <c r="G159" s="252"/>
      <c r="H159" s="252"/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  <c r="S159" s="252"/>
      <c r="T159" s="252"/>
      <c r="U159" s="252"/>
      <c r="V159" s="252"/>
      <c r="W159" s="104"/>
    </row>
    <row r="160" spans="1:30" ht="23.1" customHeight="1">
      <c r="A160" s="248"/>
      <c r="B160" s="249"/>
      <c r="C160" s="250"/>
      <c r="D160" s="251"/>
      <c r="E160" s="252"/>
      <c r="F160" s="253"/>
      <c r="G160" s="252"/>
      <c r="H160" s="252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2"/>
      <c r="V160" s="252"/>
      <c r="W160" s="104"/>
    </row>
    <row r="161" spans="1:23" ht="23.1" customHeight="1">
      <c r="A161" s="248"/>
      <c r="B161" s="249"/>
      <c r="C161" s="250"/>
      <c r="D161" s="251"/>
      <c r="E161" s="252"/>
      <c r="F161" s="253"/>
      <c r="G161" s="252"/>
      <c r="H161" s="252"/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  <c r="S161" s="252"/>
      <c r="T161" s="252"/>
      <c r="U161" s="252"/>
      <c r="V161" s="252"/>
      <c r="W161" s="104"/>
    </row>
    <row r="162" spans="1:23" ht="23.1" customHeight="1">
      <c r="A162" s="248"/>
      <c r="B162" s="249"/>
      <c r="C162" s="250"/>
      <c r="D162" s="251"/>
      <c r="E162" s="252"/>
      <c r="F162" s="253"/>
      <c r="G162" s="252"/>
      <c r="H162" s="252"/>
      <c r="I162" s="252"/>
      <c r="J162" s="252"/>
      <c r="K162" s="252"/>
      <c r="L162" s="252"/>
      <c r="M162" s="252"/>
      <c r="N162" s="252"/>
      <c r="O162" s="252"/>
      <c r="P162" s="252"/>
      <c r="Q162" s="252"/>
      <c r="R162" s="252"/>
      <c r="S162" s="252"/>
      <c r="T162" s="252"/>
      <c r="U162" s="252"/>
      <c r="V162" s="252"/>
      <c r="W162" s="104"/>
    </row>
    <row r="163" spans="1:23" ht="23.1" customHeight="1">
      <c r="A163" s="248"/>
      <c r="B163" s="249"/>
      <c r="C163" s="250"/>
      <c r="D163" s="251"/>
      <c r="E163" s="252"/>
      <c r="F163" s="253"/>
      <c r="G163" s="252"/>
      <c r="H163" s="252"/>
      <c r="I163" s="252"/>
      <c r="J163" s="252"/>
      <c r="K163" s="252"/>
      <c r="L163" s="252"/>
      <c r="M163" s="252"/>
      <c r="N163" s="252"/>
      <c r="O163" s="252"/>
      <c r="P163" s="252"/>
      <c r="Q163" s="252"/>
      <c r="R163" s="252"/>
      <c r="S163" s="252"/>
      <c r="T163" s="252"/>
      <c r="U163" s="252"/>
      <c r="V163" s="252"/>
      <c r="W163" s="104"/>
    </row>
    <row r="164" spans="1:23" ht="23.1" customHeight="1">
      <c r="A164" s="248"/>
      <c r="B164" s="249"/>
      <c r="C164" s="250"/>
      <c r="D164" s="251"/>
      <c r="E164" s="252"/>
      <c r="F164" s="253"/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2"/>
      <c r="V164" s="252"/>
      <c r="W164" s="104"/>
    </row>
    <row r="165" spans="1:23" ht="23.1" customHeight="1">
      <c r="A165" s="248"/>
      <c r="B165" s="249"/>
      <c r="C165" s="250"/>
      <c r="D165" s="251"/>
      <c r="E165" s="252"/>
      <c r="F165" s="253"/>
      <c r="G165" s="252"/>
      <c r="H165" s="252"/>
      <c r="I165" s="252"/>
      <c r="J165" s="252"/>
      <c r="K165" s="252"/>
      <c r="L165" s="252"/>
      <c r="M165" s="252"/>
      <c r="N165" s="252"/>
      <c r="O165" s="252"/>
      <c r="P165" s="252"/>
      <c r="Q165" s="252"/>
      <c r="R165" s="252"/>
      <c r="S165" s="252"/>
      <c r="T165" s="252"/>
      <c r="U165" s="252"/>
      <c r="V165" s="252"/>
      <c r="W165" s="104"/>
    </row>
    <row r="166" spans="1:23" ht="23.1" customHeight="1">
      <c r="A166" s="248"/>
      <c r="B166" s="249"/>
      <c r="C166" s="250"/>
      <c r="D166" s="251"/>
      <c r="E166" s="252"/>
      <c r="F166" s="253"/>
      <c r="G166" s="252"/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  <c r="S166" s="252"/>
      <c r="T166" s="252"/>
      <c r="U166" s="252"/>
      <c r="V166" s="252"/>
      <c r="W166" s="255"/>
    </row>
    <row r="167" spans="1:23" ht="23.1" customHeight="1">
      <c r="A167" s="248"/>
      <c r="B167" s="249"/>
      <c r="C167" s="250"/>
      <c r="D167" s="251"/>
      <c r="E167" s="252"/>
      <c r="F167" s="253"/>
      <c r="G167" s="252"/>
      <c r="H167" s="252"/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  <c r="S167" s="252"/>
      <c r="T167" s="252"/>
      <c r="U167" s="252"/>
      <c r="V167" s="252"/>
      <c r="W167" s="255"/>
    </row>
    <row r="168" spans="1:23" ht="23.1" customHeight="1">
      <c r="A168" s="248"/>
      <c r="B168" s="249"/>
      <c r="C168" s="250"/>
      <c r="D168" s="251"/>
      <c r="E168" s="252"/>
      <c r="F168" s="253"/>
      <c r="G168" s="252"/>
      <c r="H168" s="252"/>
      <c r="I168" s="252"/>
      <c r="J168" s="252"/>
      <c r="K168" s="252"/>
      <c r="L168" s="252"/>
      <c r="M168" s="252"/>
      <c r="N168" s="252"/>
      <c r="O168" s="252"/>
      <c r="P168" s="252"/>
      <c r="Q168" s="252"/>
      <c r="R168" s="252"/>
      <c r="S168" s="252"/>
      <c r="T168" s="252"/>
      <c r="U168" s="252"/>
      <c r="V168" s="252"/>
      <c r="W168" s="255"/>
    </row>
    <row r="169" spans="1:23" ht="23.1" customHeight="1">
      <c r="A169" s="248"/>
      <c r="B169" s="249"/>
      <c r="C169" s="250"/>
      <c r="D169" s="251"/>
      <c r="E169" s="252"/>
      <c r="F169" s="253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252"/>
      <c r="W169" s="255"/>
    </row>
    <row r="170" spans="1:23" ht="23.1" customHeight="1">
      <c r="A170" s="248"/>
      <c r="B170" s="249"/>
      <c r="C170" s="250"/>
      <c r="D170" s="251"/>
      <c r="E170" s="252"/>
      <c r="F170" s="253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252"/>
      <c r="W170" s="255"/>
    </row>
    <row r="171" spans="1:23" ht="23.1" customHeight="1">
      <c r="A171" s="248"/>
      <c r="B171" s="249"/>
      <c r="C171" s="250"/>
      <c r="D171" s="251"/>
      <c r="E171" s="252"/>
      <c r="F171" s="253"/>
      <c r="G171" s="252"/>
      <c r="H171" s="252"/>
      <c r="I171" s="252"/>
      <c r="J171" s="252"/>
      <c r="K171" s="252"/>
      <c r="L171" s="252"/>
      <c r="M171" s="252"/>
      <c r="N171" s="252"/>
      <c r="O171" s="252"/>
      <c r="P171" s="252"/>
      <c r="Q171" s="252"/>
      <c r="R171" s="252"/>
      <c r="S171" s="252"/>
      <c r="T171" s="252"/>
      <c r="U171" s="252"/>
      <c r="V171" s="252"/>
      <c r="W171" s="255"/>
    </row>
    <row r="172" spans="1:23" ht="23.1" customHeight="1">
      <c r="A172" s="248"/>
      <c r="B172" s="249"/>
      <c r="C172" s="250"/>
      <c r="D172" s="251"/>
      <c r="E172" s="252"/>
      <c r="F172" s="253"/>
      <c r="G172" s="252"/>
      <c r="H172" s="252"/>
      <c r="I172" s="252"/>
      <c r="J172" s="252"/>
      <c r="K172" s="252"/>
      <c r="L172" s="252"/>
      <c r="M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5"/>
    </row>
    <row r="173" spans="1:23" ht="23.1" customHeight="1">
      <c r="A173" s="248"/>
      <c r="B173" s="249"/>
      <c r="C173" s="250"/>
      <c r="D173" s="251"/>
      <c r="E173" s="252"/>
      <c r="F173" s="253"/>
      <c r="G173" s="252"/>
      <c r="H173" s="252"/>
      <c r="I173" s="252"/>
      <c r="J173" s="252"/>
      <c r="K173" s="252"/>
      <c r="L173" s="252"/>
      <c r="M173" s="252"/>
      <c r="N173" s="252"/>
      <c r="O173" s="252"/>
      <c r="P173" s="252"/>
      <c r="Q173" s="252"/>
      <c r="R173" s="252"/>
      <c r="S173" s="252"/>
      <c r="T173" s="252"/>
      <c r="U173" s="252"/>
      <c r="V173" s="252"/>
      <c r="W173" s="255"/>
    </row>
    <row r="174" spans="1:23" ht="23.1" customHeight="1">
      <c r="A174" s="248"/>
      <c r="B174" s="249"/>
      <c r="C174" s="250"/>
      <c r="D174" s="251"/>
      <c r="E174" s="252"/>
      <c r="F174" s="253"/>
      <c r="G174" s="252"/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2"/>
      <c r="V174" s="252"/>
      <c r="W174" s="255"/>
    </row>
    <row r="175" spans="1:23" ht="23.1" customHeight="1">
      <c r="A175" s="248"/>
      <c r="B175" s="249"/>
      <c r="C175" s="250"/>
      <c r="D175" s="251"/>
      <c r="E175" s="252"/>
      <c r="F175" s="253"/>
      <c r="G175" s="252"/>
      <c r="H175" s="252"/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  <c r="S175" s="252"/>
      <c r="T175" s="252"/>
      <c r="U175" s="252"/>
      <c r="V175" s="252"/>
      <c r="W175" s="255"/>
    </row>
    <row r="176" spans="1:23" ht="23.1" customHeight="1">
      <c r="A176" s="248"/>
      <c r="B176" s="249"/>
      <c r="C176" s="250"/>
      <c r="D176" s="251"/>
      <c r="E176" s="252"/>
      <c r="F176" s="253"/>
      <c r="G176" s="252"/>
      <c r="H176" s="252"/>
      <c r="I176" s="252"/>
      <c r="J176" s="252"/>
      <c r="K176" s="252"/>
      <c r="L176" s="252"/>
      <c r="M176" s="252"/>
      <c r="N176" s="252"/>
      <c r="O176" s="252"/>
      <c r="P176" s="252"/>
      <c r="Q176" s="252"/>
      <c r="R176" s="252"/>
      <c r="S176" s="252"/>
      <c r="T176" s="252"/>
      <c r="U176" s="252"/>
      <c r="V176" s="252"/>
      <c r="W176" s="255"/>
    </row>
    <row r="177" spans="1:23" ht="23.1" customHeight="1">
      <c r="A177" s="248"/>
      <c r="B177" s="249"/>
      <c r="C177" s="250"/>
      <c r="D177" s="251"/>
      <c r="E177" s="252"/>
      <c r="F177" s="253"/>
      <c r="G177" s="252"/>
      <c r="H177" s="252"/>
      <c r="I177" s="252"/>
      <c r="J177" s="252"/>
      <c r="K177" s="252"/>
      <c r="L177" s="252"/>
      <c r="M177" s="252"/>
      <c r="N177" s="252"/>
      <c r="O177" s="252"/>
      <c r="P177" s="252"/>
      <c r="Q177" s="252"/>
      <c r="R177" s="252"/>
      <c r="S177" s="252"/>
      <c r="T177" s="252"/>
      <c r="U177" s="252"/>
      <c r="V177" s="252"/>
      <c r="W177" s="255"/>
    </row>
    <row r="178" spans="1:23" ht="23.1" customHeight="1">
      <c r="A178" s="248"/>
      <c r="B178" s="249"/>
      <c r="C178" s="250"/>
      <c r="D178" s="251"/>
      <c r="E178" s="252"/>
      <c r="F178" s="253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252"/>
      <c r="R178" s="252"/>
      <c r="S178" s="252"/>
      <c r="T178" s="252"/>
      <c r="U178" s="252"/>
      <c r="V178" s="252"/>
      <c r="W178" s="255"/>
    </row>
    <row r="179" spans="1:23" ht="23.1" customHeight="1">
      <c r="A179" s="248"/>
      <c r="B179" s="249"/>
      <c r="C179" s="250"/>
      <c r="D179" s="251"/>
      <c r="E179" s="252"/>
      <c r="F179" s="253"/>
      <c r="G179" s="252"/>
      <c r="H179" s="252"/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  <c r="S179" s="252"/>
      <c r="T179" s="252"/>
      <c r="U179" s="252"/>
      <c r="V179" s="252"/>
      <c r="W179" s="255"/>
    </row>
    <row r="180" spans="1:23" ht="23.1" customHeight="1">
      <c r="A180" s="248"/>
      <c r="B180" s="249"/>
      <c r="C180" s="250"/>
      <c r="D180" s="251"/>
      <c r="E180" s="252"/>
      <c r="F180" s="253"/>
      <c r="G180" s="252"/>
      <c r="H180" s="252"/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  <c r="S180" s="252"/>
      <c r="T180" s="252"/>
      <c r="U180" s="252"/>
      <c r="V180" s="252"/>
      <c r="W180" s="255"/>
    </row>
    <row r="181" spans="1:23" ht="23.1" customHeight="1">
      <c r="A181" s="248"/>
      <c r="B181" s="249"/>
      <c r="C181" s="250"/>
      <c r="D181" s="251"/>
      <c r="E181" s="252"/>
      <c r="F181" s="253"/>
      <c r="G181" s="252"/>
      <c r="H181" s="252"/>
      <c r="I181" s="252"/>
      <c r="J181" s="252"/>
      <c r="K181" s="252"/>
      <c r="L181" s="252"/>
      <c r="M181" s="252"/>
      <c r="N181" s="252"/>
      <c r="O181" s="252"/>
      <c r="P181" s="252"/>
      <c r="Q181" s="252"/>
      <c r="R181" s="252"/>
      <c r="S181" s="252"/>
      <c r="T181" s="252"/>
      <c r="U181" s="252"/>
      <c r="V181" s="252"/>
      <c r="W181" s="255"/>
    </row>
    <row r="182" spans="1:23" ht="23.1" customHeight="1">
      <c r="A182" s="248"/>
      <c r="B182" s="249"/>
      <c r="C182" s="250"/>
      <c r="D182" s="251"/>
      <c r="E182" s="252"/>
      <c r="F182" s="253"/>
      <c r="G182" s="252"/>
      <c r="H182" s="252"/>
      <c r="I182" s="252"/>
      <c r="J182" s="252"/>
      <c r="K182" s="252"/>
      <c r="L182" s="252"/>
      <c r="M182" s="252"/>
      <c r="N182" s="252"/>
      <c r="O182" s="252"/>
      <c r="P182" s="252"/>
      <c r="Q182" s="252"/>
      <c r="R182" s="252"/>
      <c r="S182" s="252"/>
      <c r="T182" s="252"/>
      <c r="U182" s="252"/>
      <c r="V182" s="252"/>
      <c r="W182" s="255"/>
    </row>
    <row r="183" spans="1:23" ht="23.1" customHeight="1">
      <c r="A183" s="248"/>
      <c r="B183" s="249"/>
      <c r="C183" s="250"/>
      <c r="D183" s="251"/>
      <c r="E183" s="252"/>
      <c r="F183" s="253"/>
      <c r="G183" s="252"/>
      <c r="H183" s="252"/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  <c r="S183" s="252"/>
      <c r="T183" s="252"/>
      <c r="U183" s="252"/>
      <c r="V183" s="252"/>
      <c r="W183" s="255"/>
    </row>
    <row r="184" spans="1:23" ht="23.1" customHeight="1">
      <c r="A184" s="248"/>
      <c r="B184" s="249"/>
      <c r="C184" s="250"/>
      <c r="D184" s="251"/>
      <c r="E184" s="252"/>
      <c r="F184" s="253"/>
      <c r="G184" s="252"/>
      <c r="H184" s="252"/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  <c r="S184" s="252"/>
      <c r="T184" s="252"/>
      <c r="U184" s="252"/>
      <c r="V184" s="252"/>
      <c r="W184" s="255"/>
    </row>
    <row r="185" spans="1:23" ht="23.1" customHeight="1">
      <c r="A185" s="248"/>
      <c r="B185" s="249"/>
      <c r="C185" s="250"/>
      <c r="D185" s="251"/>
      <c r="E185" s="252"/>
      <c r="F185" s="253"/>
      <c r="G185" s="252"/>
      <c r="H185" s="252"/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  <c r="S185" s="252"/>
      <c r="T185" s="252"/>
      <c r="U185" s="252"/>
      <c r="V185" s="252"/>
      <c r="W185" s="255"/>
    </row>
    <row r="186" spans="1:23" ht="23.1" customHeight="1">
      <c r="A186" s="248"/>
      <c r="B186" s="249"/>
      <c r="C186" s="250"/>
      <c r="D186" s="251"/>
      <c r="E186" s="252"/>
      <c r="F186" s="253"/>
      <c r="G186" s="252"/>
      <c r="H186" s="252"/>
      <c r="I186" s="252"/>
      <c r="J186" s="252"/>
      <c r="K186" s="252"/>
      <c r="L186" s="252"/>
      <c r="M186" s="252"/>
      <c r="N186" s="252"/>
      <c r="O186" s="252"/>
      <c r="P186" s="252"/>
      <c r="Q186" s="252"/>
      <c r="R186" s="252"/>
      <c r="S186" s="252"/>
      <c r="T186" s="252"/>
      <c r="U186" s="252"/>
      <c r="V186" s="252"/>
      <c r="W186" s="255"/>
    </row>
    <row r="187" spans="1:23" ht="23.1" customHeight="1">
      <c r="A187" s="248"/>
      <c r="B187" s="249"/>
      <c r="C187" s="250"/>
      <c r="D187" s="251"/>
      <c r="E187" s="252"/>
      <c r="F187" s="253"/>
      <c r="G187" s="252"/>
      <c r="H187" s="252"/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  <c r="S187" s="252"/>
      <c r="T187" s="252"/>
      <c r="U187" s="252"/>
      <c r="V187" s="252"/>
      <c r="W187" s="255"/>
    </row>
    <row r="188" spans="1:23" ht="23.1" customHeight="1">
      <c r="A188" s="248"/>
      <c r="B188" s="249"/>
      <c r="C188" s="250"/>
      <c r="D188" s="251"/>
      <c r="E188" s="252"/>
      <c r="F188" s="253"/>
      <c r="G188" s="252"/>
      <c r="H188" s="252"/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  <c r="S188" s="252"/>
      <c r="T188" s="252"/>
      <c r="U188" s="252"/>
      <c r="V188" s="252"/>
      <c r="W188" s="255"/>
    </row>
    <row r="189" spans="1:23" ht="23.1" customHeight="1">
      <c r="A189" s="248"/>
      <c r="B189" s="249"/>
      <c r="C189" s="250"/>
      <c r="D189" s="251"/>
      <c r="E189" s="252"/>
      <c r="F189" s="253"/>
      <c r="G189" s="252"/>
      <c r="H189" s="252"/>
      <c r="I189" s="252"/>
      <c r="J189" s="252"/>
      <c r="K189" s="252"/>
      <c r="L189" s="252"/>
      <c r="M189" s="252"/>
      <c r="N189" s="252"/>
      <c r="O189" s="252"/>
      <c r="P189" s="252"/>
      <c r="Q189" s="252"/>
      <c r="R189" s="252"/>
      <c r="S189" s="252"/>
      <c r="T189" s="252"/>
      <c r="U189" s="252"/>
      <c r="V189" s="252"/>
      <c r="W189" s="255"/>
    </row>
    <row r="190" spans="1:23" ht="23.1" customHeight="1">
      <c r="A190" s="248"/>
      <c r="B190" s="249"/>
      <c r="C190" s="250"/>
      <c r="D190" s="251"/>
      <c r="E190" s="252"/>
      <c r="F190" s="253"/>
      <c r="G190" s="252"/>
      <c r="H190" s="252"/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  <c r="S190" s="252"/>
      <c r="T190" s="252"/>
      <c r="U190" s="252"/>
      <c r="V190" s="252"/>
      <c r="W190" s="255"/>
    </row>
    <row r="191" spans="1:23" ht="23.1" customHeight="1">
      <c r="A191" s="248"/>
      <c r="B191" s="249"/>
      <c r="C191" s="250"/>
      <c r="D191" s="251"/>
      <c r="E191" s="252"/>
      <c r="F191" s="253"/>
      <c r="G191" s="252"/>
      <c r="H191" s="252"/>
      <c r="I191" s="252"/>
      <c r="J191" s="252"/>
      <c r="K191" s="252"/>
      <c r="L191" s="252"/>
      <c r="M191" s="252"/>
      <c r="N191" s="252"/>
      <c r="O191" s="252"/>
      <c r="P191" s="252"/>
      <c r="Q191" s="252"/>
      <c r="R191" s="252"/>
      <c r="S191" s="252"/>
      <c r="T191" s="252"/>
      <c r="U191" s="252"/>
      <c r="V191" s="252"/>
      <c r="W191" s="255"/>
    </row>
    <row r="192" spans="1:23" ht="23.1" customHeight="1">
      <c r="A192" s="248"/>
      <c r="B192" s="249"/>
      <c r="C192" s="250"/>
      <c r="D192" s="251"/>
      <c r="E192" s="252"/>
      <c r="F192" s="253"/>
      <c r="G192" s="252"/>
      <c r="H192" s="252"/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  <c r="S192" s="252"/>
      <c r="T192" s="252"/>
      <c r="U192" s="252"/>
      <c r="V192" s="252"/>
      <c r="W192" s="255"/>
    </row>
    <row r="193" spans="1:23" ht="23.1" customHeight="1">
      <c r="A193" s="248"/>
      <c r="B193" s="249"/>
      <c r="C193" s="250"/>
      <c r="D193" s="251"/>
      <c r="E193" s="252"/>
      <c r="F193" s="253"/>
      <c r="G193" s="252"/>
      <c r="H193" s="252"/>
      <c r="I193" s="252"/>
      <c r="J193" s="252"/>
      <c r="K193" s="252"/>
      <c r="L193" s="252"/>
      <c r="M193" s="252"/>
      <c r="N193" s="252"/>
      <c r="O193" s="252"/>
      <c r="P193" s="252"/>
      <c r="Q193" s="252"/>
      <c r="R193" s="252"/>
      <c r="S193" s="252"/>
      <c r="T193" s="252"/>
      <c r="U193" s="252"/>
      <c r="V193" s="252"/>
      <c r="W193" s="255"/>
    </row>
    <row r="194" spans="1:23" ht="23.1" customHeight="1">
      <c r="A194" s="248"/>
      <c r="B194" s="249"/>
      <c r="C194" s="250"/>
      <c r="D194" s="251"/>
      <c r="E194" s="252"/>
      <c r="F194" s="253"/>
      <c r="G194" s="252"/>
      <c r="H194" s="252"/>
      <c r="I194" s="252"/>
      <c r="J194" s="252"/>
      <c r="K194" s="252"/>
      <c r="L194" s="252"/>
      <c r="M194" s="252"/>
      <c r="N194" s="252"/>
      <c r="O194" s="252"/>
      <c r="P194" s="252"/>
      <c r="Q194" s="252"/>
      <c r="R194" s="252"/>
      <c r="S194" s="252"/>
      <c r="T194" s="252"/>
      <c r="U194" s="252"/>
      <c r="V194" s="252"/>
      <c r="W194" s="255"/>
    </row>
    <row r="195" spans="1:23" ht="23.1" customHeight="1">
      <c r="A195" s="248"/>
      <c r="B195" s="249"/>
      <c r="C195" s="250"/>
      <c r="D195" s="251"/>
      <c r="E195" s="252"/>
      <c r="F195" s="253"/>
      <c r="G195" s="252"/>
      <c r="H195" s="252"/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  <c r="S195" s="252"/>
      <c r="T195" s="252"/>
      <c r="U195" s="252"/>
      <c r="V195" s="252"/>
      <c r="W195" s="255"/>
    </row>
    <row r="196" spans="1:23" ht="23.1" customHeight="1">
      <c r="A196" s="248"/>
      <c r="B196" s="249"/>
      <c r="C196" s="250"/>
      <c r="D196" s="251"/>
      <c r="E196" s="252"/>
      <c r="F196" s="253"/>
      <c r="G196" s="252"/>
      <c r="H196" s="252"/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  <c r="S196" s="252"/>
      <c r="T196" s="252"/>
      <c r="U196" s="252"/>
      <c r="V196" s="252"/>
      <c r="W196" s="255"/>
    </row>
    <row r="197" spans="1:23" ht="23.1" customHeight="1">
      <c r="A197" s="248"/>
      <c r="B197" s="249"/>
      <c r="C197" s="250"/>
      <c r="D197" s="251"/>
      <c r="E197" s="252"/>
      <c r="F197" s="253"/>
      <c r="G197" s="252"/>
      <c r="H197" s="252"/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  <c r="S197" s="252"/>
      <c r="T197" s="252"/>
      <c r="U197" s="252"/>
      <c r="V197" s="252"/>
      <c r="W197" s="255"/>
    </row>
    <row r="198" spans="1:23" ht="23.1" customHeight="1">
      <c r="A198" s="248"/>
      <c r="B198" s="249"/>
      <c r="C198" s="250"/>
      <c r="D198" s="251"/>
      <c r="E198" s="252"/>
      <c r="F198" s="253"/>
      <c r="G198" s="252"/>
      <c r="H198" s="252"/>
      <c r="I198" s="252"/>
      <c r="J198" s="252"/>
      <c r="K198" s="252"/>
      <c r="L198" s="252"/>
      <c r="M198" s="252"/>
      <c r="N198" s="252"/>
      <c r="O198" s="252"/>
      <c r="P198" s="252"/>
      <c r="Q198" s="252"/>
      <c r="R198" s="252"/>
      <c r="S198" s="252"/>
      <c r="T198" s="252"/>
      <c r="U198" s="252"/>
      <c r="V198" s="252"/>
      <c r="W198" s="255"/>
    </row>
    <row r="199" spans="1:23" ht="23.1" customHeight="1">
      <c r="A199" s="248"/>
      <c r="B199" s="249"/>
      <c r="C199" s="250"/>
      <c r="D199" s="251"/>
      <c r="E199" s="252"/>
      <c r="F199" s="253"/>
      <c r="G199" s="252"/>
      <c r="H199" s="252"/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  <c r="S199" s="252"/>
      <c r="T199" s="252"/>
      <c r="U199" s="252"/>
      <c r="V199" s="252"/>
      <c r="W199" s="255"/>
    </row>
    <row r="200" spans="1:23" ht="23.1" customHeight="1">
      <c r="A200" s="248"/>
      <c r="B200" s="249"/>
      <c r="C200" s="250"/>
      <c r="D200" s="251"/>
      <c r="E200" s="252"/>
      <c r="F200" s="253"/>
      <c r="G200" s="252"/>
      <c r="H200" s="252"/>
      <c r="I200" s="252"/>
      <c r="J200" s="252"/>
      <c r="K200" s="252"/>
      <c r="L200" s="252"/>
      <c r="M200" s="252"/>
      <c r="N200" s="252"/>
      <c r="O200" s="252"/>
      <c r="P200" s="252"/>
      <c r="Q200" s="252"/>
      <c r="R200" s="252"/>
      <c r="S200" s="252"/>
      <c r="T200" s="252"/>
      <c r="U200" s="252"/>
      <c r="V200" s="252"/>
      <c r="W200" s="255"/>
    </row>
    <row r="201" spans="1:23" ht="23.1" customHeight="1">
      <c r="A201" s="248"/>
      <c r="B201" s="249"/>
      <c r="C201" s="250"/>
      <c r="D201" s="251"/>
      <c r="E201" s="252"/>
      <c r="F201" s="253"/>
      <c r="G201" s="252"/>
      <c r="H201" s="252"/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  <c r="S201" s="252"/>
      <c r="T201" s="252"/>
      <c r="U201" s="252"/>
      <c r="V201" s="252"/>
      <c r="W201" s="255"/>
    </row>
    <row r="202" spans="1:23" ht="23.1" customHeight="1">
      <c r="A202" s="248"/>
      <c r="B202" s="249"/>
      <c r="C202" s="250"/>
      <c r="D202" s="251"/>
      <c r="E202" s="252"/>
      <c r="F202" s="253"/>
      <c r="G202" s="252"/>
      <c r="H202" s="252"/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  <c r="S202" s="252"/>
      <c r="T202" s="252"/>
      <c r="U202" s="252"/>
      <c r="V202" s="252"/>
      <c r="W202" s="255"/>
    </row>
    <row r="203" spans="1:23" ht="23.1" customHeight="1">
      <c r="A203" s="248"/>
      <c r="B203" s="249"/>
      <c r="C203" s="250"/>
      <c r="D203" s="251"/>
      <c r="E203" s="252"/>
      <c r="F203" s="253"/>
      <c r="G203" s="252"/>
      <c r="H203" s="252"/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  <c r="S203" s="252"/>
      <c r="T203" s="252"/>
      <c r="U203" s="252"/>
      <c r="V203" s="252"/>
      <c r="W203" s="255"/>
    </row>
    <row r="204" spans="1:23" ht="23.1" customHeight="1">
      <c r="A204" s="248"/>
      <c r="B204" s="249"/>
      <c r="C204" s="250"/>
      <c r="D204" s="251"/>
      <c r="E204" s="252"/>
      <c r="F204" s="253"/>
      <c r="G204" s="252"/>
      <c r="H204" s="252"/>
      <c r="I204" s="252"/>
      <c r="J204" s="252"/>
      <c r="K204" s="252"/>
      <c r="L204" s="252"/>
      <c r="M204" s="252"/>
      <c r="N204" s="252"/>
      <c r="O204" s="252"/>
      <c r="P204" s="252"/>
      <c r="Q204" s="252"/>
      <c r="R204" s="252"/>
      <c r="S204" s="252"/>
      <c r="T204" s="252"/>
      <c r="U204" s="252"/>
      <c r="V204" s="252"/>
      <c r="W204" s="255"/>
    </row>
    <row r="205" spans="1:23" ht="23.1" customHeight="1">
      <c r="A205" s="248"/>
      <c r="B205" s="249"/>
      <c r="C205" s="250"/>
      <c r="D205" s="251"/>
      <c r="E205" s="252"/>
      <c r="F205" s="253"/>
      <c r="G205" s="252"/>
      <c r="H205" s="252"/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  <c r="S205" s="252"/>
      <c r="T205" s="252"/>
      <c r="U205" s="252"/>
      <c r="V205" s="252"/>
      <c r="W205" s="255"/>
    </row>
    <row r="206" spans="1:23" ht="23.1" customHeight="1">
      <c r="A206" s="248"/>
      <c r="B206" s="249"/>
      <c r="C206" s="250"/>
      <c r="D206" s="251"/>
      <c r="E206" s="252"/>
      <c r="F206" s="253"/>
      <c r="G206" s="252"/>
      <c r="H206" s="252"/>
      <c r="I206" s="252"/>
      <c r="J206" s="252"/>
      <c r="K206" s="252"/>
      <c r="L206" s="252"/>
      <c r="M206" s="252"/>
      <c r="N206" s="252"/>
      <c r="O206" s="252"/>
      <c r="P206" s="252"/>
      <c r="Q206" s="252"/>
      <c r="R206" s="252"/>
      <c r="S206" s="252"/>
      <c r="T206" s="252"/>
      <c r="U206" s="252"/>
      <c r="V206" s="252"/>
      <c r="W206" s="255"/>
    </row>
    <row r="207" spans="1:23" ht="23.1" customHeight="1">
      <c r="A207" s="248"/>
      <c r="B207" s="249"/>
      <c r="C207" s="250"/>
      <c r="D207" s="251"/>
      <c r="E207" s="252"/>
      <c r="F207" s="253"/>
      <c r="G207" s="252"/>
      <c r="H207" s="252"/>
      <c r="I207" s="252"/>
      <c r="J207" s="252"/>
      <c r="K207" s="252"/>
      <c r="L207" s="252"/>
      <c r="M207" s="252"/>
      <c r="N207" s="252"/>
      <c r="O207" s="252"/>
      <c r="P207" s="252"/>
      <c r="Q207" s="252"/>
      <c r="R207" s="252"/>
      <c r="S207" s="252"/>
      <c r="T207" s="252"/>
      <c r="U207" s="252"/>
      <c r="V207" s="252"/>
      <c r="W207" s="255"/>
    </row>
    <row r="208" spans="1:23" ht="23.1" customHeight="1">
      <c r="A208" s="248"/>
      <c r="B208" s="249"/>
      <c r="C208" s="250"/>
      <c r="D208" s="251"/>
      <c r="E208" s="252"/>
      <c r="F208" s="253"/>
      <c r="G208" s="252"/>
      <c r="H208" s="252"/>
      <c r="I208" s="252"/>
      <c r="J208" s="252"/>
      <c r="K208" s="252"/>
      <c r="L208" s="252"/>
      <c r="M208" s="252"/>
      <c r="N208" s="252"/>
      <c r="O208" s="252"/>
      <c r="P208" s="252"/>
      <c r="Q208" s="252"/>
      <c r="R208" s="252"/>
      <c r="S208" s="252"/>
      <c r="T208" s="252"/>
      <c r="U208" s="252"/>
      <c r="V208" s="252"/>
      <c r="W208" s="255"/>
    </row>
    <row r="209" spans="1:23" ht="23.1" customHeight="1">
      <c r="A209" s="248"/>
      <c r="B209" s="249"/>
      <c r="C209" s="250"/>
      <c r="D209" s="251"/>
      <c r="E209" s="252"/>
      <c r="F209" s="253"/>
      <c r="G209" s="252"/>
      <c r="H209" s="252"/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  <c r="S209" s="252"/>
      <c r="T209" s="252"/>
      <c r="U209" s="252"/>
      <c r="V209" s="252"/>
      <c r="W209" s="255"/>
    </row>
    <row r="210" spans="1:23" ht="23.1" customHeight="1">
      <c r="A210" s="248"/>
      <c r="B210" s="249"/>
      <c r="C210" s="250"/>
      <c r="D210" s="251"/>
      <c r="E210" s="252"/>
      <c r="F210" s="253"/>
      <c r="G210" s="252"/>
      <c r="H210" s="252"/>
      <c r="I210" s="252"/>
      <c r="J210" s="252"/>
      <c r="K210" s="252"/>
      <c r="L210" s="252"/>
      <c r="M210" s="252"/>
      <c r="N210" s="252"/>
      <c r="O210" s="252"/>
      <c r="P210" s="252"/>
      <c r="Q210" s="252"/>
      <c r="R210" s="252"/>
      <c r="S210" s="252"/>
      <c r="T210" s="252"/>
      <c r="U210" s="252"/>
      <c r="V210" s="252"/>
      <c r="W210" s="255"/>
    </row>
    <row r="211" spans="1:23" ht="23.1" customHeight="1">
      <c r="A211" s="248"/>
      <c r="B211" s="249"/>
      <c r="C211" s="250"/>
      <c r="D211" s="251"/>
      <c r="E211" s="252"/>
      <c r="F211" s="253"/>
      <c r="G211" s="252"/>
      <c r="H211" s="252"/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  <c r="S211" s="252"/>
      <c r="T211" s="252"/>
      <c r="U211" s="252"/>
      <c r="V211" s="252"/>
      <c r="W211" s="255"/>
    </row>
    <row r="212" spans="1:23" ht="23.1" customHeight="1">
      <c r="A212" s="248"/>
      <c r="B212" s="249"/>
      <c r="C212" s="250"/>
      <c r="D212" s="251"/>
      <c r="E212" s="252"/>
      <c r="F212" s="253"/>
      <c r="G212" s="252"/>
      <c r="H212" s="252"/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  <c r="S212" s="252"/>
      <c r="T212" s="252"/>
      <c r="U212" s="252"/>
      <c r="V212" s="252"/>
      <c r="W212" s="255"/>
    </row>
    <row r="213" spans="1:23" ht="23.1" customHeight="1">
      <c r="A213" s="248"/>
      <c r="B213" s="249"/>
      <c r="C213" s="250"/>
      <c r="D213" s="251"/>
      <c r="E213" s="252"/>
      <c r="F213" s="253"/>
      <c r="G213" s="252"/>
      <c r="H213" s="252"/>
      <c r="I213" s="252"/>
      <c r="J213" s="252"/>
      <c r="K213" s="252"/>
      <c r="L213" s="252"/>
      <c r="M213" s="252"/>
      <c r="N213" s="252"/>
      <c r="O213" s="252"/>
      <c r="P213" s="252"/>
      <c r="Q213" s="252"/>
      <c r="R213" s="252"/>
      <c r="S213" s="252"/>
      <c r="T213" s="252"/>
      <c r="U213" s="252"/>
      <c r="V213" s="252"/>
      <c r="W213" s="255"/>
    </row>
    <row r="214" spans="1:23" ht="23.1" customHeight="1">
      <c r="A214" s="248"/>
      <c r="B214" s="249"/>
      <c r="C214" s="250"/>
      <c r="D214" s="251"/>
      <c r="E214" s="252"/>
      <c r="F214" s="253"/>
      <c r="G214" s="252"/>
      <c r="H214" s="252"/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  <c r="S214" s="252"/>
      <c r="T214" s="252"/>
      <c r="U214" s="252"/>
      <c r="V214" s="252"/>
      <c r="W214" s="255"/>
    </row>
    <row r="215" spans="1:23" ht="23.1" customHeight="1">
      <c r="A215" s="248"/>
      <c r="B215" s="249"/>
      <c r="C215" s="250"/>
      <c r="D215" s="251"/>
      <c r="E215" s="252"/>
      <c r="F215" s="253"/>
      <c r="G215" s="252"/>
      <c r="H215" s="252"/>
      <c r="I215" s="252"/>
      <c r="J215" s="252"/>
      <c r="K215" s="252"/>
      <c r="L215" s="252"/>
      <c r="M215" s="252"/>
      <c r="N215" s="252"/>
      <c r="O215" s="252"/>
      <c r="P215" s="252"/>
      <c r="Q215" s="252"/>
      <c r="R215" s="252"/>
      <c r="S215" s="252"/>
      <c r="T215" s="252"/>
      <c r="U215" s="252"/>
      <c r="V215" s="252"/>
      <c r="W215" s="255"/>
    </row>
    <row r="216" spans="1:23" ht="23.1" customHeight="1">
      <c r="A216" s="248"/>
      <c r="B216" s="249"/>
      <c r="C216" s="250"/>
      <c r="D216" s="251"/>
      <c r="E216" s="252"/>
      <c r="F216" s="253"/>
      <c r="G216" s="252"/>
      <c r="H216" s="252"/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  <c r="S216" s="252"/>
      <c r="T216" s="252"/>
      <c r="U216" s="252"/>
      <c r="V216" s="252"/>
      <c r="W216" s="255"/>
    </row>
    <row r="217" spans="1:23" ht="23.1" customHeight="1">
      <c r="A217" s="248"/>
      <c r="B217" s="249"/>
      <c r="C217" s="250"/>
      <c r="D217" s="251"/>
      <c r="E217" s="252"/>
      <c r="F217" s="253"/>
      <c r="G217" s="252"/>
      <c r="H217" s="252"/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  <c r="S217" s="252"/>
      <c r="T217" s="252"/>
      <c r="U217" s="252"/>
      <c r="V217" s="252"/>
      <c r="W217" s="255"/>
    </row>
    <row r="218" spans="1:23" ht="23.1" customHeight="1">
      <c r="A218" s="248"/>
      <c r="B218" s="249"/>
      <c r="C218" s="250"/>
      <c r="D218" s="251"/>
      <c r="E218" s="252"/>
      <c r="F218" s="253"/>
      <c r="G218" s="252"/>
      <c r="H218" s="252"/>
      <c r="I218" s="252"/>
      <c r="J218" s="252"/>
      <c r="K218" s="252"/>
      <c r="L218" s="252"/>
      <c r="M218" s="252"/>
      <c r="N218" s="252"/>
      <c r="O218" s="252"/>
      <c r="P218" s="252"/>
      <c r="Q218" s="252"/>
      <c r="R218" s="252"/>
      <c r="S218" s="252"/>
      <c r="T218" s="252"/>
      <c r="U218" s="252"/>
      <c r="V218" s="252"/>
      <c r="W218" s="255"/>
    </row>
    <row r="219" spans="1:23" ht="23.1" customHeight="1">
      <c r="A219" s="248"/>
      <c r="B219" s="249"/>
      <c r="C219" s="250"/>
      <c r="D219" s="251"/>
      <c r="E219" s="252"/>
      <c r="F219" s="253"/>
      <c r="G219" s="252"/>
      <c r="H219" s="252"/>
      <c r="I219" s="252"/>
      <c r="J219" s="252"/>
      <c r="K219" s="252"/>
      <c r="L219" s="252"/>
      <c r="M219" s="252"/>
      <c r="N219" s="252"/>
      <c r="O219" s="252"/>
      <c r="P219" s="252"/>
      <c r="Q219" s="252"/>
      <c r="R219" s="252"/>
      <c r="S219" s="252"/>
      <c r="T219" s="252"/>
      <c r="U219" s="252"/>
      <c r="V219" s="252"/>
      <c r="W219" s="255"/>
    </row>
    <row r="220" spans="1:23" ht="23.1" customHeight="1">
      <c r="A220" s="248"/>
      <c r="B220" s="249"/>
      <c r="C220" s="250"/>
      <c r="D220" s="251"/>
      <c r="E220" s="252"/>
      <c r="F220" s="253"/>
      <c r="G220" s="252"/>
      <c r="H220" s="252"/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  <c r="S220" s="252"/>
      <c r="T220" s="252"/>
      <c r="U220" s="252"/>
      <c r="V220" s="252"/>
      <c r="W220" s="255"/>
    </row>
    <row r="221" spans="1:23" ht="23.1" customHeight="1">
      <c r="A221" s="248"/>
      <c r="B221" s="249"/>
      <c r="C221" s="250"/>
      <c r="D221" s="251"/>
      <c r="E221" s="252"/>
      <c r="F221" s="253"/>
      <c r="G221" s="252"/>
      <c r="H221" s="252"/>
      <c r="I221" s="252"/>
      <c r="J221" s="252"/>
      <c r="K221" s="252"/>
      <c r="L221" s="252"/>
      <c r="M221" s="252"/>
      <c r="N221" s="252"/>
      <c r="O221" s="252"/>
      <c r="P221" s="252"/>
      <c r="Q221" s="252"/>
      <c r="R221" s="252"/>
      <c r="S221" s="252"/>
      <c r="T221" s="252"/>
      <c r="U221" s="252"/>
      <c r="V221" s="252"/>
      <c r="W221" s="255"/>
    </row>
    <row r="222" spans="1:23" ht="23.1" customHeight="1">
      <c r="A222" s="248"/>
      <c r="B222" s="249"/>
      <c r="C222" s="250"/>
      <c r="D222" s="251"/>
      <c r="E222" s="252"/>
      <c r="F222" s="253"/>
      <c r="G222" s="252"/>
      <c r="H222" s="252"/>
      <c r="I222" s="252"/>
      <c r="J222" s="252"/>
      <c r="K222" s="252"/>
      <c r="L222" s="252"/>
      <c r="M222" s="252"/>
      <c r="N222" s="252"/>
      <c r="O222" s="252"/>
      <c r="P222" s="252"/>
      <c r="Q222" s="252"/>
      <c r="R222" s="252"/>
      <c r="S222" s="252"/>
      <c r="T222" s="252"/>
      <c r="U222" s="252"/>
      <c r="V222" s="252"/>
      <c r="W222" s="255"/>
    </row>
    <row r="223" spans="1:23" ht="23.1" customHeight="1">
      <c r="A223" s="248"/>
      <c r="B223" s="249"/>
      <c r="C223" s="250"/>
      <c r="D223" s="251"/>
      <c r="E223" s="252"/>
      <c r="F223" s="253"/>
      <c r="G223" s="252"/>
      <c r="H223" s="252"/>
      <c r="I223" s="252"/>
      <c r="J223" s="252"/>
      <c r="K223" s="252"/>
      <c r="L223" s="252"/>
      <c r="M223" s="252"/>
      <c r="N223" s="252"/>
      <c r="O223" s="252"/>
      <c r="P223" s="252"/>
      <c r="Q223" s="252"/>
      <c r="R223" s="252"/>
      <c r="S223" s="252"/>
      <c r="T223" s="252"/>
      <c r="U223" s="252"/>
      <c r="V223" s="252"/>
      <c r="W223" s="255"/>
    </row>
    <row r="224" spans="1:23" ht="23.1" customHeight="1">
      <c r="A224" s="248"/>
      <c r="B224" s="249"/>
      <c r="C224" s="250"/>
      <c r="D224" s="251"/>
      <c r="E224" s="252"/>
      <c r="F224" s="253"/>
      <c r="G224" s="252"/>
      <c r="H224" s="252"/>
      <c r="I224" s="252"/>
      <c r="J224" s="252"/>
      <c r="K224" s="252"/>
      <c r="L224" s="252"/>
      <c r="M224" s="252"/>
      <c r="N224" s="252"/>
      <c r="O224" s="252"/>
      <c r="P224" s="252"/>
      <c r="Q224" s="252"/>
      <c r="R224" s="252"/>
      <c r="S224" s="252"/>
      <c r="T224" s="252"/>
      <c r="U224" s="252"/>
      <c r="V224" s="252"/>
      <c r="W224" s="255"/>
    </row>
    <row r="225" spans="1:23" ht="23.1" customHeight="1">
      <c r="A225" s="248"/>
      <c r="B225" s="249"/>
      <c r="C225" s="250"/>
      <c r="D225" s="251"/>
      <c r="E225" s="252"/>
      <c r="F225" s="253"/>
      <c r="G225" s="252"/>
      <c r="H225" s="252"/>
      <c r="I225" s="252"/>
      <c r="J225" s="252"/>
      <c r="K225" s="252"/>
      <c r="L225" s="252"/>
      <c r="M225" s="252"/>
      <c r="N225" s="252"/>
      <c r="O225" s="252"/>
      <c r="P225" s="252"/>
      <c r="Q225" s="252"/>
      <c r="R225" s="252"/>
      <c r="S225" s="252"/>
      <c r="T225" s="252"/>
      <c r="U225" s="252"/>
      <c r="V225" s="252"/>
      <c r="W225" s="255"/>
    </row>
    <row r="226" spans="1:23" ht="23.1" customHeight="1">
      <c r="A226" s="248"/>
      <c r="B226" s="249"/>
      <c r="C226" s="250"/>
      <c r="D226" s="251"/>
      <c r="E226" s="252"/>
      <c r="F226" s="253"/>
      <c r="G226" s="252"/>
      <c r="H226" s="252"/>
      <c r="I226" s="252"/>
      <c r="J226" s="252"/>
      <c r="K226" s="252"/>
      <c r="L226" s="252"/>
      <c r="M226" s="252"/>
      <c r="N226" s="252"/>
      <c r="O226" s="252"/>
      <c r="P226" s="252"/>
      <c r="Q226" s="252"/>
      <c r="R226" s="252"/>
      <c r="S226" s="252"/>
      <c r="T226" s="252"/>
      <c r="U226" s="252"/>
      <c r="V226" s="252"/>
      <c r="W226" s="255"/>
    </row>
    <row r="227" spans="1:23" ht="23.1" customHeight="1">
      <c r="A227" s="248"/>
      <c r="B227" s="249"/>
      <c r="C227" s="250"/>
      <c r="D227" s="251"/>
      <c r="E227" s="252"/>
      <c r="F227" s="253"/>
      <c r="G227" s="252"/>
      <c r="H227" s="252"/>
      <c r="I227" s="252"/>
      <c r="J227" s="252"/>
      <c r="K227" s="252"/>
      <c r="L227" s="252"/>
      <c r="M227" s="252"/>
      <c r="N227" s="252"/>
      <c r="O227" s="252"/>
      <c r="P227" s="252"/>
      <c r="Q227" s="252"/>
      <c r="R227" s="252"/>
      <c r="S227" s="252"/>
      <c r="T227" s="252"/>
      <c r="U227" s="252"/>
      <c r="V227" s="252"/>
      <c r="W227" s="255"/>
    </row>
    <row r="228" spans="1:23" ht="23.1" customHeight="1">
      <c r="A228" s="248"/>
      <c r="B228" s="249"/>
      <c r="C228" s="250"/>
      <c r="D228" s="251"/>
      <c r="E228" s="252"/>
      <c r="F228" s="253"/>
      <c r="G228" s="252"/>
      <c r="H228" s="252"/>
      <c r="I228" s="252"/>
      <c r="J228" s="252"/>
      <c r="K228" s="252"/>
      <c r="L228" s="252"/>
      <c r="M228" s="252"/>
      <c r="N228" s="252"/>
      <c r="O228" s="252"/>
      <c r="P228" s="252"/>
      <c r="Q228" s="252"/>
      <c r="R228" s="252"/>
      <c r="S228" s="252"/>
      <c r="T228" s="252"/>
      <c r="U228" s="252"/>
      <c r="V228" s="252"/>
      <c r="W228" s="255"/>
    </row>
    <row r="229" spans="1:23" ht="23.1" customHeight="1">
      <c r="A229" s="248"/>
      <c r="B229" s="249"/>
      <c r="C229" s="250"/>
      <c r="D229" s="251"/>
      <c r="E229" s="252"/>
      <c r="F229" s="253"/>
      <c r="G229" s="252"/>
      <c r="H229" s="252"/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  <c r="S229" s="252"/>
      <c r="T229" s="252"/>
      <c r="U229" s="252"/>
      <c r="V229" s="252"/>
      <c r="W229" s="255"/>
    </row>
    <row r="230" spans="1:23" ht="23.1" customHeight="1">
      <c r="A230" s="248"/>
      <c r="B230" s="249"/>
      <c r="C230" s="250"/>
      <c r="D230" s="251"/>
      <c r="E230" s="252"/>
      <c r="F230" s="253"/>
      <c r="G230" s="252"/>
      <c r="H230" s="252"/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  <c r="S230" s="252"/>
      <c r="T230" s="252"/>
      <c r="U230" s="252"/>
      <c r="V230" s="252"/>
      <c r="W230" s="255"/>
    </row>
    <row r="231" spans="1:23" ht="23.1" customHeight="1">
      <c r="A231" s="248"/>
      <c r="B231" s="249"/>
      <c r="C231" s="250"/>
      <c r="D231" s="251"/>
      <c r="E231" s="252"/>
      <c r="F231" s="253"/>
      <c r="G231" s="252"/>
      <c r="H231" s="252"/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  <c r="S231" s="252"/>
      <c r="T231" s="252"/>
      <c r="U231" s="252"/>
      <c r="V231" s="252"/>
      <c r="W231" s="255"/>
    </row>
    <row r="232" spans="1:23" ht="23.1" customHeight="1">
      <c r="A232" s="248"/>
      <c r="B232" s="249"/>
      <c r="C232" s="250"/>
      <c r="D232" s="251"/>
      <c r="E232" s="252"/>
      <c r="F232" s="253"/>
      <c r="G232" s="252"/>
      <c r="H232" s="252"/>
      <c r="I232" s="252"/>
      <c r="J232" s="252"/>
      <c r="K232" s="252"/>
      <c r="L232" s="252"/>
      <c r="M232" s="252"/>
      <c r="N232" s="252"/>
      <c r="O232" s="252"/>
      <c r="P232" s="252"/>
      <c r="Q232" s="252"/>
      <c r="R232" s="252"/>
      <c r="S232" s="252"/>
      <c r="T232" s="252"/>
      <c r="U232" s="252"/>
      <c r="V232" s="252"/>
      <c r="W232" s="255"/>
    </row>
    <row r="233" spans="1:23" ht="23.1" customHeight="1">
      <c r="A233" s="248"/>
      <c r="B233" s="249"/>
      <c r="C233" s="250"/>
      <c r="D233" s="251"/>
      <c r="E233" s="252"/>
      <c r="F233" s="253"/>
      <c r="G233" s="252"/>
      <c r="H233" s="252"/>
      <c r="I233" s="252"/>
      <c r="J233" s="252"/>
      <c r="K233" s="252"/>
      <c r="L233" s="252"/>
      <c r="M233" s="252"/>
      <c r="N233" s="252"/>
      <c r="O233" s="252"/>
      <c r="P233" s="252"/>
      <c r="Q233" s="252"/>
      <c r="R233" s="252"/>
      <c r="S233" s="252"/>
      <c r="T233" s="252"/>
      <c r="U233" s="252"/>
      <c r="V233" s="252"/>
      <c r="W233" s="255"/>
    </row>
    <row r="234" spans="1:23" ht="23.1" customHeight="1">
      <c r="A234" s="248"/>
      <c r="B234" s="249"/>
      <c r="C234" s="250"/>
      <c r="D234" s="251"/>
      <c r="E234" s="252"/>
      <c r="F234" s="253"/>
      <c r="G234" s="252"/>
      <c r="H234" s="252"/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  <c r="S234" s="252"/>
      <c r="T234" s="252"/>
      <c r="U234" s="252"/>
      <c r="V234" s="252"/>
      <c r="W234" s="255"/>
    </row>
    <row r="235" spans="1:23" ht="23.1" customHeight="1">
      <c r="A235" s="248"/>
      <c r="B235" s="249"/>
      <c r="C235" s="250"/>
      <c r="D235" s="251"/>
      <c r="E235" s="252"/>
      <c r="F235" s="253"/>
      <c r="G235" s="252"/>
      <c r="H235" s="252"/>
      <c r="I235" s="252"/>
      <c r="J235" s="252"/>
      <c r="K235" s="252"/>
      <c r="L235" s="252"/>
      <c r="M235" s="252"/>
      <c r="N235" s="252"/>
      <c r="O235" s="252"/>
      <c r="P235" s="252"/>
      <c r="Q235" s="252"/>
      <c r="R235" s="252"/>
      <c r="S235" s="252"/>
      <c r="T235" s="252"/>
      <c r="U235" s="252"/>
      <c r="V235" s="252"/>
      <c r="W235" s="255"/>
    </row>
    <row r="236" spans="1:23" ht="23.1" customHeight="1">
      <c r="A236" s="248"/>
      <c r="B236" s="249"/>
      <c r="C236" s="250"/>
      <c r="D236" s="251"/>
      <c r="E236" s="252"/>
      <c r="F236" s="253"/>
      <c r="G236" s="252"/>
      <c r="H236" s="252"/>
      <c r="I236" s="252"/>
      <c r="J236" s="252"/>
      <c r="K236" s="252"/>
      <c r="L236" s="252"/>
      <c r="M236" s="252"/>
      <c r="N236" s="252"/>
      <c r="O236" s="252"/>
      <c r="P236" s="252"/>
      <c r="Q236" s="252"/>
      <c r="R236" s="252"/>
      <c r="S236" s="252"/>
      <c r="T236" s="252"/>
      <c r="U236" s="252"/>
      <c r="V236" s="252"/>
      <c r="W236" s="255"/>
    </row>
    <row r="237" spans="1:23" ht="23.1" customHeight="1">
      <c r="A237" s="248"/>
      <c r="B237" s="249"/>
      <c r="C237" s="250"/>
      <c r="D237" s="251"/>
      <c r="E237" s="252"/>
      <c r="F237" s="253"/>
      <c r="G237" s="252"/>
      <c r="H237" s="252"/>
      <c r="I237" s="252"/>
      <c r="J237" s="252"/>
      <c r="K237" s="252"/>
      <c r="L237" s="252"/>
      <c r="M237" s="252"/>
      <c r="N237" s="252"/>
      <c r="O237" s="252"/>
      <c r="P237" s="252"/>
      <c r="Q237" s="252"/>
      <c r="R237" s="252"/>
      <c r="S237" s="252"/>
      <c r="T237" s="252"/>
      <c r="U237" s="252"/>
      <c r="V237" s="252"/>
      <c r="W237" s="255"/>
    </row>
    <row r="238" spans="1:23" ht="23.1" customHeight="1">
      <c r="A238" s="248"/>
      <c r="B238" s="249"/>
      <c r="C238" s="250"/>
      <c r="D238" s="251"/>
      <c r="E238" s="252"/>
      <c r="F238" s="253"/>
      <c r="G238" s="252"/>
      <c r="H238" s="252"/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  <c r="S238" s="252"/>
      <c r="T238" s="252"/>
      <c r="U238" s="252"/>
      <c r="V238" s="252"/>
      <c r="W238" s="255"/>
    </row>
    <row r="239" spans="1:23" ht="23.1" customHeight="1">
      <c r="A239" s="248"/>
      <c r="B239" s="249"/>
      <c r="C239" s="250"/>
      <c r="D239" s="251"/>
      <c r="E239" s="252"/>
      <c r="F239" s="253"/>
      <c r="G239" s="252"/>
      <c r="H239" s="252"/>
      <c r="I239" s="252"/>
      <c r="J239" s="252"/>
      <c r="K239" s="252"/>
      <c r="L239" s="252"/>
      <c r="M239" s="252"/>
      <c r="N239" s="252"/>
      <c r="O239" s="252"/>
      <c r="P239" s="252"/>
      <c r="Q239" s="252"/>
      <c r="R239" s="252"/>
      <c r="S239" s="252"/>
      <c r="T239" s="252"/>
      <c r="U239" s="252"/>
      <c r="V239" s="252"/>
      <c r="W239" s="255"/>
    </row>
    <row r="240" spans="1:23" ht="23.1" customHeight="1">
      <c r="A240" s="248"/>
      <c r="B240" s="249"/>
      <c r="C240" s="250"/>
      <c r="D240" s="251"/>
      <c r="E240" s="252"/>
      <c r="F240" s="253"/>
      <c r="G240" s="252"/>
      <c r="H240" s="252"/>
      <c r="I240" s="252"/>
      <c r="J240" s="252"/>
      <c r="K240" s="252"/>
      <c r="L240" s="252"/>
      <c r="M240" s="252"/>
      <c r="N240" s="252"/>
      <c r="O240" s="252"/>
      <c r="P240" s="252"/>
      <c r="Q240" s="252"/>
      <c r="R240" s="252"/>
      <c r="S240" s="252"/>
      <c r="T240" s="252"/>
      <c r="U240" s="252"/>
      <c r="V240" s="252"/>
      <c r="W240" s="255"/>
    </row>
    <row r="241" spans="1:23" ht="23.1" customHeight="1">
      <c r="A241" s="248"/>
      <c r="B241" s="249"/>
      <c r="C241" s="250"/>
      <c r="D241" s="251"/>
      <c r="E241" s="252"/>
      <c r="F241" s="253"/>
      <c r="G241" s="252"/>
      <c r="H241" s="252"/>
      <c r="I241" s="252"/>
      <c r="J241" s="252"/>
      <c r="K241" s="252"/>
      <c r="L241" s="252"/>
      <c r="M241" s="252"/>
      <c r="N241" s="252"/>
      <c r="O241" s="252"/>
      <c r="P241" s="252"/>
      <c r="Q241" s="252"/>
      <c r="R241" s="252"/>
      <c r="S241" s="252"/>
      <c r="T241" s="252"/>
      <c r="U241" s="252"/>
      <c r="V241" s="252"/>
      <c r="W241" s="255"/>
    </row>
    <row r="242" spans="1:23" ht="23.1" customHeight="1">
      <c r="A242" s="248"/>
      <c r="B242" s="249"/>
      <c r="C242" s="250"/>
      <c r="D242" s="251"/>
      <c r="E242" s="252"/>
      <c r="F242" s="253"/>
      <c r="G242" s="252"/>
      <c r="H242" s="252"/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  <c r="S242" s="252"/>
      <c r="T242" s="252"/>
      <c r="U242" s="252"/>
      <c r="V242" s="252"/>
      <c r="W242" s="255"/>
    </row>
    <row r="243" spans="1:23" ht="23.1" customHeight="1">
      <c r="A243" s="248"/>
      <c r="B243" s="249"/>
      <c r="C243" s="250"/>
      <c r="D243" s="251"/>
      <c r="E243" s="252"/>
      <c r="F243" s="253"/>
      <c r="G243" s="252"/>
      <c r="H243" s="252"/>
      <c r="I243" s="252"/>
      <c r="J243" s="252"/>
      <c r="K243" s="252"/>
      <c r="L243" s="252"/>
      <c r="M243" s="252"/>
      <c r="N243" s="252"/>
      <c r="O243" s="252"/>
      <c r="P243" s="252"/>
      <c r="Q243" s="252"/>
      <c r="R243" s="252"/>
      <c r="S243" s="252"/>
      <c r="T243" s="252"/>
      <c r="U243" s="252"/>
      <c r="V243" s="252"/>
      <c r="W243" s="255"/>
    </row>
    <row r="244" spans="1:23" ht="23.1" customHeight="1">
      <c r="A244" s="248"/>
      <c r="B244" s="249"/>
      <c r="C244" s="250"/>
      <c r="D244" s="251"/>
      <c r="E244" s="252"/>
      <c r="F244" s="253"/>
      <c r="G244" s="252"/>
      <c r="H244" s="252"/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  <c r="S244" s="252"/>
      <c r="T244" s="252"/>
      <c r="U244" s="252"/>
      <c r="V244" s="252"/>
      <c r="W244" s="255"/>
    </row>
    <row r="245" spans="1:23" ht="23.1" customHeight="1">
      <c r="A245" s="248"/>
      <c r="B245" s="249"/>
      <c r="C245" s="250"/>
      <c r="D245" s="251"/>
      <c r="E245" s="252"/>
      <c r="F245" s="253"/>
      <c r="G245" s="252"/>
      <c r="H245" s="252"/>
      <c r="I245" s="252"/>
      <c r="J245" s="252"/>
      <c r="K245" s="252"/>
      <c r="L245" s="252"/>
      <c r="M245" s="252"/>
      <c r="N245" s="252"/>
      <c r="O245" s="252"/>
      <c r="P245" s="252"/>
      <c r="Q245" s="252"/>
      <c r="R245" s="252"/>
      <c r="S245" s="252"/>
      <c r="T245" s="252"/>
      <c r="U245" s="252"/>
      <c r="V245" s="252"/>
      <c r="W245" s="255"/>
    </row>
    <row r="246" spans="1:23" ht="23.1" customHeight="1">
      <c r="A246" s="248"/>
      <c r="B246" s="249"/>
      <c r="C246" s="250"/>
      <c r="D246" s="251"/>
      <c r="E246" s="252"/>
      <c r="F246" s="253"/>
      <c r="G246" s="252"/>
      <c r="H246" s="252"/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  <c r="S246" s="252"/>
      <c r="T246" s="252"/>
      <c r="U246" s="252"/>
      <c r="V246" s="252"/>
      <c r="W246" s="255"/>
    </row>
    <row r="247" spans="1:23" ht="23.1" customHeight="1">
      <c r="A247" s="248"/>
      <c r="B247" s="249"/>
      <c r="C247" s="250"/>
      <c r="D247" s="251"/>
      <c r="E247" s="252"/>
      <c r="F247" s="253"/>
      <c r="G247" s="252"/>
      <c r="H247" s="252"/>
      <c r="I247" s="252"/>
      <c r="J247" s="252"/>
      <c r="K247" s="252"/>
      <c r="L247" s="252"/>
      <c r="M247" s="252"/>
      <c r="N247" s="252"/>
      <c r="O247" s="252"/>
      <c r="P247" s="252"/>
      <c r="Q247" s="252"/>
      <c r="R247" s="252"/>
      <c r="S247" s="252"/>
      <c r="T247" s="252"/>
      <c r="U247" s="252"/>
      <c r="V247" s="252"/>
      <c r="W247" s="255"/>
    </row>
    <row r="248" spans="1:23" ht="23.1" customHeight="1">
      <c r="A248" s="248"/>
      <c r="B248" s="249"/>
      <c r="C248" s="250"/>
      <c r="D248" s="251"/>
      <c r="E248" s="252"/>
      <c r="F248" s="253"/>
      <c r="G248" s="252"/>
      <c r="H248" s="252"/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  <c r="S248" s="252"/>
      <c r="T248" s="252"/>
      <c r="U248" s="252"/>
      <c r="V248" s="252"/>
      <c r="W248" s="255"/>
    </row>
    <row r="249" spans="1:23" ht="23.1" customHeight="1">
      <c r="A249" s="248"/>
      <c r="B249" s="249"/>
      <c r="C249" s="250"/>
      <c r="D249" s="251"/>
      <c r="E249" s="252"/>
      <c r="F249" s="253"/>
      <c r="G249" s="252"/>
      <c r="H249" s="252"/>
      <c r="I249" s="252"/>
      <c r="J249" s="252"/>
      <c r="K249" s="252"/>
      <c r="L249" s="252"/>
      <c r="M249" s="252"/>
      <c r="N249" s="252"/>
      <c r="O249" s="252"/>
      <c r="P249" s="252"/>
      <c r="Q249" s="252"/>
      <c r="R249" s="252"/>
      <c r="S249" s="252"/>
      <c r="T249" s="252"/>
      <c r="U249" s="252"/>
      <c r="V249" s="252"/>
      <c r="W249" s="255"/>
    </row>
    <row r="250" spans="1:23" ht="23.1" customHeight="1">
      <c r="A250" s="248"/>
      <c r="B250" s="249"/>
      <c r="C250" s="250"/>
      <c r="D250" s="251"/>
      <c r="E250" s="252"/>
      <c r="F250" s="253"/>
      <c r="G250" s="252"/>
      <c r="H250" s="252"/>
      <c r="I250" s="252"/>
      <c r="J250" s="252"/>
      <c r="K250" s="252"/>
      <c r="L250" s="252"/>
      <c r="M250" s="252"/>
      <c r="N250" s="252"/>
      <c r="O250" s="252"/>
      <c r="P250" s="252"/>
      <c r="Q250" s="252"/>
      <c r="R250" s="252"/>
      <c r="S250" s="252"/>
      <c r="T250" s="252"/>
      <c r="U250" s="252"/>
      <c r="V250" s="252"/>
      <c r="W250" s="255"/>
    </row>
    <row r="251" spans="1:23" ht="23.1" customHeight="1">
      <c r="A251" s="248"/>
      <c r="B251" s="249"/>
      <c r="C251" s="250"/>
      <c r="D251" s="251"/>
      <c r="E251" s="252"/>
      <c r="F251" s="253"/>
      <c r="G251" s="252"/>
      <c r="H251" s="252"/>
      <c r="I251" s="252"/>
      <c r="J251" s="252"/>
      <c r="K251" s="252"/>
      <c r="L251" s="252"/>
      <c r="M251" s="252"/>
      <c r="N251" s="252"/>
      <c r="O251" s="252"/>
      <c r="P251" s="252"/>
      <c r="Q251" s="252"/>
      <c r="R251" s="252"/>
      <c r="S251" s="252"/>
      <c r="T251" s="252"/>
      <c r="U251" s="252"/>
      <c r="V251" s="252"/>
      <c r="W251" s="255"/>
    </row>
    <row r="252" spans="1:23" ht="23.1" customHeight="1">
      <c r="A252" s="248"/>
      <c r="B252" s="249"/>
      <c r="C252" s="250"/>
      <c r="D252" s="251"/>
      <c r="E252" s="252"/>
      <c r="F252" s="253"/>
      <c r="G252" s="252"/>
      <c r="H252" s="252"/>
      <c r="I252" s="252"/>
      <c r="J252" s="252"/>
      <c r="K252" s="252"/>
      <c r="L252" s="252"/>
      <c r="M252" s="252"/>
      <c r="N252" s="252"/>
      <c r="O252" s="252"/>
      <c r="P252" s="252"/>
      <c r="Q252" s="252"/>
      <c r="R252" s="252"/>
      <c r="S252" s="252"/>
      <c r="T252" s="252"/>
      <c r="U252" s="252"/>
      <c r="V252" s="252"/>
      <c r="W252" s="255"/>
    </row>
    <row r="253" spans="1:23" ht="23.1" customHeight="1">
      <c r="A253" s="248"/>
      <c r="B253" s="249"/>
      <c r="C253" s="250"/>
      <c r="D253" s="251"/>
      <c r="E253" s="252"/>
      <c r="F253" s="253"/>
      <c r="G253" s="252"/>
      <c r="H253" s="252"/>
      <c r="I253" s="252"/>
      <c r="J253" s="252"/>
      <c r="K253" s="252"/>
      <c r="L253" s="252"/>
      <c r="M253" s="252"/>
      <c r="N253" s="252"/>
      <c r="O253" s="252"/>
      <c r="P253" s="252"/>
      <c r="Q253" s="252"/>
      <c r="R253" s="252"/>
      <c r="S253" s="252"/>
      <c r="T253" s="252"/>
      <c r="U253" s="252"/>
      <c r="V253" s="252"/>
      <c r="W253" s="255"/>
    </row>
    <row r="254" spans="1:23" ht="23.1" customHeight="1">
      <c r="A254" s="248"/>
      <c r="B254" s="249"/>
      <c r="C254" s="250"/>
      <c r="D254" s="251"/>
      <c r="E254" s="252"/>
      <c r="F254" s="253"/>
      <c r="G254" s="252"/>
      <c r="H254" s="252"/>
      <c r="I254" s="252"/>
      <c r="J254" s="252"/>
      <c r="K254" s="252"/>
      <c r="L254" s="252"/>
      <c r="M254" s="252"/>
      <c r="N254" s="252"/>
      <c r="O254" s="252"/>
      <c r="P254" s="252"/>
      <c r="Q254" s="252"/>
      <c r="R254" s="252"/>
      <c r="S254" s="252"/>
      <c r="T254" s="252"/>
      <c r="U254" s="252"/>
      <c r="V254" s="252"/>
      <c r="W254" s="255"/>
    </row>
    <row r="255" spans="1:23" ht="23.1" customHeight="1">
      <c r="A255" s="248"/>
      <c r="B255" s="249"/>
      <c r="C255" s="250"/>
      <c r="D255" s="251"/>
      <c r="E255" s="252"/>
      <c r="F255" s="253"/>
      <c r="G255" s="252"/>
      <c r="H255" s="252"/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  <c r="S255" s="252"/>
      <c r="T255" s="252"/>
      <c r="U255" s="252"/>
      <c r="V255" s="252"/>
      <c r="W255" s="255"/>
    </row>
    <row r="256" spans="1:23" ht="23.1" customHeight="1">
      <c r="A256" s="248"/>
      <c r="B256" s="249"/>
      <c r="C256" s="250"/>
      <c r="D256" s="251"/>
      <c r="E256" s="252"/>
      <c r="F256" s="253"/>
      <c r="G256" s="252"/>
      <c r="H256" s="252"/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  <c r="S256" s="252"/>
      <c r="T256" s="252"/>
      <c r="U256" s="252"/>
      <c r="V256" s="252"/>
      <c r="W256" s="255"/>
    </row>
    <row r="257" spans="1:23" ht="23.1" customHeight="1">
      <c r="A257" s="248"/>
      <c r="B257" s="249"/>
      <c r="C257" s="250"/>
      <c r="D257" s="251"/>
      <c r="E257" s="252"/>
      <c r="F257" s="253"/>
      <c r="G257" s="252"/>
      <c r="H257" s="252"/>
      <c r="I257" s="252"/>
      <c r="J257" s="252"/>
      <c r="K257" s="252"/>
      <c r="L257" s="252"/>
      <c r="M257" s="252"/>
      <c r="N257" s="252"/>
      <c r="O257" s="252"/>
      <c r="P257" s="252"/>
      <c r="Q257" s="252"/>
      <c r="R257" s="252"/>
      <c r="S257" s="252"/>
      <c r="T257" s="252"/>
      <c r="U257" s="252"/>
      <c r="V257" s="252"/>
      <c r="W257" s="255"/>
    </row>
    <row r="258" spans="1:23" ht="23.1" customHeight="1">
      <c r="A258" s="248"/>
      <c r="B258" s="249"/>
      <c r="C258" s="250"/>
      <c r="D258" s="251"/>
      <c r="E258" s="252"/>
      <c r="F258" s="253"/>
      <c r="G258" s="252"/>
      <c r="H258" s="252"/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  <c r="S258" s="252"/>
      <c r="T258" s="252"/>
      <c r="U258" s="252"/>
      <c r="V258" s="252"/>
      <c r="W258" s="255"/>
    </row>
    <row r="259" spans="1:23" ht="23.1" customHeight="1">
      <c r="A259" s="248"/>
      <c r="B259" s="249"/>
      <c r="C259" s="250"/>
      <c r="D259" s="251"/>
      <c r="E259" s="252"/>
      <c r="F259" s="253"/>
      <c r="G259" s="252"/>
      <c r="H259" s="252"/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  <c r="S259" s="252"/>
      <c r="T259" s="252"/>
      <c r="U259" s="252"/>
      <c r="V259" s="252"/>
      <c r="W259" s="255"/>
    </row>
    <row r="260" spans="1:23" ht="23.1" customHeight="1">
      <c r="A260" s="248"/>
      <c r="B260" s="249"/>
      <c r="C260" s="250"/>
      <c r="D260" s="251"/>
      <c r="E260" s="252"/>
      <c r="F260" s="253"/>
      <c r="G260" s="252"/>
      <c r="H260" s="252"/>
      <c r="I260" s="252"/>
      <c r="J260" s="252"/>
      <c r="K260" s="252"/>
      <c r="L260" s="252"/>
      <c r="M260" s="252"/>
      <c r="N260" s="252"/>
      <c r="O260" s="252"/>
      <c r="P260" s="252"/>
      <c r="Q260" s="252"/>
      <c r="R260" s="252"/>
      <c r="S260" s="252"/>
      <c r="T260" s="252"/>
      <c r="U260" s="252"/>
      <c r="V260" s="252"/>
      <c r="W260" s="255"/>
    </row>
    <row r="261" spans="1:23" ht="23.1" customHeight="1">
      <c r="A261" s="248"/>
      <c r="B261" s="249"/>
      <c r="C261" s="250"/>
      <c r="D261" s="251"/>
      <c r="E261" s="252"/>
      <c r="F261" s="253"/>
      <c r="G261" s="252"/>
      <c r="H261" s="252"/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  <c r="S261" s="252"/>
      <c r="T261" s="252"/>
      <c r="U261" s="252"/>
      <c r="V261" s="252"/>
      <c r="W261" s="255"/>
    </row>
    <row r="262" spans="1:23" ht="23.1" customHeight="1">
      <c r="A262" s="248"/>
      <c r="B262" s="249"/>
      <c r="C262" s="250"/>
      <c r="D262" s="251"/>
      <c r="E262" s="252"/>
      <c r="F262" s="253"/>
      <c r="G262" s="252"/>
      <c r="H262" s="252"/>
      <c r="I262" s="252"/>
      <c r="J262" s="252"/>
      <c r="K262" s="252"/>
      <c r="L262" s="252"/>
      <c r="M262" s="252"/>
      <c r="N262" s="252"/>
      <c r="O262" s="252"/>
      <c r="P262" s="252"/>
      <c r="Q262" s="252"/>
      <c r="R262" s="252"/>
      <c r="S262" s="252"/>
      <c r="T262" s="252"/>
      <c r="U262" s="252"/>
      <c r="V262" s="252"/>
      <c r="W262" s="255"/>
    </row>
    <row r="263" spans="1:23" ht="23.1" customHeight="1">
      <c r="A263" s="248"/>
      <c r="B263" s="249"/>
      <c r="C263" s="250"/>
      <c r="D263" s="251"/>
      <c r="E263" s="252"/>
      <c r="F263" s="253"/>
      <c r="G263" s="252"/>
      <c r="H263" s="252"/>
      <c r="I263" s="252"/>
      <c r="J263" s="252"/>
      <c r="K263" s="252"/>
      <c r="L263" s="252"/>
      <c r="M263" s="252"/>
      <c r="N263" s="252"/>
      <c r="O263" s="252"/>
      <c r="P263" s="252"/>
      <c r="Q263" s="252"/>
      <c r="R263" s="252"/>
      <c r="S263" s="252"/>
      <c r="T263" s="252"/>
      <c r="U263" s="252"/>
      <c r="V263" s="252"/>
      <c r="W263" s="255"/>
    </row>
    <row r="264" spans="1:23" ht="23.1" customHeight="1">
      <c r="A264" s="248"/>
      <c r="B264" s="249"/>
      <c r="C264" s="250"/>
      <c r="D264" s="251"/>
      <c r="E264" s="252"/>
      <c r="F264" s="253"/>
      <c r="G264" s="252"/>
      <c r="H264" s="252"/>
      <c r="I264" s="252"/>
      <c r="J264" s="252"/>
      <c r="K264" s="252"/>
      <c r="L264" s="252"/>
      <c r="M264" s="252"/>
      <c r="N264" s="252"/>
      <c r="O264" s="252"/>
      <c r="P264" s="252"/>
      <c r="Q264" s="252"/>
      <c r="R264" s="252"/>
      <c r="S264" s="252"/>
      <c r="T264" s="252"/>
      <c r="U264" s="252"/>
      <c r="V264" s="252"/>
      <c r="W264" s="255"/>
    </row>
    <row r="265" spans="1:23" ht="23.1" customHeight="1">
      <c r="A265" s="248"/>
      <c r="B265" s="249"/>
      <c r="C265" s="250"/>
      <c r="D265" s="251"/>
      <c r="E265" s="252"/>
      <c r="F265" s="253"/>
      <c r="G265" s="252"/>
      <c r="H265" s="252"/>
      <c r="I265" s="252"/>
      <c r="J265" s="252"/>
      <c r="K265" s="252"/>
      <c r="L265" s="252"/>
      <c r="M265" s="252"/>
      <c r="N265" s="252"/>
      <c r="O265" s="252"/>
      <c r="P265" s="252"/>
      <c r="Q265" s="252"/>
      <c r="R265" s="252"/>
      <c r="S265" s="252"/>
      <c r="T265" s="252"/>
      <c r="U265" s="252"/>
      <c r="V265" s="252"/>
      <c r="W265" s="255"/>
    </row>
    <row r="266" spans="1:23" ht="23.1" customHeight="1">
      <c r="A266" s="248"/>
      <c r="B266" s="249"/>
      <c r="C266" s="250"/>
      <c r="D266" s="251"/>
      <c r="E266" s="252"/>
      <c r="F266" s="253"/>
      <c r="G266" s="252"/>
      <c r="H266" s="252"/>
      <c r="I266" s="252"/>
      <c r="J266" s="252"/>
      <c r="K266" s="252"/>
      <c r="L266" s="252"/>
      <c r="M266" s="252"/>
      <c r="N266" s="252"/>
      <c r="O266" s="252"/>
      <c r="P266" s="252"/>
      <c r="Q266" s="252"/>
      <c r="R266" s="252"/>
      <c r="S266" s="252"/>
      <c r="T266" s="252"/>
      <c r="U266" s="252"/>
      <c r="V266" s="252"/>
      <c r="W266" s="255"/>
    </row>
    <row r="267" spans="1:23" ht="23.1" customHeight="1">
      <c r="A267" s="248"/>
      <c r="B267" s="249"/>
      <c r="C267" s="250"/>
      <c r="D267" s="251"/>
      <c r="E267" s="252"/>
      <c r="F267" s="253"/>
      <c r="G267" s="252"/>
      <c r="H267" s="252"/>
      <c r="I267" s="252"/>
      <c r="J267" s="252"/>
      <c r="K267" s="252"/>
      <c r="L267" s="252"/>
      <c r="M267" s="252"/>
      <c r="N267" s="252"/>
      <c r="O267" s="252"/>
      <c r="P267" s="252"/>
      <c r="Q267" s="252"/>
      <c r="R267" s="252"/>
      <c r="S267" s="252"/>
      <c r="T267" s="252"/>
      <c r="U267" s="252"/>
      <c r="V267" s="252"/>
      <c r="W267" s="255"/>
    </row>
    <row r="268" spans="1:23" ht="23.1" customHeight="1">
      <c r="A268" s="248"/>
      <c r="B268" s="249"/>
      <c r="C268" s="250"/>
      <c r="D268" s="251"/>
      <c r="E268" s="252"/>
      <c r="F268" s="253"/>
      <c r="G268" s="252"/>
      <c r="H268" s="252"/>
      <c r="I268" s="252"/>
      <c r="J268" s="252"/>
      <c r="K268" s="252"/>
      <c r="L268" s="252"/>
      <c r="M268" s="252"/>
      <c r="N268" s="252"/>
      <c r="O268" s="252"/>
      <c r="P268" s="252"/>
      <c r="Q268" s="252"/>
      <c r="R268" s="252"/>
      <c r="S268" s="252"/>
      <c r="T268" s="252"/>
      <c r="U268" s="252"/>
      <c r="V268" s="252"/>
      <c r="W268" s="255"/>
    </row>
    <row r="269" spans="1:23" ht="23.1" customHeight="1">
      <c r="A269" s="248"/>
      <c r="B269" s="249"/>
      <c r="C269" s="250"/>
      <c r="D269" s="251"/>
      <c r="E269" s="252"/>
      <c r="F269" s="253"/>
      <c r="G269" s="252"/>
      <c r="H269" s="252"/>
      <c r="I269" s="252"/>
      <c r="J269" s="252"/>
      <c r="K269" s="252"/>
      <c r="L269" s="252"/>
      <c r="M269" s="252"/>
      <c r="N269" s="252"/>
      <c r="O269" s="252"/>
      <c r="P269" s="252"/>
      <c r="Q269" s="252"/>
      <c r="R269" s="252"/>
      <c r="S269" s="252"/>
      <c r="T269" s="252"/>
      <c r="U269" s="252"/>
      <c r="V269" s="252"/>
      <c r="W269" s="255"/>
    </row>
    <row r="270" spans="1:23" ht="23.1" customHeight="1">
      <c r="A270" s="248"/>
      <c r="B270" s="249"/>
      <c r="C270" s="250"/>
      <c r="D270" s="251"/>
      <c r="E270" s="252"/>
      <c r="F270" s="253"/>
      <c r="G270" s="252"/>
      <c r="H270" s="252"/>
      <c r="I270" s="252"/>
      <c r="J270" s="252"/>
      <c r="K270" s="252"/>
      <c r="L270" s="252"/>
      <c r="M270" s="252"/>
      <c r="N270" s="252"/>
      <c r="O270" s="252"/>
      <c r="P270" s="252"/>
      <c r="Q270" s="252"/>
      <c r="R270" s="252"/>
      <c r="S270" s="252"/>
      <c r="T270" s="252"/>
      <c r="U270" s="252"/>
      <c r="V270" s="252"/>
      <c r="W270" s="255"/>
    </row>
    <row r="271" spans="1:23" ht="23.1" customHeight="1">
      <c r="A271" s="248"/>
      <c r="B271" s="249"/>
      <c r="C271" s="250"/>
      <c r="D271" s="251"/>
      <c r="E271" s="252"/>
      <c r="F271" s="253"/>
      <c r="G271" s="252"/>
      <c r="H271" s="252"/>
      <c r="I271" s="252"/>
      <c r="J271" s="252"/>
      <c r="K271" s="252"/>
      <c r="L271" s="252"/>
      <c r="M271" s="252"/>
      <c r="N271" s="252"/>
      <c r="O271" s="252"/>
      <c r="P271" s="252"/>
      <c r="Q271" s="252"/>
      <c r="R271" s="252"/>
      <c r="S271" s="252"/>
      <c r="T271" s="252"/>
      <c r="U271" s="252"/>
      <c r="V271" s="252"/>
      <c r="W271" s="255"/>
    </row>
    <row r="272" spans="1:23" ht="23.1" customHeight="1">
      <c r="A272" s="248"/>
      <c r="B272" s="249"/>
      <c r="C272" s="250"/>
      <c r="D272" s="251"/>
      <c r="E272" s="252"/>
      <c r="F272" s="253"/>
      <c r="G272" s="252"/>
      <c r="H272" s="252"/>
      <c r="I272" s="252"/>
      <c r="J272" s="252"/>
      <c r="K272" s="252"/>
      <c r="L272" s="252"/>
      <c r="M272" s="252"/>
      <c r="N272" s="252"/>
      <c r="O272" s="252"/>
      <c r="P272" s="252"/>
      <c r="Q272" s="252"/>
      <c r="R272" s="252"/>
      <c r="S272" s="252"/>
      <c r="T272" s="252"/>
      <c r="U272" s="252"/>
      <c r="V272" s="252"/>
      <c r="W272" s="255"/>
    </row>
    <row r="273" spans="1:23" ht="23.1" customHeight="1">
      <c r="A273" s="248"/>
      <c r="B273" s="249"/>
      <c r="C273" s="250"/>
      <c r="D273" s="251"/>
      <c r="E273" s="252"/>
      <c r="F273" s="253"/>
      <c r="G273" s="252"/>
      <c r="H273" s="252"/>
      <c r="I273" s="252"/>
      <c r="J273" s="252"/>
      <c r="K273" s="252"/>
      <c r="L273" s="252"/>
      <c r="M273" s="252"/>
      <c r="N273" s="252"/>
      <c r="O273" s="252"/>
      <c r="P273" s="252"/>
      <c r="Q273" s="252"/>
      <c r="R273" s="252"/>
      <c r="S273" s="252"/>
      <c r="T273" s="252"/>
      <c r="U273" s="252"/>
      <c r="V273" s="252"/>
      <c r="W273" s="255"/>
    </row>
    <row r="274" spans="1:23" ht="23.1" customHeight="1">
      <c r="A274" s="248"/>
      <c r="B274" s="249"/>
      <c r="C274" s="250"/>
      <c r="D274" s="251"/>
      <c r="E274" s="252"/>
      <c r="F274" s="253"/>
      <c r="G274" s="252"/>
      <c r="H274" s="252"/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  <c r="S274" s="252"/>
      <c r="T274" s="252"/>
      <c r="U274" s="252"/>
      <c r="V274" s="252"/>
      <c r="W274" s="255"/>
    </row>
    <row r="275" spans="1:23" ht="23.1" customHeight="1">
      <c r="A275" s="248"/>
      <c r="B275" s="249"/>
      <c r="C275" s="250"/>
      <c r="D275" s="251"/>
      <c r="E275" s="252"/>
      <c r="F275" s="253"/>
      <c r="G275" s="252"/>
      <c r="H275" s="252"/>
      <c r="I275" s="252"/>
      <c r="J275" s="252"/>
      <c r="K275" s="252"/>
      <c r="L275" s="252"/>
      <c r="M275" s="252"/>
      <c r="N275" s="252"/>
      <c r="O275" s="252"/>
      <c r="P275" s="252"/>
      <c r="Q275" s="252"/>
      <c r="R275" s="252"/>
      <c r="S275" s="252"/>
      <c r="T275" s="252"/>
      <c r="U275" s="252"/>
      <c r="V275" s="252"/>
      <c r="W275" s="255"/>
    </row>
    <row r="276" spans="1:23" ht="23.1" customHeight="1">
      <c r="A276" s="248"/>
      <c r="B276" s="249"/>
      <c r="C276" s="250"/>
      <c r="D276" s="251"/>
      <c r="E276" s="252"/>
      <c r="F276" s="253"/>
      <c r="G276" s="252"/>
      <c r="H276" s="252"/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  <c r="S276" s="252"/>
      <c r="T276" s="252"/>
      <c r="U276" s="252"/>
      <c r="V276" s="252"/>
      <c r="W276" s="255"/>
    </row>
    <row r="277" spans="1:23" ht="23.1" customHeight="1">
      <c r="A277" s="248"/>
      <c r="B277" s="249"/>
      <c r="C277" s="250"/>
      <c r="D277" s="251"/>
      <c r="E277" s="252"/>
      <c r="F277" s="253"/>
      <c r="G277" s="252"/>
      <c r="H277" s="252"/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  <c r="S277" s="252"/>
      <c r="T277" s="252"/>
      <c r="U277" s="252"/>
      <c r="V277" s="252"/>
      <c r="W277" s="255"/>
    </row>
    <row r="278" spans="1:23" ht="23.1" customHeight="1">
      <c r="A278" s="248"/>
      <c r="B278" s="249"/>
      <c r="C278" s="250"/>
      <c r="D278" s="251"/>
      <c r="E278" s="252"/>
      <c r="F278" s="253"/>
      <c r="G278" s="252"/>
      <c r="H278" s="252"/>
      <c r="I278" s="252"/>
      <c r="J278" s="252"/>
      <c r="K278" s="252"/>
      <c r="L278" s="252"/>
      <c r="M278" s="252"/>
      <c r="N278" s="252"/>
      <c r="O278" s="252"/>
      <c r="P278" s="252"/>
      <c r="Q278" s="252"/>
      <c r="R278" s="252"/>
      <c r="S278" s="252"/>
      <c r="T278" s="252"/>
      <c r="U278" s="252"/>
      <c r="V278" s="252"/>
      <c r="W278" s="255"/>
    </row>
    <row r="279" spans="1:23" ht="23.1" customHeight="1">
      <c r="A279" s="248"/>
      <c r="B279" s="249"/>
      <c r="C279" s="250"/>
      <c r="D279" s="251"/>
      <c r="E279" s="252"/>
      <c r="F279" s="253"/>
      <c r="G279" s="252"/>
      <c r="H279" s="252"/>
      <c r="I279" s="252"/>
      <c r="J279" s="252"/>
      <c r="K279" s="252"/>
      <c r="L279" s="252"/>
      <c r="M279" s="252"/>
      <c r="N279" s="252"/>
      <c r="O279" s="252"/>
      <c r="P279" s="252"/>
      <c r="Q279" s="252"/>
      <c r="R279" s="252"/>
      <c r="S279" s="252"/>
      <c r="T279" s="252"/>
      <c r="U279" s="252"/>
      <c r="V279" s="252"/>
      <c r="W279" s="255"/>
    </row>
    <row r="280" spans="1:23" ht="23.1" customHeight="1">
      <c r="A280" s="248"/>
      <c r="B280" s="249"/>
      <c r="C280" s="250"/>
      <c r="D280" s="251"/>
      <c r="E280" s="252"/>
      <c r="F280" s="253"/>
      <c r="G280" s="252"/>
      <c r="H280" s="252"/>
      <c r="I280" s="252"/>
      <c r="J280" s="252"/>
      <c r="K280" s="252"/>
      <c r="L280" s="252"/>
      <c r="M280" s="252"/>
      <c r="N280" s="252"/>
      <c r="O280" s="252"/>
      <c r="P280" s="252"/>
      <c r="Q280" s="252"/>
      <c r="R280" s="252"/>
      <c r="S280" s="252"/>
      <c r="T280" s="252"/>
      <c r="U280" s="252"/>
      <c r="V280" s="252"/>
      <c r="W280" s="255"/>
    </row>
    <row r="281" spans="1:23" ht="23.1" customHeight="1">
      <c r="A281" s="248"/>
      <c r="B281" s="249"/>
      <c r="C281" s="250"/>
      <c r="D281" s="251"/>
      <c r="E281" s="252"/>
      <c r="F281" s="253"/>
      <c r="G281" s="252"/>
      <c r="H281" s="252"/>
      <c r="I281" s="252"/>
      <c r="J281" s="252"/>
      <c r="K281" s="252"/>
      <c r="L281" s="252"/>
      <c r="M281" s="252"/>
      <c r="N281" s="252"/>
      <c r="O281" s="252"/>
      <c r="P281" s="252"/>
      <c r="Q281" s="252"/>
      <c r="R281" s="252"/>
      <c r="S281" s="252"/>
      <c r="T281" s="252"/>
      <c r="U281" s="252"/>
      <c r="V281" s="252"/>
      <c r="W281" s="255"/>
    </row>
    <row r="282" spans="1:23" ht="23.1" customHeight="1">
      <c r="A282" s="248"/>
      <c r="B282" s="249"/>
      <c r="C282" s="250"/>
      <c r="D282" s="251"/>
      <c r="E282" s="252"/>
      <c r="F282" s="253"/>
      <c r="G282" s="252"/>
      <c r="H282" s="252"/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  <c r="S282" s="252"/>
      <c r="T282" s="252"/>
      <c r="U282" s="252"/>
      <c r="V282" s="252"/>
      <c r="W282" s="255"/>
    </row>
    <row r="283" spans="1:23" ht="23.1" customHeight="1">
      <c r="A283" s="248"/>
      <c r="B283" s="249"/>
      <c r="C283" s="250"/>
      <c r="D283" s="251"/>
      <c r="E283" s="252"/>
      <c r="F283" s="253"/>
      <c r="G283" s="252"/>
      <c r="H283" s="252"/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  <c r="S283" s="252"/>
      <c r="T283" s="252"/>
      <c r="U283" s="252"/>
      <c r="V283" s="252"/>
      <c r="W283" s="255"/>
    </row>
    <row r="284" spans="1:23" ht="23.1" customHeight="1">
      <c r="A284" s="248"/>
      <c r="B284" s="249"/>
      <c r="C284" s="250"/>
      <c r="D284" s="251"/>
      <c r="E284" s="252"/>
      <c r="F284" s="253"/>
      <c r="G284" s="252"/>
      <c r="H284" s="252"/>
      <c r="I284" s="252"/>
      <c r="J284" s="252"/>
      <c r="K284" s="252"/>
      <c r="L284" s="252"/>
      <c r="M284" s="252"/>
      <c r="N284" s="252"/>
      <c r="O284" s="252"/>
      <c r="P284" s="252"/>
      <c r="Q284" s="252"/>
      <c r="R284" s="252"/>
      <c r="S284" s="252"/>
      <c r="T284" s="252"/>
      <c r="U284" s="252"/>
      <c r="V284" s="252"/>
      <c r="W284" s="255"/>
    </row>
    <row r="285" spans="1:23" ht="23.1" customHeight="1">
      <c r="A285" s="248"/>
      <c r="B285" s="249"/>
      <c r="C285" s="250"/>
      <c r="D285" s="251"/>
      <c r="E285" s="252"/>
      <c r="F285" s="253"/>
      <c r="G285" s="252"/>
      <c r="H285" s="252"/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  <c r="S285" s="252"/>
      <c r="T285" s="252"/>
      <c r="U285" s="252"/>
      <c r="V285" s="252"/>
      <c r="W285" s="255"/>
    </row>
    <row r="286" spans="1:23" ht="23.1" customHeight="1">
      <c r="A286" s="248"/>
      <c r="B286" s="249"/>
      <c r="C286" s="250"/>
      <c r="D286" s="251"/>
      <c r="E286" s="252"/>
      <c r="F286" s="253"/>
      <c r="G286" s="252"/>
      <c r="H286" s="252"/>
      <c r="I286" s="252"/>
      <c r="J286" s="252"/>
      <c r="K286" s="252"/>
      <c r="L286" s="252"/>
      <c r="M286" s="252"/>
      <c r="N286" s="252"/>
      <c r="O286" s="252"/>
      <c r="P286" s="252"/>
      <c r="Q286" s="252"/>
      <c r="R286" s="252"/>
      <c r="S286" s="252"/>
      <c r="T286" s="252"/>
      <c r="U286" s="252"/>
      <c r="V286" s="252"/>
      <c r="W286" s="255"/>
    </row>
    <row r="287" spans="1:23" ht="23.1" customHeight="1">
      <c r="A287" s="248"/>
      <c r="B287" s="249"/>
      <c r="C287" s="250"/>
      <c r="D287" s="251"/>
      <c r="E287" s="252"/>
      <c r="F287" s="253"/>
      <c r="G287" s="252"/>
      <c r="H287" s="252"/>
      <c r="I287" s="252"/>
      <c r="J287" s="252"/>
      <c r="K287" s="252"/>
      <c r="L287" s="252"/>
      <c r="M287" s="252"/>
      <c r="N287" s="252"/>
      <c r="O287" s="252"/>
      <c r="P287" s="252"/>
      <c r="Q287" s="252"/>
      <c r="R287" s="252"/>
      <c r="S287" s="252"/>
      <c r="T287" s="252"/>
      <c r="U287" s="252"/>
      <c r="V287" s="252"/>
      <c r="W287" s="255"/>
    </row>
    <row r="288" spans="1:23" ht="23.1" customHeight="1">
      <c r="A288" s="248"/>
      <c r="B288" s="249"/>
      <c r="C288" s="250"/>
      <c r="D288" s="251"/>
      <c r="E288" s="252"/>
      <c r="F288" s="253"/>
      <c r="G288" s="252"/>
      <c r="H288" s="252"/>
      <c r="I288" s="252"/>
      <c r="J288" s="252"/>
      <c r="K288" s="252"/>
      <c r="L288" s="252"/>
      <c r="M288" s="252"/>
      <c r="N288" s="252"/>
      <c r="O288" s="252"/>
      <c r="P288" s="252"/>
      <c r="Q288" s="252"/>
      <c r="R288" s="252"/>
      <c r="S288" s="252"/>
      <c r="T288" s="252"/>
      <c r="U288" s="252"/>
      <c r="V288" s="252"/>
      <c r="W288" s="255"/>
    </row>
    <row r="289" spans="1:23" ht="23.1" customHeight="1">
      <c r="A289" s="248"/>
      <c r="B289" s="249"/>
      <c r="C289" s="250"/>
      <c r="D289" s="251"/>
      <c r="E289" s="252"/>
      <c r="F289" s="253"/>
      <c r="G289" s="252"/>
      <c r="H289" s="252"/>
      <c r="I289" s="252"/>
      <c r="J289" s="252"/>
      <c r="K289" s="252"/>
      <c r="L289" s="252"/>
      <c r="M289" s="252"/>
      <c r="N289" s="252"/>
      <c r="O289" s="252"/>
      <c r="P289" s="252"/>
      <c r="Q289" s="252"/>
      <c r="R289" s="252"/>
      <c r="S289" s="252"/>
      <c r="T289" s="252"/>
      <c r="U289" s="252"/>
      <c r="V289" s="252"/>
      <c r="W289" s="255"/>
    </row>
    <row r="290" spans="1:23" ht="23.1" customHeight="1">
      <c r="A290" s="248"/>
      <c r="B290" s="249"/>
      <c r="C290" s="250"/>
      <c r="D290" s="251"/>
      <c r="E290" s="252"/>
      <c r="F290" s="253"/>
      <c r="G290" s="252"/>
      <c r="H290" s="252"/>
      <c r="I290" s="252"/>
      <c r="J290" s="252"/>
      <c r="K290" s="252"/>
      <c r="L290" s="252"/>
      <c r="M290" s="252"/>
      <c r="N290" s="252"/>
      <c r="O290" s="252"/>
      <c r="P290" s="252"/>
      <c r="Q290" s="252"/>
      <c r="R290" s="252"/>
      <c r="S290" s="252"/>
      <c r="T290" s="252"/>
      <c r="U290" s="252"/>
      <c r="V290" s="252"/>
      <c r="W290" s="255"/>
    </row>
    <row r="291" spans="1:23" ht="23.1" customHeight="1">
      <c r="A291" s="248"/>
      <c r="B291" s="249"/>
      <c r="C291" s="250"/>
      <c r="D291" s="251"/>
      <c r="E291" s="252"/>
      <c r="F291" s="253"/>
      <c r="G291" s="252"/>
      <c r="H291" s="252"/>
      <c r="I291" s="252"/>
      <c r="J291" s="252"/>
      <c r="K291" s="252"/>
      <c r="L291" s="252"/>
      <c r="M291" s="252"/>
      <c r="N291" s="252"/>
      <c r="O291" s="252"/>
      <c r="P291" s="252"/>
      <c r="Q291" s="252"/>
      <c r="R291" s="252"/>
      <c r="S291" s="252"/>
      <c r="T291" s="252"/>
      <c r="U291" s="252"/>
      <c r="V291" s="252"/>
      <c r="W291" s="255"/>
    </row>
    <row r="292" spans="1:23" ht="23.1" customHeight="1">
      <c r="A292" s="248"/>
      <c r="B292" s="249"/>
      <c r="C292" s="250"/>
      <c r="D292" s="251"/>
      <c r="E292" s="252"/>
      <c r="F292" s="253"/>
      <c r="G292" s="252"/>
      <c r="H292" s="252"/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  <c r="S292" s="252"/>
      <c r="T292" s="252"/>
      <c r="U292" s="252"/>
      <c r="V292" s="252"/>
      <c r="W292" s="255"/>
    </row>
    <row r="293" spans="1:23" ht="23.1" customHeight="1">
      <c r="A293" s="248"/>
      <c r="B293" s="249"/>
      <c r="C293" s="250"/>
      <c r="D293" s="251"/>
      <c r="E293" s="252"/>
      <c r="F293" s="253"/>
      <c r="G293" s="252"/>
      <c r="H293" s="252"/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  <c r="S293" s="252"/>
      <c r="T293" s="252"/>
      <c r="U293" s="252"/>
      <c r="V293" s="252"/>
      <c r="W293" s="255"/>
    </row>
    <row r="294" spans="1:23" ht="23.1" customHeight="1">
      <c r="A294" s="248"/>
      <c r="B294" s="249"/>
      <c r="C294" s="250"/>
      <c r="D294" s="251"/>
      <c r="E294" s="252"/>
      <c r="F294" s="253"/>
      <c r="G294" s="252"/>
      <c r="H294" s="252"/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  <c r="S294" s="252"/>
      <c r="T294" s="252"/>
      <c r="U294" s="252"/>
      <c r="V294" s="252"/>
      <c r="W294" s="255"/>
    </row>
    <row r="295" spans="1:23" ht="23.1" customHeight="1">
      <c r="A295" s="248"/>
      <c r="B295" s="249"/>
      <c r="C295" s="250"/>
      <c r="D295" s="251"/>
      <c r="E295" s="252"/>
      <c r="F295" s="253"/>
      <c r="G295" s="252"/>
      <c r="H295" s="252"/>
      <c r="I295" s="252"/>
      <c r="J295" s="252"/>
      <c r="K295" s="252"/>
      <c r="L295" s="252"/>
      <c r="M295" s="252"/>
      <c r="N295" s="252"/>
      <c r="O295" s="252"/>
      <c r="P295" s="252"/>
      <c r="Q295" s="252"/>
      <c r="R295" s="252"/>
      <c r="S295" s="252"/>
      <c r="T295" s="252"/>
      <c r="U295" s="252"/>
      <c r="V295" s="252"/>
      <c r="W295" s="255"/>
    </row>
    <row r="296" spans="1:23" ht="23.1" customHeight="1">
      <c r="A296" s="248"/>
      <c r="B296" s="249"/>
      <c r="C296" s="250"/>
      <c r="D296" s="251"/>
      <c r="E296" s="252"/>
      <c r="F296" s="253"/>
      <c r="G296" s="252"/>
      <c r="H296" s="252"/>
      <c r="I296" s="252"/>
      <c r="J296" s="252"/>
      <c r="K296" s="252"/>
      <c r="L296" s="252"/>
      <c r="M296" s="252"/>
      <c r="N296" s="252"/>
      <c r="O296" s="252"/>
      <c r="P296" s="252"/>
      <c r="Q296" s="252"/>
      <c r="R296" s="252"/>
      <c r="S296" s="252"/>
      <c r="T296" s="252"/>
      <c r="U296" s="252"/>
      <c r="V296" s="252"/>
      <c r="W296" s="255"/>
    </row>
    <row r="297" spans="1:23" ht="23.1" customHeight="1">
      <c r="A297" s="248"/>
      <c r="B297" s="249"/>
      <c r="C297" s="250"/>
      <c r="D297" s="251"/>
      <c r="E297" s="252"/>
      <c r="F297" s="253"/>
      <c r="G297" s="252"/>
      <c r="H297" s="252"/>
      <c r="I297" s="252"/>
      <c r="J297" s="252"/>
      <c r="K297" s="252"/>
      <c r="L297" s="252"/>
      <c r="M297" s="252"/>
      <c r="N297" s="252"/>
      <c r="O297" s="252"/>
      <c r="P297" s="252"/>
      <c r="Q297" s="252"/>
      <c r="R297" s="252"/>
      <c r="S297" s="252"/>
      <c r="T297" s="252"/>
      <c r="U297" s="252"/>
      <c r="V297" s="252"/>
      <c r="W297" s="255"/>
    </row>
    <row r="298" spans="1:23" ht="23.1" customHeight="1">
      <c r="A298" s="248"/>
      <c r="B298" s="249"/>
      <c r="C298" s="250"/>
      <c r="D298" s="251"/>
      <c r="E298" s="252"/>
      <c r="F298" s="253"/>
      <c r="G298" s="252"/>
      <c r="H298" s="252"/>
      <c r="I298" s="252"/>
      <c r="J298" s="252"/>
      <c r="K298" s="252"/>
      <c r="L298" s="252"/>
      <c r="M298" s="252"/>
      <c r="N298" s="252"/>
      <c r="O298" s="252"/>
      <c r="P298" s="252"/>
      <c r="Q298" s="252"/>
      <c r="R298" s="252"/>
      <c r="S298" s="252"/>
      <c r="T298" s="252"/>
      <c r="U298" s="252"/>
      <c r="V298" s="252"/>
      <c r="W298" s="255"/>
    </row>
    <row r="299" spans="1:23" ht="23.1" customHeight="1">
      <c r="A299" s="248"/>
      <c r="B299" s="249"/>
      <c r="C299" s="250"/>
      <c r="D299" s="251"/>
      <c r="E299" s="252"/>
      <c r="F299" s="253"/>
      <c r="G299" s="252"/>
      <c r="H299" s="252"/>
      <c r="I299" s="252"/>
      <c r="J299" s="252"/>
      <c r="K299" s="252"/>
      <c r="L299" s="252"/>
      <c r="M299" s="252"/>
      <c r="N299" s="252"/>
      <c r="O299" s="252"/>
      <c r="P299" s="252"/>
      <c r="Q299" s="252"/>
      <c r="R299" s="252"/>
      <c r="S299" s="252"/>
      <c r="T299" s="252"/>
      <c r="U299" s="252"/>
      <c r="V299" s="252"/>
      <c r="W299" s="255"/>
    </row>
    <row r="300" spans="1:23" ht="23.1" customHeight="1">
      <c r="A300" s="248"/>
      <c r="B300" s="249"/>
      <c r="C300" s="250"/>
      <c r="D300" s="251"/>
      <c r="E300" s="252"/>
      <c r="F300" s="253"/>
      <c r="G300" s="252"/>
      <c r="H300" s="252"/>
      <c r="I300" s="252"/>
      <c r="J300" s="252"/>
      <c r="K300" s="252"/>
      <c r="L300" s="252"/>
      <c r="M300" s="252"/>
      <c r="N300" s="252"/>
      <c r="O300" s="252"/>
      <c r="P300" s="252"/>
      <c r="Q300" s="252"/>
      <c r="R300" s="252"/>
      <c r="S300" s="252"/>
      <c r="T300" s="252"/>
      <c r="U300" s="252"/>
      <c r="V300" s="252"/>
      <c r="W300" s="255"/>
    </row>
    <row r="301" spans="1:23" ht="23.1" customHeight="1">
      <c r="A301" s="248"/>
      <c r="B301" s="249"/>
      <c r="C301" s="250"/>
      <c r="D301" s="251"/>
      <c r="E301" s="252"/>
      <c r="F301" s="253"/>
      <c r="G301" s="252"/>
      <c r="H301" s="252"/>
      <c r="I301" s="252"/>
      <c r="J301" s="252"/>
      <c r="K301" s="252"/>
      <c r="L301" s="252"/>
      <c r="M301" s="252"/>
      <c r="N301" s="252"/>
      <c r="O301" s="252"/>
      <c r="P301" s="252"/>
      <c r="Q301" s="252"/>
      <c r="R301" s="252"/>
      <c r="S301" s="252"/>
      <c r="T301" s="252"/>
      <c r="U301" s="252"/>
      <c r="V301" s="252"/>
      <c r="W301" s="255"/>
    </row>
    <row r="302" spans="1:23" ht="23.1" customHeight="1">
      <c r="A302" s="248"/>
      <c r="B302" s="249"/>
      <c r="C302" s="250"/>
      <c r="D302" s="251"/>
      <c r="E302" s="252"/>
      <c r="F302" s="253"/>
      <c r="G302" s="252"/>
      <c r="H302" s="252"/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  <c r="S302" s="252"/>
      <c r="T302" s="252"/>
      <c r="U302" s="252"/>
      <c r="V302" s="252"/>
      <c r="W302" s="255"/>
    </row>
    <row r="303" spans="1:23" ht="23.1" customHeight="1">
      <c r="A303" s="248"/>
      <c r="B303" s="249"/>
      <c r="C303" s="250"/>
      <c r="D303" s="251"/>
      <c r="E303" s="252"/>
      <c r="F303" s="253"/>
      <c r="G303" s="252"/>
      <c r="H303" s="252"/>
      <c r="I303" s="252"/>
      <c r="J303" s="252"/>
      <c r="K303" s="252"/>
      <c r="L303" s="252"/>
      <c r="M303" s="252"/>
      <c r="N303" s="252"/>
      <c r="O303" s="252"/>
      <c r="P303" s="252"/>
      <c r="Q303" s="252"/>
      <c r="R303" s="252"/>
      <c r="S303" s="252"/>
      <c r="T303" s="252"/>
      <c r="U303" s="252"/>
      <c r="V303" s="252"/>
      <c r="W303" s="255"/>
    </row>
    <row r="304" spans="1:23" ht="23.1" customHeight="1">
      <c r="A304" s="248"/>
      <c r="B304" s="249"/>
      <c r="C304" s="250"/>
      <c r="D304" s="251"/>
      <c r="E304" s="252"/>
      <c r="F304" s="253"/>
      <c r="G304" s="252"/>
      <c r="H304" s="252"/>
      <c r="I304" s="252"/>
      <c r="J304" s="252"/>
      <c r="K304" s="252"/>
      <c r="L304" s="252"/>
      <c r="M304" s="252"/>
      <c r="N304" s="252"/>
      <c r="O304" s="252"/>
      <c r="P304" s="252"/>
      <c r="Q304" s="252"/>
      <c r="R304" s="252"/>
      <c r="S304" s="252"/>
      <c r="T304" s="252"/>
      <c r="U304" s="252"/>
      <c r="V304" s="252"/>
      <c r="W304" s="255"/>
    </row>
    <row r="305" spans="1:23" ht="23.1" customHeight="1">
      <c r="A305" s="248"/>
      <c r="B305" s="249"/>
      <c r="C305" s="250"/>
      <c r="D305" s="251"/>
      <c r="E305" s="252"/>
      <c r="F305" s="253"/>
      <c r="G305" s="252"/>
      <c r="H305" s="252"/>
      <c r="I305" s="252"/>
      <c r="J305" s="252"/>
      <c r="K305" s="252"/>
      <c r="L305" s="252"/>
      <c r="M305" s="252"/>
      <c r="N305" s="252"/>
      <c r="O305" s="252"/>
      <c r="P305" s="252"/>
      <c r="Q305" s="252"/>
      <c r="R305" s="252"/>
      <c r="S305" s="252"/>
      <c r="T305" s="252"/>
      <c r="U305" s="252"/>
      <c r="V305" s="252"/>
      <c r="W305" s="255"/>
    </row>
    <row r="306" spans="1:23" ht="23.1" customHeight="1">
      <c r="A306" s="248"/>
      <c r="B306" s="249"/>
      <c r="C306" s="250"/>
      <c r="D306" s="251"/>
      <c r="E306" s="252"/>
      <c r="F306" s="253"/>
      <c r="G306" s="252"/>
      <c r="H306" s="252"/>
      <c r="I306" s="252"/>
      <c r="J306" s="252"/>
      <c r="K306" s="252"/>
      <c r="L306" s="252"/>
      <c r="M306" s="252"/>
      <c r="N306" s="252"/>
      <c r="O306" s="252"/>
      <c r="P306" s="252"/>
      <c r="Q306" s="252"/>
      <c r="R306" s="252"/>
      <c r="S306" s="252"/>
      <c r="T306" s="252"/>
      <c r="U306" s="252"/>
      <c r="V306" s="252"/>
      <c r="W306" s="255"/>
    </row>
    <row r="307" spans="1:23" ht="23.1" customHeight="1">
      <c r="A307" s="248"/>
      <c r="B307" s="249"/>
      <c r="C307" s="250"/>
      <c r="D307" s="251"/>
      <c r="E307" s="252"/>
      <c r="F307" s="253"/>
      <c r="G307" s="252"/>
      <c r="H307" s="252"/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  <c r="S307" s="252"/>
      <c r="T307" s="252"/>
      <c r="U307" s="252"/>
      <c r="V307" s="252"/>
      <c r="W307" s="255"/>
    </row>
    <row r="308" spans="1:23" ht="23.1" customHeight="1">
      <c r="A308" s="248"/>
      <c r="B308" s="249"/>
      <c r="C308" s="250"/>
      <c r="D308" s="251"/>
      <c r="E308" s="252"/>
      <c r="F308" s="253"/>
      <c r="G308" s="252"/>
      <c r="H308" s="252"/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  <c r="S308" s="252"/>
      <c r="T308" s="252"/>
      <c r="U308" s="252"/>
      <c r="V308" s="252"/>
      <c r="W308" s="255"/>
    </row>
    <row r="309" spans="1:23" ht="23.1" customHeight="1">
      <c r="A309" s="248"/>
      <c r="B309" s="249"/>
      <c r="C309" s="250"/>
      <c r="D309" s="251"/>
      <c r="E309" s="252"/>
      <c r="F309" s="253"/>
      <c r="G309" s="252"/>
      <c r="H309" s="252"/>
      <c r="I309" s="252"/>
      <c r="J309" s="252"/>
      <c r="K309" s="252"/>
      <c r="L309" s="252"/>
      <c r="M309" s="252"/>
      <c r="N309" s="252"/>
      <c r="O309" s="252"/>
      <c r="P309" s="252"/>
      <c r="Q309" s="252"/>
      <c r="R309" s="252"/>
      <c r="S309" s="252"/>
      <c r="T309" s="252"/>
      <c r="U309" s="252"/>
      <c r="V309" s="252"/>
      <c r="W309" s="255"/>
    </row>
    <row r="310" spans="1:23" ht="23.1" customHeight="1">
      <c r="A310" s="248"/>
      <c r="B310" s="249"/>
      <c r="C310" s="250"/>
      <c r="D310" s="251"/>
      <c r="E310" s="252"/>
      <c r="F310" s="253"/>
      <c r="G310" s="252"/>
      <c r="H310" s="252"/>
      <c r="I310" s="252"/>
      <c r="J310" s="252"/>
      <c r="K310" s="252"/>
      <c r="L310" s="252"/>
      <c r="M310" s="252"/>
      <c r="N310" s="252"/>
      <c r="O310" s="252"/>
      <c r="P310" s="252"/>
      <c r="Q310" s="252"/>
      <c r="R310" s="252"/>
      <c r="S310" s="252"/>
      <c r="T310" s="252"/>
      <c r="U310" s="252"/>
      <c r="V310" s="252"/>
      <c r="W310" s="255"/>
    </row>
    <row r="311" spans="1:23" ht="23.1" customHeight="1">
      <c r="A311" s="248"/>
      <c r="B311" s="249"/>
      <c r="C311" s="250"/>
      <c r="D311" s="251"/>
      <c r="E311" s="252"/>
      <c r="F311" s="253"/>
      <c r="G311" s="252"/>
      <c r="H311" s="252"/>
      <c r="I311" s="252"/>
      <c r="J311" s="252"/>
      <c r="K311" s="252"/>
      <c r="L311" s="252"/>
      <c r="M311" s="252"/>
      <c r="N311" s="252"/>
      <c r="O311" s="252"/>
      <c r="P311" s="252"/>
      <c r="Q311" s="252"/>
      <c r="R311" s="252"/>
      <c r="S311" s="252"/>
      <c r="T311" s="252"/>
      <c r="U311" s="252"/>
      <c r="V311" s="252"/>
      <c r="W311" s="255"/>
    </row>
    <row r="312" spans="1:23" ht="23.1" customHeight="1">
      <c r="A312" s="248"/>
      <c r="B312" s="249"/>
      <c r="C312" s="250"/>
      <c r="D312" s="251"/>
      <c r="E312" s="252"/>
      <c r="F312" s="253"/>
      <c r="G312" s="252"/>
      <c r="H312" s="252"/>
      <c r="I312" s="252"/>
      <c r="J312" s="252"/>
      <c r="K312" s="252"/>
      <c r="L312" s="252"/>
      <c r="M312" s="252"/>
      <c r="N312" s="252"/>
      <c r="O312" s="252"/>
      <c r="P312" s="252"/>
      <c r="Q312" s="252"/>
      <c r="R312" s="252"/>
      <c r="S312" s="252"/>
      <c r="T312" s="252"/>
      <c r="U312" s="252"/>
      <c r="V312" s="252"/>
      <c r="W312" s="255"/>
    </row>
    <row r="313" spans="1:23" ht="23.1" customHeight="1">
      <c r="A313" s="248"/>
      <c r="B313" s="249"/>
      <c r="C313" s="250"/>
      <c r="D313" s="251"/>
      <c r="E313" s="252"/>
      <c r="F313" s="253"/>
      <c r="G313" s="252"/>
      <c r="H313" s="252"/>
      <c r="I313" s="252"/>
      <c r="J313" s="252"/>
      <c r="K313" s="252"/>
      <c r="L313" s="252"/>
      <c r="M313" s="252"/>
      <c r="N313" s="252"/>
      <c r="O313" s="252"/>
      <c r="P313" s="252"/>
      <c r="Q313" s="252"/>
      <c r="R313" s="252"/>
      <c r="S313" s="252"/>
      <c r="T313" s="252"/>
      <c r="U313" s="252"/>
      <c r="V313" s="252"/>
      <c r="W313" s="255"/>
    </row>
    <row r="314" spans="1:23" ht="23.1" customHeight="1">
      <c r="A314" s="248"/>
      <c r="B314" s="249"/>
      <c r="C314" s="250"/>
      <c r="D314" s="251"/>
      <c r="E314" s="252"/>
      <c r="F314" s="253"/>
      <c r="G314" s="252"/>
      <c r="H314" s="252"/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  <c r="S314" s="252"/>
      <c r="T314" s="252"/>
      <c r="U314" s="252"/>
      <c r="V314" s="252"/>
      <c r="W314" s="255"/>
    </row>
    <row r="315" spans="1:23" ht="23.1" customHeight="1">
      <c r="A315" s="248"/>
      <c r="B315" s="249"/>
      <c r="C315" s="250"/>
      <c r="D315" s="251"/>
      <c r="E315" s="252"/>
      <c r="F315" s="253"/>
      <c r="G315" s="252"/>
      <c r="H315" s="252"/>
      <c r="I315" s="252"/>
      <c r="J315" s="252"/>
      <c r="K315" s="252"/>
      <c r="L315" s="252"/>
      <c r="M315" s="252"/>
      <c r="N315" s="252"/>
      <c r="O315" s="252"/>
      <c r="P315" s="252"/>
      <c r="Q315" s="252"/>
      <c r="R315" s="252"/>
      <c r="S315" s="252"/>
      <c r="T315" s="252"/>
      <c r="U315" s="252"/>
      <c r="V315" s="252"/>
      <c r="W315" s="255"/>
    </row>
    <row r="316" spans="1:23" ht="23.1" customHeight="1">
      <c r="A316" s="248"/>
      <c r="B316" s="249"/>
      <c r="C316" s="250"/>
      <c r="D316" s="251"/>
      <c r="E316" s="252"/>
      <c r="F316" s="253"/>
      <c r="G316" s="252"/>
      <c r="H316" s="252"/>
      <c r="I316" s="252"/>
      <c r="J316" s="252"/>
      <c r="K316" s="252"/>
      <c r="L316" s="252"/>
      <c r="M316" s="252"/>
      <c r="N316" s="252"/>
      <c r="O316" s="252"/>
      <c r="P316" s="252"/>
      <c r="Q316" s="252"/>
      <c r="R316" s="252"/>
      <c r="S316" s="252"/>
      <c r="T316" s="252"/>
      <c r="U316" s="252"/>
      <c r="V316" s="252"/>
      <c r="W316" s="255"/>
    </row>
    <row r="317" spans="1:23" ht="23.1" customHeight="1">
      <c r="A317" s="248"/>
      <c r="B317" s="249"/>
      <c r="C317" s="250"/>
      <c r="D317" s="251"/>
      <c r="E317" s="252"/>
      <c r="F317" s="253"/>
      <c r="G317" s="252"/>
      <c r="H317" s="252"/>
      <c r="I317" s="252"/>
      <c r="J317" s="252"/>
      <c r="K317" s="252"/>
      <c r="L317" s="252"/>
      <c r="M317" s="252"/>
      <c r="N317" s="252"/>
      <c r="O317" s="252"/>
      <c r="P317" s="252"/>
      <c r="Q317" s="252"/>
      <c r="R317" s="252"/>
      <c r="S317" s="252"/>
      <c r="T317" s="252"/>
      <c r="U317" s="252"/>
      <c r="V317" s="252"/>
      <c r="W317" s="255"/>
    </row>
    <row r="318" spans="1:23" ht="23.1" customHeight="1">
      <c r="A318" s="248"/>
      <c r="B318" s="249"/>
      <c r="C318" s="250"/>
      <c r="D318" s="251"/>
      <c r="E318" s="252"/>
      <c r="F318" s="253"/>
      <c r="G318" s="252"/>
      <c r="H318" s="252"/>
      <c r="I318" s="252"/>
      <c r="J318" s="252"/>
      <c r="K318" s="252"/>
      <c r="L318" s="252"/>
      <c r="M318" s="252"/>
      <c r="N318" s="252"/>
      <c r="O318" s="252"/>
      <c r="P318" s="252"/>
      <c r="Q318" s="252"/>
      <c r="R318" s="252"/>
      <c r="S318" s="252"/>
      <c r="T318" s="252"/>
      <c r="U318" s="252"/>
      <c r="V318" s="252"/>
      <c r="W318" s="255"/>
    </row>
    <row r="319" spans="1:23" ht="23.1" customHeight="1">
      <c r="A319" s="248"/>
      <c r="B319" s="249"/>
      <c r="C319" s="250"/>
      <c r="D319" s="251"/>
      <c r="E319" s="252"/>
      <c r="F319" s="253"/>
      <c r="G319" s="252"/>
      <c r="H319" s="252"/>
      <c r="I319" s="252"/>
      <c r="J319" s="252"/>
      <c r="K319" s="252"/>
      <c r="L319" s="252"/>
      <c r="M319" s="252"/>
      <c r="N319" s="252"/>
      <c r="O319" s="252"/>
      <c r="P319" s="252"/>
      <c r="Q319" s="252"/>
      <c r="R319" s="252"/>
      <c r="S319" s="252"/>
      <c r="T319" s="252"/>
      <c r="U319" s="252"/>
      <c r="V319" s="252"/>
      <c r="W319" s="255"/>
    </row>
    <row r="320" spans="1:23" ht="23.1" customHeight="1">
      <c r="A320" s="248"/>
      <c r="B320" s="249"/>
      <c r="C320" s="250"/>
      <c r="D320" s="251"/>
      <c r="E320" s="252"/>
      <c r="F320" s="253"/>
      <c r="G320" s="252"/>
      <c r="H320" s="252"/>
      <c r="I320" s="252"/>
      <c r="J320" s="252"/>
      <c r="K320" s="252"/>
      <c r="L320" s="252"/>
      <c r="M320" s="252"/>
      <c r="N320" s="252"/>
      <c r="O320" s="252"/>
      <c r="P320" s="252"/>
      <c r="Q320" s="252"/>
      <c r="R320" s="252"/>
      <c r="S320" s="252"/>
      <c r="T320" s="252"/>
      <c r="U320" s="252"/>
      <c r="V320" s="252"/>
      <c r="W320" s="255"/>
    </row>
    <row r="321" spans="1:23" ht="23.1" customHeight="1">
      <c r="A321" s="248"/>
      <c r="B321" s="249"/>
      <c r="C321" s="250"/>
      <c r="D321" s="251"/>
      <c r="E321" s="252"/>
      <c r="F321" s="253"/>
      <c r="G321" s="252"/>
      <c r="H321" s="252"/>
      <c r="I321" s="252"/>
      <c r="J321" s="252"/>
      <c r="K321" s="252"/>
      <c r="L321" s="252"/>
      <c r="M321" s="252"/>
      <c r="N321" s="252"/>
      <c r="O321" s="252"/>
      <c r="P321" s="252"/>
      <c r="Q321" s="252"/>
      <c r="R321" s="252"/>
      <c r="S321" s="252"/>
      <c r="T321" s="252"/>
      <c r="U321" s="252"/>
      <c r="V321" s="252"/>
      <c r="W321" s="255"/>
    </row>
    <row r="322" spans="1:23" ht="23.1" customHeight="1">
      <c r="A322" s="248"/>
      <c r="B322" s="249"/>
      <c r="C322" s="250"/>
      <c r="D322" s="251"/>
      <c r="E322" s="252"/>
      <c r="F322" s="253"/>
      <c r="G322" s="252"/>
      <c r="H322" s="252"/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  <c r="S322" s="252"/>
      <c r="T322" s="252"/>
      <c r="U322" s="252"/>
      <c r="V322" s="252"/>
      <c r="W322" s="255"/>
    </row>
    <row r="323" spans="1:23" ht="23.1" customHeight="1">
      <c r="A323" s="248"/>
      <c r="B323" s="249"/>
      <c r="C323" s="250"/>
      <c r="D323" s="251"/>
      <c r="E323" s="252"/>
      <c r="F323" s="253"/>
      <c r="G323" s="252"/>
      <c r="H323" s="252"/>
      <c r="I323" s="252"/>
      <c r="J323" s="252"/>
      <c r="K323" s="252"/>
      <c r="L323" s="252"/>
      <c r="M323" s="252"/>
      <c r="N323" s="252"/>
      <c r="O323" s="252"/>
      <c r="P323" s="252"/>
      <c r="Q323" s="252"/>
      <c r="R323" s="252"/>
      <c r="S323" s="252"/>
      <c r="T323" s="252"/>
      <c r="U323" s="252"/>
      <c r="V323" s="252"/>
      <c r="W323" s="255"/>
    </row>
    <row r="324" spans="1:23" ht="23.1" customHeight="1">
      <c r="A324" s="248"/>
      <c r="B324" s="249"/>
      <c r="C324" s="250"/>
      <c r="D324" s="251"/>
      <c r="E324" s="252"/>
      <c r="F324" s="253"/>
      <c r="G324" s="252"/>
      <c r="H324" s="252"/>
      <c r="I324" s="252"/>
      <c r="J324" s="252"/>
      <c r="K324" s="252"/>
      <c r="L324" s="252"/>
      <c r="M324" s="252"/>
      <c r="N324" s="252"/>
      <c r="O324" s="252"/>
      <c r="P324" s="252"/>
      <c r="Q324" s="252"/>
      <c r="R324" s="252"/>
      <c r="S324" s="252"/>
      <c r="T324" s="252"/>
      <c r="U324" s="252"/>
      <c r="V324" s="252"/>
      <c r="W324" s="255"/>
    </row>
    <row r="325" spans="1:23" ht="23.1" customHeight="1">
      <c r="A325" s="248"/>
      <c r="B325" s="249"/>
      <c r="C325" s="250"/>
      <c r="D325" s="251"/>
      <c r="E325" s="252"/>
      <c r="F325" s="253"/>
      <c r="G325" s="252"/>
      <c r="H325" s="252"/>
      <c r="I325" s="252"/>
      <c r="J325" s="252"/>
      <c r="K325" s="252"/>
      <c r="L325" s="252"/>
      <c r="M325" s="252"/>
      <c r="N325" s="252"/>
      <c r="O325" s="252"/>
      <c r="P325" s="252"/>
      <c r="Q325" s="252"/>
      <c r="R325" s="252"/>
      <c r="S325" s="252"/>
      <c r="T325" s="252"/>
      <c r="U325" s="252"/>
      <c r="V325" s="252"/>
      <c r="W325" s="255"/>
    </row>
    <row r="326" spans="1:23" ht="23.1" customHeight="1">
      <c r="A326" s="248"/>
      <c r="B326" s="249"/>
      <c r="C326" s="250"/>
      <c r="D326" s="251"/>
      <c r="E326" s="252"/>
      <c r="F326" s="253"/>
      <c r="G326" s="252"/>
      <c r="H326" s="252"/>
      <c r="I326" s="252"/>
      <c r="J326" s="252"/>
      <c r="K326" s="252"/>
      <c r="L326" s="252"/>
      <c r="M326" s="252"/>
      <c r="N326" s="252"/>
      <c r="O326" s="252"/>
      <c r="P326" s="252"/>
      <c r="Q326" s="252"/>
      <c r="R326" s="252"/>
      <c r="S326" s="252"/>
      <c r="T326" s="252"/>
      <c r="U326" s="252"/>
      <c r="V326" s="252"/>
      <c r="W326" s="255"/>
    </row>
    <row r="327" spans="1:23" ht="23.1" customHeight="1">
      <c r="A327" s="248"/>
      <c r="B327" s="249"/>
      <c r="C327" s="250"/>
      <c r="D327" s="251"/>
      <c r="E327" s="252"/>
      <c r="F327" s="253"/>
      <c r="G327" s="252"/>
      <c r="H327" s="252"/>
      <c r="I327" s="252"/>
      <c r="J327" s="252"/>
      <c r="K327" s="252"/>
      <c r="L327" s="252"/>
      <c r="M327" s="252"/>
      <c r="N327" s="252"/>
      <c r="O327" s="252"/>
      <c r="P327" s="252"/>
      <c r="Q327" s="252"/>
      <c r="R327" s="252"/>
      <c r="S327" s="252"/>
      <c r="T327" s="252"/>
      <c r="U327" s="252"/>
      <c r="V327" s="252"/>
      <c r="W327" s="255"/>
    </row>
    <row r="328" spans="1:23" ht="23.1" customHeight="1">
      <c r="A328" s="248"/>
      <c r="B328" s="249"/>
      <c r="C328" s="250"/>
      <c r="D328" s="251"/>
      <c r="E328" s="252"/>
      <c r="F328" s="253"/>
      <c r="G328" s="252"/>
      <c r="H328" s="252"/>
      <c r="I328" s="252"/>
      <c r="J328" s="252"/>
      <c r="K328" s="252"/>
      <c r="L328" s="252"/>
      <c r="M328" s="252"/>
      <c r="N328" s="252"/>
      <c r="O328" s="252"/>
      <c r="P328" s="252"/>
      <c r="Q328" s="252"/>
      <c r="R328" s="252"/>
      <c r="S328" s="252"/>
      <c r="T328" s="252"/>
      <c r="U328" s="252"/>
      <c r="V328" s="252"/>
      <c r="W328" s="255"/>
    </row>
    <row r="329" spans="1:23" ht="23.1" customHeight="1">
      <c r="A329" s="248"/>
      <c r="B329" s="249"/>
      <c r="C329" s="250"/>
      <c r="D329" s="251"/>
      <c r="E329" s="252"/>
      <c r="F329" s="253"/>
      <c r="G329" s="252"/>
      <c r="H329" s="252"/>
      <c r="I329" s="252"/>
      <c r="J329" s="252"/>
      <c r="K329" s="252"/>
      <c r="L329" s="252"/>
      <c r="M329" s="252"/>
      <c r="N329" s="252"/>
      <c r="O329" s="252"/>
      <c r="P329" s="252"/>
      <c r="Q329" s="252"/>
      <c r="R329" s="252"/>
      <c r="S329" s="252"/>
      <c r="T329" s="252"/>
      <c r="U329" s="252"/>
      <c r="V329" s="252"/>
      <c r="W329" s="255"/>
    </row>
    <row r="330" spans="1:23" ht="23.1" customHeight="1">
      <c r="A330" s="248"/>
      <c r="B330" s="249"/>
      <c r="C330" s="250"/>
      <c r="D330" s="251"/>
      <c r="E330" s="252"/>
      <c r="F330" s="253"/>
      <c r="G330" s="252"/>
      <c r="H330" s="252"/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  <c r="S330" s="252"/>
      <c r="T330" s="252"/>
      <c r="U330" s="252"/>
      <c r="V330" s="252"/>
      <c r="W330" s="255"/>
    </row>
    <row r="331" spans="1:23" ht="23.1" customHeight="1">
      <c r="A331" s="248"/>
      <c r="B331" s="249"/>
      <c r="C331" s="250"/>
      <c r="D331" s="251"/>
      <c r="E331" s="252"/>
      <c r="F331" s="253"/>
      <c r="G331" s="252"/>
      <c r="H331" s="252"/>
      <c r="I331" s="252"/>
      <c r="J331" s="252"/>
      <c r="K331" s="252"/>
      <c r="L331" s="252"/>
      <c r="M331" s="252"/>
      <c r="N331" s="252"/>
      <c r="O331" s="252"/>
      <c r="P331" s="252"/>
      <c r="Q331" s="252"/>
      <c r="R331" s="252"/>
      <c r="S331" s="252"/>
      <c r="T331" s="252"/>
      <c r="U331" s="252"/>
      <c r="V331" s="252"/>
      <c r="W331" s="255"/>
    </row>
    <row r="332" spans="1:23" ht="23.1" customHeight="1">
      <c r="A332" s="248"/>
      <c r="B332" s="249"/>
      <c r="C332" s="250"/>
      <c r="D332" s="251"/>
      <c r="E332" s="252"/>
      <c r="F332" s="253"/>
      <c r="G332" s="252"/>
      <c r="H332" s="252"/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  <c r="S332" s="252"/>
      <c r="T332" s="252"/>
      <c r="U332" s="252"/>
      <c r="V332" s="252"/>
      <c r="W332" s="255"/>
    </row>
    <row r="333" spans="1:23" ht="23.1" customHeight="1">
      <c r="A333" s="248"/>
      <c r="B333" s="249"/>
      <c r="C333" s="250"/>
      <c r="D333" s="251"/>
      <c r="E333" s="252"/>
      <c r="F333" s="253"/>
      <c r="G333" s="252"/>
      <c r="H333" s="252"/>
      <c r="I333" s="252"/>
      <c r="J333" s="252"/>
      <c r="K333" s="252"/>
      <c r="L333" s="252"/>
      <c r="M333" s="252"/>
      <c r="N333" s="252"/>
      <c r="O333" s="252"/>
      <c r="P333" s="252"/>
      <c r="Q333" s="252"/>
      <c r="R333" s="252"/>
      <c r="S333" s="252"/>
      <c r="T333" s="252"/>
      <c r="U333" s="252"/>
      <c r="V333" s="252"/>
      <c r="W333" s="255"/>
    </row>
    <row r="334" spans="1:23" ht="23.1" customHeight="1">
      <c r="A334" s="248"/>
      <c r="B334" s="249"/>
      <c r="C334" s="250"/>
      <c r="D334" s="251"/>
      <c r="E334" s="252"/>
      <c r="F334" s="253"/>
      <c r="G334" s="252"/>
      <c r="H334" s="252"/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  <c r="S334" s="252"/>
      <c r="T334" s="252"/>
      <c r="U334" s="252"/>
      <c r="V334" s="252"/>
      <c r="W334" s="255"/>
    </row>
    <row r="335" spans="1:23" ht="23.1" customHeight="1">
      <c r="A335" s="248"/>
      <c r="B335" s="249"/>
      <c r="C335" s="250"/>
      <c r="D335" s="251"/>
      <c r="E335" s="252"/>
      <c r="F335" s="253"/>
      <c r="G335" s="252"/>
      <c r="H335" s="252"/>
      <c r="I335" s="252"/>
      <c r="J335" s="252"/>
      <c r="K335" s="252"/>
      <c r="L335" s="252"/>
      <c r="M335" s="252"/>
      <c r="N335" s="252"/>
      <c r="O335" s="252"/>
      <c r="P335" s="252"/>
      <c r="Q335" s="252"/>
      <c r="R335" s="252"/>
      <c r="S335" s="252"/>
      <c r="T335" s="252"/>
      <c r="U335" s="252"/>
      <c r="V335" s="252"/>
      <c r="W335" s="255"/>
    </row>
    <row r="336" spans="1:23" ht="23.1" customHeight="1">
      <c r="A336" s="248"/>
      <c r="B336" s="249"/>
      <c r="C336" s="250"/>
      <c r="D336" s="251"/>
      <c r="E336" s="252"/>
      <c r="F336" s="253"/>
      <c r="G336" s="252"/>
      <c r="H336" s="252"/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  <c r="S336" s="252"/>
      <c r="T336" s="252"/>
      <c r="U336" s="252"/>
      <c r="V336" s="252"/>
      <c r="W336" s="255"/>
    </row>
    <row r="337" spans="1:23" ht="23.1" customHeight="1">
      <c r="A337" s="248"/>
      <c r="B337" s="249"/>
      <c r="C337" s="250"/>
      <c r="D337" s="251"/>
      <c r="E337" s="252"/>
      <c r="F337" s="253"/>
      <c r="G337" s="252"/>
      <c r="H337" s="252"/>
      <c r="I337" s="252"/>
      <c r="J337" s="252"/>
      <c r="K337" s="252"/>
      <c r="L337" s="252"/>
      <c r="M337" s="252"/>
      <c r="N337" s="252"/>
      <c r="O337" s="252"/>
      <c r="P337" s="252"/>
      <c r="Q337" s="252"/>
      <c r="R337" s="252"/>
      <c r="S337" s="252"/>
      <c r="T337" s="252"/>
      <c r="U337" s="252"/>
      <c r="V337" s="252"/>
      <c r="W337" s="255"/>
    </row>
    <row r="338" spans="1:23" ht="23.1" customHeight="1">
      <c r="A338" s="248"/>
      <c r="B338" s="249"/>
      <c r="C338" s="250"/>
      <c r="D338" s="251"/>
      <c r="E338" s="252"/>
      <c r="F338" s="253"/>
      <c r="G338" s="252"/>
      <c r="H338" s="252"/>
      <c r="I338" s="252"/>
      <c r="J338" s="252"/>
      <c r="K338" s="252"/>
      <c r="L338" s="252"/>
      <c r="M338" s="252"/>
      <c r="N338" s="252"/>
      <c r="O338" s="252"/>
      <c r="P338" s="252"/>
      <c r="Q338" s="252"/>
      <c r="R338" s="252"/>
      <c r="S338" s="252"/>
      <c r="T338" s="252"/>
      <c r="U338" s="252"/>
      <c r="V338" s="252"/>
      <c r="W338" s="255"/>
    </row>
    <row r="339" spans="1:23" ht="23.1" customHeight="1">
      <c r="A339" s="248"/>
      <c r="B339" s="249"/>
      <c r="C339" s="250"/>
      <c r="D339" s="251"/>
      <c r="E339" s="252"/>
      <c r="F339" s="253"/>
      <c r="G339" s="252"/>
      <c r="H339" s="252"/>
      <c r="I339" s="252"/>
      <c r="J339" s="252"/>
      <c r="K339" s="252"/>
      <c r="L339" s="252"/>
      <c r="M339" s="252"/>
      <c r="N339" s="252"/>
      <c r="O339" s="252"/>
      <c r="P339" s="252"/>
      <c r="Q339" s="252"/>
      <c r="R339" s="252"/>
      <c r="S339" s="252"/>
      <c r="T339" s="252"/>
      <c r="U339" s="252"/>
      <c r="V339" s="252"/>
      <c r="W339" s="255"/>
    </row>
    <row r="340" spans="1:23" ht="23.1" customHeight="1">
      <c r="A340" s="248"/>
      <c r="B340" s="249"/>
      <c r="C340" s="250"/>
      <c r="D340" s="251"/>
      <c r="E340" s="252"/>
      <c r="F340" s="253"/>
      <c r="G340" s="252"/>
      <c r="H340" s="252"/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  <c r="S340" s="252"/>
      <c r="T340" s="252"/>
      <c r="U340" s="252"/>
      <c r="V340" s="252"/>
      <c r="W340" s="255"/>
    </row>
    <row r="341" spans="1:23" ht="23.1" customHeight="1">
      <c r="A341" s="248"/>
      <c r="B341" s="249"/>
      <c r="C341" s="250"/>
      <c r="D341" s="251"/>
      <c r="E341" s="252"/>
      <c r="F341" s="253"/>
      <c r="G341" s="252"/>
      <c r="H341" s="252"/>
      <c r="I341" s="252"/>
      <c r="J341" s="252"/>
      <c r="K341" s="252"/>
      <c r="L341" s="252"/>
      <c r="M341" s="252"/>
      <c r="N341" s="252"/>
      <c r="O341" s="252"/>
      <c r="P341" s="252"/>
      <c r="Q341" s="252"/>
      <c r="R341" s="252"/>
      <c r="S341" s="252"/>
      <c r="T341" s="252"/>
      <c r="U341" s="252"/>
      <c r="V341" s="252"/>
      <c r="W341" s="255"/>
    </row>
    <row r="342" spans="1:23" ht="23.1" customHeight="1">
      <c r="A342" s="248"/>
      <c r="B342" s="249"/>
      <c r="C342" s="250"/>
      <c r="D342" s="251"/>
      <c r="E342" s="252"/>
      <c r="F342" s="253"/>
      <c r="G342" s="252"/>
      <c r="H342" s="252"/>
      <c r="I342" s="252"/>
      <c r="J342" s="252"/>
      <c r="K342" s="252"/>
      <c r="L342" s="252"/>
      <c r="M342" s="252"/>
      <c r="N342" s="252"/>
      <c r="O342" s="252"/>
      <c r="P342" s="252"/>
      <c r="Q342" s="252"/>
      <c r="R342" s="252"/>
      <c r="S342" s="252"/>
      <c r="T342" s="252"/>
      <c r="U342" s="252"/>
      <c r="V342" s="252"/>
      <c r="W342" s="255"/>
    </row>
    <row r="343" spans="1:23" ht="23.1" customHeight="1">
      <c r="A343" s="248"/>
      <c r="B343" s="249"/>
      <c r="C343" s="250"/>
      <c r="D343" s="251"/>
      <c r="E343" s="252"/>
      <c r="F343" s="253"/>
      <c r="G343" s="252"/>
      <c r="H343" s="252"/>
      <c r="I343" s="252"/>
      <c r="J343" s="252"/>
      <c r="K343" s="252"/>
      <c r="L343" s="252"/>
      <c r="M343" s="252"/>
      <c r="N343" s="252"/>
      <c r="O343" s="252"/>
      <c r="P343" s="252"/>
      <c r="Q343" s="252"/>
      <c r="R343" s="252"/>
      <c r="S343" s="252"/>
      <c r="T343" s="252"/>
      <c r="U343" s="252"/>
      <c r="V343" s="252"/>
      <c r="W343" s="255"/>
    </row>
    <row r="344" spans="1:23" ht="23.1" customHeight="1">
      <c r="A344" s="248"/>
      <c r="B344" s="249"/>
      <c r="C344" s="250"/>
      <c r="D344" s="251"/>
      <c r="E344" s="252"/>
      <c r="F344" s="253"/>
      <c r="G344" s="252"/>
      <c r="H344" s="252"/>
      <c r="I344" s="252"/>
      <c r="J344" s="252"/>
      <c r="K344" s="252"/>
      <c r="L344" s="252"/>
      <c r="M344" s="252"/>
      <c r="N344" s="252"/>
      <c r="O344" s="252"/>
      <c r="P344" s="252"/>
      <c r="Q344" s="252"/>
      <c r="R344" s="252"/>
      <c r="S344" s="252"/>
      <c r="T344" s="252"/>
      <c r="U344" s="252"/>
      <c r="V344" s="252"/>
      <c r="W344" s="255"/>
    </row>
    <row r="345" spans="1:23" ht="23.1" customHeight="1">
      <c r="A345" s="248"/>
      <c r="B345" s="249"/>
      <c r="C345" s="250"/>
      <c r="D345" s="251"/>
      <c r="E345" s="252"/>
      <c r="F345" s="253"/>
      <c r="G345" s="252"/>
      <c r="H345" s="252"/>
      <c r="I345" s="252"/>
      <c r="J345" s="252"/>
      <c r="K345" s="252"/>
      <c r="L345" s="252"/>
      <c r="M345" s="252"/>
      <c r="N345" s="252"/>
      <c r="O345" s="252"/>
      <c r="P345" s="252"/>
      <c r="Q345" s="252"/>
      <c r="R345" s="252"/>
      <c r="S345" s="252"/>
      <c r="T345" s="252"/>
      <c r="U345" s="252"/>
      <c r="V345" s="252"/>
      <c r="W345" s="255"/>
    </row>
    <row r="346" spans="1:23" ht="23.1" customHeight="1">
      <c r="A346" s="248"/>
      <c r="B346" s="249"/>
      <c r="C346" s="250"/>
      <c r="D346" s="251"/>
      <c r="E346" s="252"/>
      <c r="F346" s="253"/>
      <c r="G346" s="252"/>
      <c r="H346" s="252"/>
      <c r="I346" s="252"/>
      <c r="J346" s="252"/>
      <c r="K346" s="252"/>
      <c r="L346" s="252"/>
      <c r="M346" s="252"/>
      <c r="N346" s="252"/>
      <c r="O346" s="252"/>
      <c r="P346" s="252"/>
      <c r="Q346" s="252"/>
      <c r="R346" s="252"/>
      <c r="S346" s="252"/>
      <c r="T346" s="252"/>
      <c r="U346" s="252"/>
      <c r="V346" s="252"/>
      <c r="W346" s="255"/>
    </row>
    <row r="347" spans="1:23" ht="23.1" customHeight="1">
      <c r="A347" s="248"/>
      <c r="B347" s="249"/>
      <c r="C347" s="250"/>
      <c r="D347" s="251"/>
      <c r="E347" s="252"/>
      <c r="F347" s="253"/>
      <c r="G347" s="252"/>
      <c r="H347" s="252"/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  <c r="S347" s="252"/>
      <c r="T347" s="252"/>
      <c r="U347" s="252"/>
      <c r="V347" s="252"/>
      <c r="W347" s="255"/>
    </row>
    <row r="348" spans="1:23" ht="23.1" customHeight="1">
      <c r="A348" s="248"/>
      <c r="B348" s="249"/>
      <c r="C348" s="250"/>
      <c r="D348" s="251"/>
      <c r="E348" s="252"/>
      <c r="F348" s="253"/>
      <c r="G348" s="252"/>
      <c r="H348" s="252"/>
      <c r="I348" s="252"/>
      <c r="J348" s="252"/>
      <c r="K348" s="252"/>
      <c r="L348" s="252"/>
      <c r="M348" s="252"/>
      <c r="N348" s="252"/>
      <c r="O348" s="252"/>
      <c r="P348" s="252"/>
      <c r="Q348" s="252"/>
      <c r="R348" s="252"/>
      <c r="S348" s="252"/>
      <c r="T348" s="252"/>
      <c r="U348" s="252"/>
      <c r="V348" s="252"/>
      <c r="W348" s="255"/>
    </row>
    <row r="349" spans="1:23" ht="23.1" customHeight="1">
      <c r="A349" s="248"/>
      <c r="B349" s="249"/>
      <c r="C349" s="250"/>
      <c r="D349" s="251"/>
      <c r="E349" s="252"/>
      <c r="F349" s="253"/>
      <c r="G349" s="252"/>
      <c r="H349" s="252"/>
      <c r="I349" s="252"/>
      <c r="J349" s="252"/>
      <c r="K349" s="252"/>
      <c r="L349" s="252"/>
      <c r="M349" s="252"/>
      <c r="N349" s="252"/>
      <c r="O349" s="252"/>
      <c r="P349" s="252"/>
      <c r="Q349" s="252"/>
      <c r="R349" s="252"/>
      <c r="S349" s="252"/>
      <c r="T349" s="252"/>
      <c r="U349" s="252"/>
      <c r="V349" s="252"/>
      <c r="W349" s="255"/>
    </row>
    <row r="350" spans="1:23" ht="23.1" customHeight="1">
      <c r="A350" s="248"/>
      <c r="B350" s="249"/>
      <c r="C350" s="250"/>
      <c r="D350" s="251"/>
      <c r="E350" s="252"/>
      <c r="F350" s="253"/>
      <c r="G350" s="252"/>
      <c r="H350" s="252"/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  <c r="S350" s="252"/>
      <c r="T350" s="252"/>
      <c r="U350" s="252"/>
      <c r="V350" s="252"/>
      <c r="W350" s="255"/>
    </row>
    <row r="351" spans="1:23" ht="23.1" customHeight="1">
      <c r="A351" s="248"/>
      <c r="B351" s="249"/>
      <c r="C351" s="250"/>
      <c r="D351" s="251"/>
      <c r="E351" s="252"/>
      <c r="F351" s="253"/>
      <c r="G351" s="252"/>
      <c r="H351" s="252"/>
      <c r="I351" s="252"/>
      <c r="J351" s="252"/>
      <c r="K351" s="252"/>
      <c r="L351" s="252"/>
      <c r="M351" s="252"/>
      <c r="N351" s="252"/>
      <c r="O351" s="252"/>
      <c r="P351" s="252"/>
      <c r="Q351" s="252"/>
      <c r="R351" s="252"/>
      <c r="S351" s="252"/>
      <c r="T351" s="252"/>
      <c r="U351" s="252"/>
      <c r="V351" s="252"/>
      <c r="W351" s="255"/>
    </row>
    <row r="352" spans="1:23" ht="23.1" customHeight="1">
      <c r="A352" s="248"/>
      <c r="B352" s="249"/>
      <c r="C352" s="250"/>
      <c r="D352" s="251"/>
      <c r="E352" s="252"/>
      <c r="F352" s="253"/>
      <c r="G352" s="252"/>
      <c r="H352" s="252"/>
      <c r="I352" s="252"/>
      <c r="J352" s="252"/>
      <c r="K352" s="252"/>
      <c r="L352" s="252"/>
      <c r="M352" s="252"/>
      <c r="N352" s="252"/>
      <c r="O352" s="252"/>
      <c r="P352" s="252"/>
      <c r="Q352" s="252"/>
      <c r="R352" s="252"/>
      <c r="S352" s="252"/>
      <c r="T352" s="252"/>
      <c r="U352" s="252"/>
      <c r="V352" s="252"/>
      <c r="W352" s="255"/>
    </row>
    <row r="353" spans="1:23" ht="23.1" customHeight="1">
      <c r="A353" s="248"/>
      <c r="B353" s="249"/>
      <c r="C353" s="250"/>
      <c r="D353" s="251"/>
      <c r="E353" s="252"/>
      <c r="F353" s="253"/>
      <c r="G353" s="252"/>
      <c r="H353" s="252"/>
      <c r="I353" s="252"/>
      <c r="J353" s="252"/>
      <c r="K353" s="252"/>
      <c r="L353" s="252"/>
      <c r="M353" s="252"/>
      <c r="N353" s="252"/>
      <c r="O353" s="252"/>
      <c r="P353" s="252"/>
      <c r="Q353" s="252"/>
      <c r="R353" s="252"/>
      <c r="S353" s="252"/>
      <c r="T353" s="252"/>
      <c r="U353" s="252"/>
      <c r="V353" s="252"/>
      <c r="W353" s="255"/>
    </row>
    <row r="354" spans="1:23" ht="23.1" customHeight="1">
      <c r="A354" s="248"/>
      <c r="B354" s="249"/>
      <c r="C354" s="250"/>
      <c r="D354" s="251"/>
      <c r="E354" s="252"/>
      <c r="F354" s="253"/>
      <c r="G354" s="252"/>
      <c r="H354" s="252"/>
      <c r="I354" s="252"/>
      <c r="J354" s="252"/>
      <c r="K354" s="252"/>
      <c r="L354" s="252"/>
      <c r="M354" s="252"/>
      <c r="N354" s="252"/>
      <c r="O354" s="252"/>
      <c r="P354" s="252"/>
      <c r="Q354" s="252"/>
      <c r="R354" s="252"/>
      <c r="S354" s="252"/>
      <c r="T354" s="252"/>
      <c r="U354" s="252"/>
      <c r="V354" s="252"/>
      <c r="W354" s="255"/>
    </row>
    <row r="355" spans="1:23" ht="23.1" customHeight="1">
      <c r="A355" s="248"/>
      <c r="B355" s="249"/>
      <c r="C355" s="250"/>
      <c r="D355" s="251"/>
      <c r="E355" s="252"/>
      <c r="F355" s="253"/>
      <c r="G355" s="252"/>
      <c r="H355" s="252"/>
      <c r="I355" s="252"/>
      <c r="J355" s="252"/>
      <c r="K355" s="252"/>
      <c r="L355" s="252"/>
      <c r="M355" s="252"/>
      <c r="N355" s="252"/>
      <c r="O355" s="252"/>
      <c r="P355" s="252"/>
      <c r="Q355" s="252"/>
      <c r="R355" s="252"/>
      <c r="S355" s="252"/>
      <c r="T355" s="252"/>
      <c r="U355" s="252"/>
      <c r="V355" s="252"/>
      <c r="W355" s="255"/>
    </row>
    <row r="356" spans="1:23" ht="23.1" customHeight="1">
      <c r="A356" s="248"/>
      <c r="B356" s="249"/>
      <c r="C356" s="250"/>
      <c r="D356" s="251"/>
      <c r="E356" s="252"/>
      <c r="F356" s="253"/>
      <c r="G356" s="252"/>
      <c r="H356" s="252"/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  <c r="S356" s="252"/>
      <c r="T356" s="252"/>
      <c r="U356" s="252"/>
      <c r="V356" s="252"/>
      <c r="W356" s="255"/>
    </row>
    <row r="357" spans="1:23" ht="23.1" customHeight="1">
      <c r="A357" s="248"/>
      <c r="B357" s="249"/>
      <c r="C357" s="250"/>
      <c r="D357" s="251"/>
      <c r="E357" s="252"/>
      <c r="F357" s="253"/>
      <c r="G357" s="252"/>
      <c r="H357" s="252"/>
      <c r="I357" s="252"/>
      <c r="J357" s="252"/>
      <c r="K357" s="252"/>
      <c r="L357" s="252"/>
      <c r="M357" s="252"/>
      <c r="N357" s="252"/>
      <c r="O357" s="252"/>
      <c r="P357" s="252"/>
      <c r="Q357" s="252"/>
      <c r="R357" s="252"/>
      <c r="S357" s="252"/>
      <c r="T357" s="252"/>
      <c r="U357" s="252"/>
      <c r="V357" s="252"/>
      <c r="W357" s="255"/>
    </row>
    <row r="358" spans="1:23" ht="23.1" customHeight="1">
      <c r="A358" s="248"/>
      <c r="B358" s="249"/>
      <c r="C358" s="250"/>
      <c r="D358" s="251"/>
      <c r="E358" s="252"/>
      <c r="F358" s="253"/>
      <c r="G358" s="252"/>
      <c r="H358" s="252"/>
      <c r="I358" s="252"/>
      <c r="J358" s="252"/>
      <c r="K358" s="252"/>
      <c r="L358" s="252"/>
      <c r="M358" s="252"/>
      <c r="N358" s="252"/>
      <c r="O358" s="252"/>
      <c r="P358" s="252"/>
      <c r="Q358" s="252"/>
      <c r="R358" s="252"/>
      <c r="S358" s="252"/>
      <c r="T358" s="252"/>
      <c r="U358" s="252"/>
      <c r="V358" s="252"/>
      <c r="W358" s="255"/>
    </row>
    <row r="359" spans="1:23" ht="23.1" customHeight="1">
      <c r="A359" s="248"/>
      <c r="B359" s="249"/>
      <c r="C359" s="250"/>
      <c r="D359" s="251"/>
      <c r="E359" s="252"/>
      <c r="F359" s="253"/>
      <c r="G359" s="252"/>
      <c r="H359" s="252"/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  <c r="S359" s="252"/>
      <c r="T359" s="252"/>
      <c r="U359" s="252"/>
      <c r="V359" s="252"/>
      <c r="W359" s="255"/>
    </row>
    <row r="360" spans="1:23" ht="23.1" customHeight="1">
      <c r="A360" s="248"/>
      <c r="B360" s="249"/>
      <c r="C360" s="250"/>
      <c r="D360" s="251"/>
      <c r="E360" s="252"/>
      <c r="F360" s="253"/>
      <c r="G360" s="252"/>
      <c r="H360" s="252"/>
      <c r="I360" s="252"/>
      <c r="J360" s="252"/>
      <c r="K360" s="252"/>
      <c r="L360" s="252"/>
      <c r="M360" s="252"/>
      <c r="N360" s="252"/>
      <c r="O360" s="252"/>
      <c r="P360" s="252"/>
      <c r="Q360" s="252"/>
      <c r="R360" s="252"/>
      <c r="S360" s="252"/>
      <c r="T360" s="252"/>
      <c r="U360" s="252"/>
      <c r="V360" s="252"/>
      <c r="W360" s="255"/>
    </row>
    <row r="361" spans="1:23" ht="23.1" customHeight="1">
      <c r="A361" s="248"/>
      <c r="B361" s="249"/>
      <c r="C361" s="250"/>
      <c r="D361" s="251"/>
      <c r="E361" s="252"/>
      <c r="F361" s="253"/>
      <c r="G361" s="252"/>
      <c r="H361" s="252"/>
      <c r="I361" s="252"/>
      <c r="J361" s="252"/>
      <c r="K361" s="252"/>
      <c r="L361" s="252"/>
      <c r="M361" s="252"/>
      <c r="N361" s="252"/>
      <c r="O361" s="252"/>
      <c r="P361" s="252"/>
      <c r="Q361" s="252"/>
      <c r="R361" s="252"/>
      <c r="S361" s="252"/>
      <c r="T361" s="252"/>
      <c r="U361" s="252"/>
      <c r="V361" s="252"/>
      <c r="W361" s="255"/>
    </row>
    <row r="362" spans="1:23" ht="23.1" customHeight="1">
      <c r="A362" s="248"/>
      <c r="B362" s="249"/>
      <c r="C362" s="250"/>
      <c r="D362" s="251"/>
      <c r="E362" s="252"/>
      <c r="F362" s="253"/>
      <c r="G362" s="252"/>
      <c r="H362" s="252"/>
      <c r="I362" s="252"/>
      <c r="J362" s="252"/>
      <c r="K362" s="252"/>
      <c r="L362" s="252"/>
      <c r="M362" s="252"/>
      <c r="N362" s="252"/>
      <c r="O362" s="252"/>
      <c r="P362" s="252"/>
      <c r="Q362" s="252"/>
      <c r="R362" s="252"/>
      <c r="S362" s="252"/>
      <c r="T362" s="252"/>
      <c r="U362" s="252"/>
      <c r="V362" s="252"/>
      <c r="W362" s="255"/>
    </row>
    <row r="363" spans="1:23" ht="23.1" customHeight="1">
      <c r="A363" s="248"/>
      <c r="B363" s="249"/>
      <c r="C363" s="250"/>
      <c r="D363" s="251"/>
      <c r="E363" s="252"/>
      <c r="F363" s="253"/>
      <c r="G363" s="252"/>
      <c r="H363" s="252"/>
      <c r="I363" s="252"/>
      <c r="J363" s="252"/>
      <c r="K363" s="252"/>
      <c r="L363" s="252"/>
      <c r="M363" s="252"/>
      <c r="N363" s="252"/>
      <c r="O363" s="252"/>
      <c r="P363" s="252"/>
      <c r="Q363" s="252"/>
      <c r="R363" s="252"/>
      <c r="S363" s="252"/>
      <c r="T363" s="252"/>
      <c r="U363" s="252"/>
      <c r="V363" s="252"/>
      <c r="W363" s="255"/>
    </row>
    <row r="364" spans="1:23" ht="23.1" customHeight="1">
      <c r="A364" s="248"/>
      <c r="B364" s="249"/>
      <c r="C364" s="250"/>
      <c r="D364" s="251"/>
      <c r="E364" s="252"/>
      <c r="F364" s="253"/>
      <c r="G364" s="252"/>
      <c r="H364" s="252"/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  <c r="S364" s="252"/>
      <c r="T364" s="252"/>
      <c r="U364" s="252"/>
      <c r="V364" s="252"/>
      <c r="W364" s="255"/>
    </row>
    <row r="365" spans="1:23" ht="23.1" customHeight="1">
      <c r="A365" s="248"/>
      <c r="B365" s="249"/>
      <c r="C365" s="250"/>
      <c r="D365" s="251"/>
      <c r="E365" s="252"/>
      <c r="F365" s="253"/>
      <c r="G365" s="252"/>
      <c r="H365" s="252"/>
      <c r="I365" s="252"/>
      <c r="J365" s="252"/>
      <c r="K365" s="252"/>
      <c r="L365" s="252"/>
      <c r="M365" s="252"/>
      <c r="N365" s="252"/>
      <c r="O365" s="252"/>
      <c r="P365" s="252"/>
      <c r="Q365" s="252"/>
      <c r="R365" s="252"/>
      <c r="S365" s="252"/>
      <c r="T365" s="252"/>
      <c r="U365" s="252"/>
      <c r="V365" s="252"/>
      <c r="W365" s="255"/>
    </row>
    <row r="366" spans="1:23" ht="23.1" customHeight="1">
      <c r="A366" s="248"/>
      <c r="B366" s="249"/>
      <c r="C366" s="250"/>
      <c r="D366" s="251"/>
      <c r="E366" s="252"/>
      <c r="F366" s="253"/>
      <c r="G366" s="252"/>
      <c r="H366" s="252"/>
      <c r="I366" s="252"/>
      <c r="J366" s="252"/>
      <c r="K366" s="252"/>
      <c r="L366" s="252"/>
      <c r="M366" s="252"/>
      <c r="N366" s="252"/>
      <c r="O366" s="252"/>
      <c r="P366" s="252"/>
      <c r="Q366" s="252"/>
      <c r="R366" s="252"/>
      <c r="S366" s="252"/>
      <c r="T366" s="252"/>
      <c r="U366" s="252"/>
      <c r="V366" s="252"/>
      <c r="W366" s="255"/>
    </row>
    <row r="367" spans="1:23" ht="23.1" customHeight="1">
      <c r="A367" s="248"/>
      <c r="B367" s="249"/>
      <c r="C367" s="250"/>
      <c r="D367" s="251"/>
      <c r="E367" s="252"/>
      <c r="F367" s="253"/>
      <c r="G367" s="252"/>
      <c r="H367" s="252"/>
      <c r="I367" s="252"/>
      <c r="J367" s="252"/>
      <c r="K367" s="252"/>
      <c r="L367" s="252"/>
      <c r="M367" s="252"/>
      <c r="N367" s="252"/>
      <c r="O367" s="252"/>
      <c r="P367" s="252"/>
      <c r="Q367" s="252"/>
      <c r="R367" s="252"/>
      <c r="S367" s="252"/>
      <c r="T367" s="252"/>
      <c r="U367" s="252"/>
      <c r="V367" s="252"/>
      <c r="W367" s="255"/>
    </row>
    <row r="368" spans="1:23" ht="23.1" customHeight="1">
      <c r="A368" s="248"/>
      <c r="B368" s="249"/>
      <c r="C368" s="250"/>
      <c r="D368" s="251"/>
      <c r="E368" s="252"/>
      <c r="F368" s="253"/>
      <c r="G368" s="252"/>
      <c r="H368" s="252"/>
      <c r="I368" s="252"/>
      <c r="J368" s="252"/>
      <c r="K368" s="252"/>
      <c r="L368" s="252"/>
      <c r="M368" s="252"/>
      <c r="N368" s="252"/>
      <c r="O368" s="252"/>
      <c r="P368" s="252"/>
      <c r="Q368" s="252"/>
      <c r="R368" s="252"/>
      <c r="S368" s="252"/>
      <c r="T368" s="252"/>
      <c r="U368" s="252"/>
      <c r="V368" s="252"/>
      <c r="W368" s="255"/>
    </row>
    <row r="369" spans="1:23" ht="23.1" customHeight="1">
      <c r="A369" s="248"/>
      <c r="B369" s="249"/>
      <c r="C369" s="250"/>
      <c r="D369" s="251"/>
      <c r="E369" s="252"/>
      <c r="F369" s="253"/>
      <c r="G369" s="252"/>
      <c r="H369" s="252"/>
      <c r="I369" s="252"/>
      <c r="J369" s="252"/>
      <c r="K369" s="252"/>
      <c r="L369" s="252"/>
      <c r="M369" s="252"/>
      <c r="N369" s="252"/>
      <c r="O369" s="252"/>
      <c r="P369" s="252"/>
      <c r="Q369" s="252"/>
      <c r="R369" s="252"/>
      <c r="S369" s="252"/>
      <c r="T369" s="252"/>
      <c r="U369" s="252"/>
      <c r="V369" s="252"/>
      <c r="W369" s="255"/>
    </row>
    <row r="370" spans="1:23" ht="23.1" customHeight="1">
      <c r="A370" s="248"/>
      <c r="B370" s="249"/>
      <c r="C370" s="250"/>
      <c r="D370" s="251"/>
      <c r="E370" s="252"/>
      <c r="F370" s="253"/>
      <c r="G370" s="252"/>
      <c r="H370" s="252"/>
      <c r="I370" s="252"/>
      <c r="J370" s="252"/>
      <c r="K370" s="252"/>
      <c r="L370" s="252"/>
      <c r="M370" s="252"/>
      <c r="N370" s="252"/>
      <c r="O370" s="252"/>
      <c r="P370" s="252"/>
      <c r="Q370" s="252"/>
      <c r="R370" s="252"/>
      <c r="S370" s="252"/>
      <c r="T370" s="252"/>
      <c r="U370" s="252"/>
      <c r="V370" s="252"/>
      <c r="W370" s="255"/>
    </row>
    <row r="371" spans="1:23" ht="23.1" customHeight="1">
      <c r="A371" s="248"/>
      <c r="B371" s="249"/>
      <c r="C371" s="250"/>
      <c r="D371" s="251"/>
      <c r="E371" s="252"/>
      <c r="F371" s="253"/>
      <c r="G371" s="252"/>
      <c r="H371" s="252"/>
      <c r="I371" s="252"/>
      <c r="J371" s="252"/>
      <c r="K371" s="252"/>
      <c r="L371" s="252"/>
      <c r="M371" s="252"/>
      <c r="N371" s="252"/>
      <c r="O371" s="252"/>
      <c r="P371" s="252"/>
      <c r="Q371" s="252"/>
      <c r="R371" s="252"/>
      <c r="S371" s="252"/>
      <c r="T371" s="252"/>
      <c r="U371" s="252"/>
      <c r="V371" s="252"/>
      <c r="W371" s="255"/>
    </row>
    <row r="372" spans="1:23" ht="23.1" customHeight="1">
      <c r="A372" s="248"/>
      <c r="B372" s="249"/>
      <c r="C372" s="250"/>
      <c r="D372" s="251"/>
      <c r="E372" s="252"/>
      <c r="F372" s="253"/>
      <c r="G372" s="252"/>
      <c r="H372" s="252"/>
      <c r="I372" s="252"/>
      <c r="J372" s="252"/>
      <c r="K372" s="252"/>
      <c r="L372" s="252"/>
      <c r="M372" s="252"/>
      <c r="N372" s="252"/>
      <c r="O372" s="252"/>
      <c r="P372" s="252"/>
      <c r="Q372" s="252"/>
      <c r="R372" s="252"/>
      <c r="S372" s="252"/>
      <c r="T372" s="252"/>
      <c r="U372" s="252"/>
      <c r="V372" s="252"/>
      <c r="W372" s="255"/>
    </row>
    <row r="373" spans="1:23" ht="23.1" customHeight="1">
      <c r="A373" s="248"/>
      <c r="B373" s="249"/>
      <c r="C373" s="250"/>
      <c r="D373" s="251"/>
      <c r="E373" s="252"/>
      <c r="F373" s="253"/>
      <c r="G373" s="252"/>
      <c r="H373" s="252"/>
      <c r="I373" s="252"/>
      <c r="J373" s="252"/>
      <c r="K373" s="252"/>
      <c r="L373" s="252"/>
      <c r="M373" s="252"/>
      <c r="N373" s="252"/>
      <c r="O373" s="252"/>
      <c r="P373" s="252"/>
      <c r="Q373" s="252"/>
      <c r="R373" s="252"/>
      <c r="S373" s="252"/>
      <c r="T373" s="252"/>
      <c r="U373" s="252"/>
      <c r="V373" s="252"/>
      <c r="W373" s="255"/>
    </row>
    <row r="374" spans="1:23" ht="23.1" customHeight="1">
      <c r="A374" s="248"/>
      <c r="B374" s="249"/>
      <c r="C374" s="250"/>
      <c r="D374" s="251"/>
      <c r="E374" s="252"/>
      <c r="F374" s="253"/>
      <c r="G374" s="252"/>
      <c r="H374" s="252"/>
      <c r="I374" s="252"/>
      <c r="J374" s="252"/>
      <c r="K374" s="252"/>
      <c r="L374" s="252"/>
      <c r="M374" s="252"/>
      <c r="N374" s="252"/>
      <c r="O374" s="252"/>
      <c r="P374" s="252"/>
      <c r="Q374" s="252"/>
      <c r="R374" s="252"/>
      <c r="S374" s="252"/>
      <c r="T374" s="252"/>
      <c r="U374" s="252"/>
      <c r="V374" s="252"/>
      <c r="W374" s="255"/>
    </row>
    <row r="375" spans="1:23" ht="23.1" customHeight="1">
      <c r="A375" s="248"/>
      <c r="B375" s="249"/>
      <c r="C375" s="250"/>
      <c r="D375" s="251"/>
      <c r="E375" s="252"/>
      <c r="F375" s="253"/>
      <c r="G375" s="252"/>
      <c r="H375" s="252"/>
      <c r="I375" s="252"/>
      <c r="J375" s="252"/>
      <c r="K375" s="252"/>
      <c r="L375" s="252"/>
      <c r="M375" s="252"/>
      <c r="N375" s="252"/>
      <c r="O375" s="252"/>
      <c r="P375" s="252"/>
      <c r="Q375" s="252"/>
      <c r="R375" s="252"/>
      <c r="S375" s="252"/>
      <c r="T375" s="252"/>
      <c r="U375" s="252"/>
      <c r="V375" s="252"/>
      <c r="W375" s="255"/>
    </row>
    <row r="376" spans="1:23" ht="23.1" customHeight="1">
      <c r="A376" s="248"/>
      <c r="B376" s="249"/>
      <c r="C376" s="250"/>
      <c r="D376" s="251"/>
      <c r="E376" s="252"/>
      <c r="F376" s="253"/>
      <c r="G376" s="252"/>
      <c r="H376" s="252"/>
      <c r="I376" s="252"/>
      <c r="J376" s="252"/>
      <c r="K376" s="252"/>
      <c r="L376" s="252"/>
      <c r="M376" s="252"/>
      <c r="N376" s="252"/>
      <c r="O376" s="252"/>
      <c r="P376" s="252"/>
      <c r="Q376" s="252"/>
      <c r="R376" s="252"/>
      <c r="S376" s="252"/>
      <c r="T376" s="252"/>
      <c r="U376" s="252"/>
      <c r="V376" s="252"/>
      <c r="W376" s="255"/>
    </row>
    <row r="377" spans="1:23" ht="23.1" customHeight="1">
      <c r="A377" s="248"/>
      <c r="B377" s="249"/>
      <c r="C377" s="250"/>
      <c r="D377" s="251"/>
      <c r="E377" s="252"/>
      <c r="F377" s="253"/>
      <c r="G377" s="252"/>
      <c r="H377" s="252"/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  <c r="S377" s="252"/>
      <c r="T377" s="252"/>
      <c r="U377" s="252"/>
      <c r="V377" s="252"/>
      <c r="W377" s="255"/>
    </row>
    <row r="378" spans="1:23" ht="23.1" customHeight="1">
      <c r="A378" s="248"/>
      <c r="B378" s="249"/>
      <c r="C378" s="250"/>
      <c r="D378" s="251"/>
      <c r="E378" s="252"/>
      <c r="F378" s="253"/>
      <c r="G378" s="252"/>
      <c r="H378" s="252"/>
      <c r="I378" s="252"/>
      <c r="J378" s="252"/>
      <c r="K378" s="252"/>
      <c r="L378" s="252"/>
      <c r="M378" s="252"/>
      <c r="N378" s="252"/>
      <c r="O378" s="252"/>
      <c r="P378" s="252"/>
      <c r="Q378" s="252"/>
      <c r="R378" s="252"/>
      <c r="S378" s="252"/>
      <c r="T378" s="252"/>
      <c r="U378" s="252"/>
      <c r="V378" s="252"/>
      <c r="W378" s="255"/>
    </row>
    <row r="379" spans="1:23" ht="23.1" customHeight="1">
      <c r="A379" s="248"/>
      <c r="B379" s="249"/>
      <c r="C379" s="250"/>
      <c r="D379" s="251"/>
      <c r="E379" s="252"/>
      <c r="F379" s="253"/>
      <c r="G379" s="252"/>
      <c r="H379" s="252"/>
      <c r="I379" s="252"/>
      <c r="J379" s="252"/>
      <c r="K379" s="252"/>
      <c r="L379" s="252"/>
      <c r="M379" s="252"/>
      <c r="N379" s="252"/>
      <c r="O379" s="252"/>
      <c r="P379" s="252"/>
      <c r="Q379" s="252"/>
      <c r="R379" s="252"/>
      <c r="S379" s="252"/>
      <c r="T379" s="252"/>
      <c r="U379" s="252"/>
      <c r="V379" s="252"/>
      <c r="W379" s="255"/>
    </row>
    <row r="380" spans="1:23" ht="23.1" customHeight="1">
      <c r="A380" s="248"/>
      <c r="B380" s="249"/>
      <c r="C380" s="250"/>
      <c r="D380" s="251"/>
      <c r="E380" s="252"/>
      <c r="F380" s="253"/>
      <c r="G380" s="252"/>
      <c r="H380" s="252"/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  <c r="S380" s="252"/>
      <c r="T380" s="252"/>
      <c r="U380" s="252"/>
      <c r="V380" s="252"/>
      <c r="W380" s="255"/>
    </row>
    <row r="381" spans="1:23" ht="23.1" customHeight="1">
      <c r="A381" s="248"/>
      <c r="B381" s="249"/>
      <c r="C381" s="250"/>
      <c r="D381" s="251"/>
      <c r="E381" s="252"/>
      <c r="F381" s="253"/>
      <c r="G381" s="252"/>
      <c r="H381" s="252"/>
      <c r="I381" s="252"/>
      <c r="J381" s="252"/>
      <c r="K381" s="252"/>
      <c r="L381" s="252"/>
      <c r="M381" s="252"/>
      <c r="N381" s="252"/>
      <c r="O381" s="252"/>
      <c r="P381" s="252"/>
      <c r="Q381" s="252"/>
      <c r="R381" s="252"/>
      <c r="S381" s="252"/>
      <c r="T381" s="252"/>
      <c r="U381" s="252"/>
      <c r="V381" s="252"/>
      <c r="W381" s="255"/>
    </row>
    <row r="382" spans="1:23" ht="23.1" customHeight="1">
      <c r="A382" s="248"/>
      <c r="B382" s="249"/>
      <c r="C382" s="250"/>
      <c r="D382" s="251"/>
      <c r="E382" s="252"/>
      <c r="F382" s="253"/>
      <c r="G382" s="252"/>
      <c r="H382" s="252"/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  <c r="S382" s="252"/>
      <c r="T382" s="252"/>
      <c r="U382" s="252"/>
      <c r="V382" s="252"/>
      <c r="W382" s="255"/>
    </row>
    <row r="383" spans="1:23" ht="23.1" customHeight="1">
      <c r="A383" s="248"/>
      <c r="B383" s="249"/>
      <c r="C383" s="250"/>
      <c r="D383" s="251"/>
      <c r="E383" s="252"/>
      <c r="F383" s="253"/>
      <c r="G383" s="252"/>
      <c r="H383" s="252"/>
      <c r="I383" s="252"/>
      <c r="J383" s="252"/>
      <c r="K383" s="252"/>
      <c r="L383" s="252"/>
      <c r="M383" s="252"/>
      <c r="N383" s="252"/>
      <c r="O383" s="252"/>
      <c r="P383" s="252"/>
      <c r="Q383" s="252"/>
      <c r="R383" s="252"/>
      <c r="S383" s="252"/>
      <c r="T383" s="252"/>
      <c r="U383" s="252"/>
      <c r="V383" s="252"/>
      <c r="W383" s="255"/>
    </row>
    <row r="384" spans="1:23" ht="23.1" customHeight="1">
      <c r="A384" s="248"/>
      <c r="B384" s="249"/>
      <c r="C384" s="250"/>
      <c r="D384" s="251"/>
      <c r="E384" s="252"/>
      <c r="F384" s="253"/>
      <c r="G384" s="252"/>
      <c r="H384" s="252"/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  <c r="S384" s="252"/>
      <c r="T384" s="252"/>
      <c r="U384" s="252"/>
      <c r="V384" s="252"/>
      <c r="W384" s="255"/>
    </row>
    <row r="385" spans="1:23" ht="23.1" customHeight="1">
      <c r="A385" s="248"/>
      <c r="B385" s="249"/>
      <c r="C385" s="250"/>
      <c r="D385" s="251"/>
      <c r="E385" s="252"/>
      <c r="F385" s="253"/>
      <c r="G385" s="252"/>
      <c r="H385" s="252"/>
      <c r="I385" s="252"/>
      <c r="J385" s="252"/>
      <c r="K385" s="252"/>
      <c r="L385" s="252"/>
      <c r="M385" s="252"/>
      <c r="N385" s="252"/>
      <c r="O385" s="252"/>
      <c r="P385" s="252"/>
      <c r="Q385" s="252"/>
      <c r="R385" s="252"/>
      <c r="S385" s="252"/>
      <c r="T385" s="252"/>
      <c r="U385" s="252"/>
      <c r="V385" s="252"/>
      <c r="W385" s="255"/>
    </row>
    <row r="386" spans="1:23" ht="23.1" customHeight="1">
      <c r="A386" s="248"/>
      <c r="B386" s="249"/>
      <c r="C386" s="250"/>
      <c r="D386" s="251"/>
      <c r="E386" s="252"/>
      <c r="F386" s="253"/>
      <c r="G386" s="252"/>
      <c r="H386" s="252"/>
      <c r="I386" s="252"/>
      <c r="J386" s="252"/>
      <c r="K386" s="252"/>
      <c r="L386" s="252"/>
      <c r="M386" s="252"/>
      <c r="N386" s="252"/>
      <c r="O386" s="252"/>
      <c r="P386" s="252"/>
      <c r="Q386" s="252"/>
      <c r="R386" s="252"/>
      <c r="S386" s="252"/>
      <c r="T386" s="252"/>
      <c r="U386" s="252"/>
      <c r="V386" s="252"/>
      <c r="W386" s="255"/>
    </row>
    <row r="387" spans="1:23" ht="23.1" customHeight="1">
      <c r="A387" s="248"/>
      <c r="B387" s="249"/>
      <c r="C387" s="250"/>
      <c r="D387" s="251"/>
      <c r="E387" s="252"/>
      <c r="F387" s="253"/>
      <c r="G387" s="252"/>
      <c r="H387" s="252"/>
      <c r="I387" s="252"/>
      <c r="J387" s="252"/>
      <c r="K387" s="252"/>
      <c r="L387" s="252"/>
      <c r="M387" s="252"/>
      <c r="N387" s="252"/>
      <c r="O387" s="252"/>
      <c r="P387" s="252"/>
      <c r="Q387" s="252"/>
      <c r="R387" s="252"/>
      <c r="S387" s="252"/>
      <c r="T387" s="252"/>
      <c r="U387" s="252"/>
      <c r="V387" s="252"/>
      <c r="W387" s="255"/>
    </row>
    <row r="388" spans="1:23" ht="23.1" customHeight="1">
      <c r="A388" s="248"/>
      <c r="B388" s="249"/>
      <c r="C388" s="250"/>
      <c r="D388" s="251"/>
      <c r="E388" s="252"/>
      <c r="F388" s="253"/>
      <c r="G388" s="252"/>
      <c r="H388" s="252"/>
      <c r="I388" s="252"/>
      <c r="J388" s="252"/>
      <c r="K388" s="252"/>
      <c r="L388" s="252"/>
      <c r="M388" s="252"/>
      <c r="N388" s="252"/>
      <c r="O388" s="252"/>
      <c r="P388" s="252"/>
      <c r="Q388" s="252"/>
      <c r="R388" s="252"/>
      <c r="S388" s="252"/>
      <c r="T388" s="252"/>
      <c r="U388" s="252"/>
      <c r="V388" s="252"/>
      <c r="W388" s="255"/>
    </row>
    <row r="389" spans="1:23" ht="23.1" customHeight="1">
      <c r="A389" s="248"/>
      <c r="B389" s="249"/>
      <c r="C389" s="250"/>
      <c r="D389" s="251"/>
      <c r="E389" s="252"/>
      <c r="F389" s="253"/>
      <c r="G389" s="252"/>
      <c r="H389" s="252"/>
      <c r="I389" s="252"/>
      <c r="J389" s="252"/>
      <c r="K389" s="252"/>
      <c r="L389" s="252"/>
      <c r="M389" s="252"/>
      <c r="N389" s="252"/>
      <c r="O389" s="252"/>
      <c r="P389" s="252"/>
      <c r="Q389" s="252"/>
      <c r="R389" s="252"/>
      <c r="S389" s="252"/>
      <c r="T389" s="252"/>
      <c r="U389" s="252"/>
      <c r="V389" s="252"/>
      <c r="W389" s="255"/>
    </row>
    <row r="390" spans="1:23" ht="23.1" customHeight="1">
      <c r="A390" s="248"/>
      <c r="B390" s="249"/>
      <c r="C390" s="250"/>
      <c r="D390" s="251"/>
      <c r="E390" s="252"/>
      <c r="F390" s="253"/>
      <c r="G390" s="252"/>
      <c r="H390" s="252"/>
      <c r="I390" s="252"/>
      <c r="J390" s="252"/>
      <c r="K390" s="252"/>
      <c r="L390" s="252"/>
      <c r="M390" s="252"/>
      <c r="N390" s="252"/>
      <c r="O390" s="252"/>
      <c r="P390" s="252"/>
      <c r="Q390" s="252"/>
      <c r="R390" s="252"/>
      <c r="S390" s="252"/>
      <c r="T390" s="252"/>
      <c r="U390" s="252"/>
      <c r="V390" s="252"/>
      <c r="W390" s="255"/>
    </row>
    <row r="391" spans="1:23" ht="23.1" customHeight="1">
      <c r="A391" s="248"/>
      <c r="B391" s="249"/>
      <c r="C391" s="250"/>
      <c r="D391" s="251"/>
      <c r="E391" s="252"/>
      <c r="F391" s="253"/>
      <c r="G391" s="252"/>
      <c r="H391" s="252"/>
      <c r="I391" s="252"/>
      <c r="J391" s="252"/>
      <c r="K391" s="252"/>
      <c r="L391" s="252"/>
      <c r="M391" s="252"/>
      <c r="N391" s="252"/>
      <c r="O391" s="252"/>
      <c r="P391" s="252"/>
      <c r="Q391" s="252"/>
      <c r="R391" s="252"/>
      <c r="S391" s="252"/>
      <c r="T391" s="252"/>
      <c r="U391" s="252"/>
      <c r="V391" s="252"/>
      <c r="W391" s="255"/>
    </row>
    <row r="392" spans="1:23" ht="23.1" customHeight="1">
      <c r="A392" s="248"/>
      <c r="B392" s="249"/>
      <c r="C392" s="250"/>
      <c r="D392" s="251"/>
      <c r="E392" s="252"/>
      <c r="F392" s="253"/>
      <c r="G392" s="252"/>
      <c r="H392" s="252"/>
      <c r="I392" s="252"/>
      <c r="J392" s="252"/>
      <c r="K392" s="252"/>
      <c r="L392" s="252"/>
      <c r="M392" s="252"/>
      <c r="N392" s="252"/>
      <c r="O392" s="252"/>
      <c r="P392" s="252"/>
      <c r="Q392" s="252"/>
      <c r="R392" s="252"/>
      <c r="S392" s="252"/>
      <c r="T392" s="252"/>
      <c r="U392" s="252"/>
      <c r="V392" s="252"/>
      <c r="W392" s="255"/>
    </row>
    <row r="393" spans="1:23" ht="23.1" customHeight="1">
      <c r="A393" s="248"/>
      <c r="B393" s="249"/>
      <c r="C393" s="250"/>
      <c r="D393" s="251"/>
      <c r="E393" s="252"/>
      <c r="F393" s="253"/>
      <c r="G393" s="252"/>
      <c r="H393" s="252"/>
      <c r="I393" s="252"/>
      <c r="J393" s="252"/>
      <c r="K393" s="252"/>
      <c r="L393" s="252"/>
      <c r="M393" s="252"/>
      <c r="N393" s="252"/>
      <c r="O393" s="252"/>
      <c r="P393" s="252"/>
      <c r="Q393" s="252"/>
      <c r="R393" s="252"/>
      <c r="S393" s="252"/>
      <c r="T393" s="252"/>
      <c r="U393" s="252"/>
      <c r="V393" s="252"/>
      <c r="W393" s="255"/>
    </row>
    <row r="394" spans="1:23" ht="23.1" customHeight="1">
      <c r="A394" s="248"/>
      <c r="B394" s="249"/>
      <c r="C394" s="250"/>
      <c r="D394" s="251"/>
      <c r="E394" s="252"/>
      <c r="F394" s="253"/>
      <c r="G394" s="252"/>
      <c r="H394" s="252"/>
      <c r="I394" s="252"/>
      <c r="J394" s="252"/>
      <c r="K394" s="252"/>
      <c r="L394" s="252"/>
      <c r="M394" s="252"/>
      <c r="N394" s="252"/>
      <c r="O394" s="252"/>
      <c r="P394" s="252"/>
      <c r="Q394" s="252"/>
      <c r="R394" s="252"/>
      <c r="S394" s="252"/>
      <c r="T394" s="252"/>
      <c r="U394" s="252"/>
      <c r="V394" s="252"/>
      <c r="W394" s="255"/>
    </row>
    <row r="395" spans="1:23" ht="23.1" customHeight="1">
      <c r="A395" s="248"/>
      <c r="B395" s="249"/>
      <c r="C395" s="250"/>
      <c r="D395" s="251"/>
      <c r="E395" s="252"/>
      <c r="F395" s="253"/>
      <c r="G395" s="252"/>
      <c r="H395" s="252"/>
      <c r="I395" s="252"/>
      <c r="J395" s="252"/>
      <c r="K395" s="252"/>
      <c r="L395" s="252"/>
      <c r="M395" s="252"/>
      <c r="N395" s="252"/>
      <c r="O395" s="252"/>
      <c r="P395" s="252"/>
      <c r="Q395" s="252"/>
      <c r="R395" s="252"/>
      <c r="S395" s="252"/>
      <c r="T395" s="252"/>
      <c r="U395" s="252"/>
      <c r="V395" s="252"/>
      <c r="W395" s="255"/>
    </row>
    <row r="396" spans="1:23" ht="23.1" customHeight="1">
      <c r="A396" s="248"/>
      <c r="B396" s="249"/>
      <c r="C396" s="250"/>
      <c r="D396" s="251"/>
      <c r="E396" s="252"/>
      <c r="F396" s="253"/>
      <c r="G396" s="252"/>
      <c r="H396" s="252"/>
      <c r="I396" s="252"/>
      <c r="J396" s="252"/>
      <c r="K396" s="252"/>
      <c r="L396" s="252"/>
      <c r="M396" s="252"/>
      <c r="N396" s="252"/>
      <c r="O396" s="252"/>
      <c r="P396" s="252"/>
      <c r="Q396" s="252"/>
      <c r="R396" s="252"/>
      <c r="S396" s="252"/>
      <c r="T396" s="252"/>
      <c r="U396" s="252"/>
      <c r="V396" s="252"/>
      <c r="W396" s="255"/>
    </row>
    <row r="397" spans="1:23" ht="23.1" customHeight="1">
      <c r="A397" s="248"/>
      <c r="B397" s="249"/>
      <c r="C397" s="250"/>
      <c r="D397" s="251"/>
      <c r="E397" s="252"/>
      <c r="F397" s="253"/>
      <c r="G397" s="252"/>
      <c r="H397" s="252"/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  <c r="S397" s="252"/>
      <c r="T397" s="252"/>
      <c r="U397" s="252"/>
      <c r="V397" s="252"/>
      <c r="W397" s="255"/>
    </row>
    <row r="398" spans="1:23" ht="23.1" customHeight="1">
      <c r="A398" s="248"/>
      <c r="B398" s="249"/>
      <c r="C398" s="250"/>
      <c r="D398" s="251"/>
      <c r="E398" s="252"/>
      <c r="F398" s="253"/>
      <c r="G398" s="252"/>
      <c r="H398" s="252"/>
      <c r="I398" s="252"/>
      <c r="J398" s="252"/>
      <c r="K398" s="252"/>
      <c r="L398" s="252"/>
      <c r="M398" s="252"/>
      <c r="N398" s="252"/>
      <c r="O398" s="252"/>
      <c r="P398" s="252"/>
      <c r="Q398" s="252"/>
      <c r="R398" s="252"/>
      <c r="S398" s="252"/>
      <c r="T398" s="252"/>
      <c r="U398" s="252"/>
      <c r="V398" s="252"/>
      <c r="W398" s="255"/>
    </row>
    <row r="399" spans="1:23" ht="23.1" customHeight="1">
      <c r="A399" s="248"/>
      <c r="B399" s="249"/>
      <c r="C399" s="250"/>
      <c r="D399" s="251"/>
      <c r="E399" s="252"/>
      <c r="F399" s="253"/>
      <c r="G399" s="252"/>
      <c r="H399" s="252"/>
      <c r="I399" s="252"/>
      <c r="J399" s="252"/>
      <c r="K399" s="252"/>
      <c r="L399" s="252"/>
      <c r="M399" s="252"/>
      <c r="N399" s="252"/>
      <c r="O399" s="252"/>
      <c r="P399" s="252"/>
      <c r="Q399" s="252"/>
      <c r="R399" s="252"/>
      <c r="S399" s="252"/>
      <c r="T399" s="252"/>
      <c r="U399" s="252"/>
      <c r="V399" s="252"/>
      <c r="W399" s="255"/>
    </row>
    <row r="400" spans="1:23" ht="23.1" customHeight="1">
      <c r="A400" s="248"/>
      <c r="B400" s="249"/>
      <c r="C400" s="250"/>
      <c r="D400" s="251"/>
      <c r="E400" s="252"/>
      <c r="F400" s="253"/>
      <c r="G400" s="252"/>
      <c r="H400" s="252"/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  <c r="S400" s="252"/>
      <c r="T400" s="252"/>
      <c r="U400" s="252"/>
      <c r="V400" s="252"/>
      <c r="W400" s="255"/>
    </row>
    <row r="401" spans="1:23" ht="23.1" customHeight="1">
      <c r="A401" s="248"/>
      <c r="B401" s="249"/>
      <c r="C401" s="250"/>
      <c r="D401" s="251"/>
      <c r="E401" s="252"/>
      <c r="F401" s="253"/>
      <c r="G401" s="252"/>
      <c r="H401" s="252"/>
      <c r="I401" s="252"/>
      <c r="J401" s="252"/>
      <c r="K401" s="252"/>
      <c r="L401" s="252"/>
      <c r="M401" s="252"/>
      <c r="N401" s="252"/>
      <c r="O401" s="252"/>
      <c r="P401" s="252"/>
      <c r="Q401" s="252"/>
      <c r="R401" s="252"/>
      <c r="S401" s="252"/>
      <c r="T401" s="252"/>
      <c r="U401" s="252"/>
      <c r="V401" s="252"/>
      <c r="W401" s="255"/>
    </row>
    <row r="402" spans="1:23" ht="23.1" customHeight="1">
      <c r="A402" s="248"/>
      <c r="B402" s="249"/>
      <c r="C402" s="250"/>
      <c r="D402" s="251"/>
      <c r="E402" s="252"/>
      <c r="F402" s="253"/>
      <c r="G402" s="252"/>
      <c r="H402" s="252"/>
      <c r="I402" s="252"/>
      <c r="J402" s="252"/>
      <c r="K402" s="252"/>
      <c r="L402" s="252"/>
      <c r="M402" s="252"/>
      <c r="N402" s="252"/>
      <c r="O402" s="252"/>
      <c r="P402" s="252"/>
      <c r="Q402" s="252"/>
      <c r="R402" s="252"/>
      <c r="S402" s="252"/>
      <c r="T402" s="252"/>
      <c r="U402" s="252"/>
      <c r="V402" s="252"/>
      <c r="W402" s="255"/>
    </row>
    <row r="403" spans="1:23" ht="23.1" customHeight="1">
      <c r="A403" s="248"/>
      <c r="B403" s="249"/>
      <c r="C403" s="250"/>
      <c r="D403" s="251"/>
      <c r="E403" s="252"/>
      <c r="F403" s="253"/>
      <c r="G403" s="252"/>
      <c r="H403" s="252"/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  <c r="S403" s="252"/>
      <c r="T403" s="252"/>
      <c r="U403" s="252"/>
      <c r="V403" s="252"/>
      <c r="W403" s="255"/>
    </row>
    <row r="404" spans="1:23" ht="23.1" customHeight="1">
      <c r="A404" s="248"/>
      <c r="B404" s="249"/>
      <c r="C404" s="250"/>
      <c r="D404" s="251"/>
      <c r="E404" s="252"/>
      <c r="F404" s="253"/>
      <c r="G404" s="252"/>
      <c r="H404" s="252"/>
      <c r="I404" s="252"/>
      <c r="J404" s="252"/>
      <c r="K404" s="252"/>
      <c r="L404" s="252"/>
      <c r="M404" s="252"/>
      <c r="N404" s="252"/>
      <c r="O404" s="252"/>
      <c r="P404" s="252"/>
      <c r="Q404" s="252"/>
      <c r="R404" s="252"/>
      <c r="S404" s="252"/>
      <c r="T404" s="252"/>
      <c r="U404" s="252"/>
      <c r="V404" s="252"/>
      <c r="W404" s="255"/>
    </row>
    <row r="405" spans="1:23" ht="23.1" customHeight="1">
      <c r="A405" s="248"/>
      <c r="B405" s="249"/>
      <c r="C405" s="250"/>
      <c r="D405" s="251"/>
      <c r="E405" s="252"/>
      <c r="F405" s="253"/>
      <c r="G405" s="252"/>
      <c r="H405" s="252"/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  <c r="S405" s="252"/>
      <c r="T405" s="252"/>
      <c r="U405" s="252"/>
      <c r="V405" s="252"/>
      <c r="W405" s="255"/>
    </row>
    <row r="406" spans="1:23" ht="23.1" customHeight="1">
      <c r="A406" s="248"/>
      <c r="B406" s="249"/>
      <c r="C406" s="250"/>
      <c r="D406" s="251"/>
      <c r="E406" s="252"/>
      <c r="F406" s="253"/>
      <c r="G406" s="252"/>
      <c r="H406" s="252"/>
      <c r="I406" s="252"/>
      <c r="J406" s="252"/>
      <c r="K406" s="252"/>
      <c r="L406" s="252"/>
      <c r="M406" s="252"/>
      <c r="N406" s="252"/>
      <c r="O406" s="252"/>
      <c r="P406" s="252"/>
      <c r="Q406" s="252"/>
      <c r="R406" s="252"/>
      <c r="S406" s="252"/>
      <c r="T406" s="252"/>
      <c r="U406" s="252"/>
      <c r="V406" s="252"/>
      <c r="W406" s="255"/>
    </row>
    <row r="407" spans="1:23" ht="23.1" customHeight="1">
      <c r="A407" s="248"/>
      <c r="B407" s="249"/>
      <c r="C407" s="250"/>
      <c r="D407" s="251"/>
      <c r="E407" s="252"/>
      <c r="F407" s="253"/>
      <c r="G407" s="252"/>
      <c r="H407" s="252"/>
      <c r="I407" s="252"/>
      <c r="J407" s="252"/>
      <c r="K407" s="252"/>
      <c r="L407" s="252"/>
      <c r="M407" s="252"/>
      <c r="N407" s="252"/>
      <c r="O407" s="252"/>
      <c r="P407" s="252"/>
      <c r="Q407" s="252"/>
      <c r="R407" s="252"/>
      <c r="S407" s="252"/>
      <c r="T407" s="252"/>
      <c r="U407" s="252"/>
      <c r="V407" s="252"/>
      <c r="W407" s="255"/>
    </row>
    <row r="408" spans="1:23" ht="23.1" customHeight="1">
      <c r="A408" s="248"/>
      <c r="B408" s="249"/>
      <c r="C408" s="250"/>
      <c r="D408" s="251"/>
      <c r="E408" s="252"/>
      <c r="F408" s="253"/>
      <c r="G408" s="252"/>
      <c r="H408" s="252"/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  <c r="S408" s="252"/>
      <c r="T408" s="252"/>
      <c r="U408" s="252"/>
      <c r="V408" s="252"/>
      <c r="W408" s="255"/>
    </row>
    <row r="409" spans="1:23" ht="23.1" customHeight="1">
      <c r="A409" s="248"/>
      <c r="B409" s="249"/>
      <c r="C409" s="250"/>
      <c r="D409" s="251"/>
      <c r="E409" s="252"/>
      <c r="F409" s="253"/>
      <c r="G409" s="252"/>
      <c r="H409" s="252"/>
      <c r="I409" s="252"/>
      <c r="J409" s="252"/>
      <c r="K409" s="252"/>
      <c r="L409" s="252"/>
      <c r="M409" s="252"/>
      <c r="N409" s="252"/>
      <c r="O409" s="252"/>
      <c r="P409" s="252"/>
      <c r="Q409" s="252"/>
      <c r="R409" s="252"/>
      <c r="S409" s="252"/>
      <c r="T409" s="252"/>
      <c r="U409" s="252"/>
      <c r="V409" s="252"/>
      <c r="W409" s="255"/>
    </row>
    <row r="410" spans="1:23" ht="23.1" customHeight="1">
      <c r="A410" s="248"/>
      <c r="B410" s="249"/>
      <c r="C410" s="250"/>
      <c r="D410" s="251"/>
      <c r="E410" s="252"/>
      <c r="F410" s="253"/>
      <c r="G410" s="252"/>
      <c r="H410" s="252"/>
      <c r="I410" s="252"/>
      <c r="J410" s="252"/>
      <c r="K410" s="252"/>
      <c r="L410" s="252"/>
      <c r="M410" s="252"/>
      <c r="N410" s="252"/>
      <c r="O410" s="252"/>
      <c r="P410" s="252"/>
      <c r="Q410" s="252"/>
      <c r="R410" s="252"/>
      <c r="S410" s="252"/>
      <c r="T410" s="252"/>
      <c r="U410" s="252"/>
      <c r="V410" s="252"/>
      <c r="W410" s="255"/>
    </row>
    <row r="411" spans="1:23" ht="23.1" customHeight="1">
      <c r="A411" s="248"/>
      <c r="B411" s="249"/>
      <c r="C411" s="250"/>
      <c r="D411" s="251"/>
      <c r="E411" s="252"/>
      <c r="F411" s="253"/>
      <c r="G411" s="252"/>
      <c r="H411" s="252"/>
      <c r="I411" s="252"/>
      <c r="J411" s="252"/>
      <c r="K411" s="252"/>
      <c r="L411" s="252"/>
      <c r="M411" s="252"/>
      <c r="N411" s="252"/>
      <c r="O411" s="252"/>
      <c r="P411" s="252"/>
      <c r="Q411" s="252"/>
      <c r="R411" s="252"/>
      <c r="S411" s="252"/>
      <c r="T411" s="252"/>
      <c r="U411" s="252"/>
      <c r="V411" s="252"/>
      <c r="W411" s="255"/>
    </row>
    <row r="412" spans="1:23" ht="23.1" customHeight="1">
      <c r="A412" s="248"/>
      <c r="B412" s="249"/>
      <c r="C412" s="250"/>
      <c r="D412" s="251"/>
      <c r="E412" s="252"/>
      <c r="F412" s="253"/>
      <c r="G412" s="252"/>
      <c r="H412" s="252"/>
      <c r="I412" s="252"/>
      <c r="J412" s="252"/>
      <c r="K412" s="252"/>
      <c r="L412" s="252"/>
      <c r="M412" s="252"/>
      <c r="N412" s="252"/>
      <c r="O412" s="252"/>
      <c r="P412" s="252"/>
      <c r="Q412" s="252"/>
      <c r="R412" s="252"/>
      <c r="S412" s="252"/>
      <c r="T412" s="252"/>
      <c r="U412" s="252"/>
      <c r="V412" s="252"/>
      <c r="W412" s="255"/>
    </row>
    <row r="413" spans="1:23" ht="23.1" customHeight="1">
      <c r="A413" s="248"/>
      <c r="B413" s="249"/>
      <c r="C413" s="250"/>
      <c r="D413" s="251"/>
      <c r="E413" s="252"/>
      <c r="F413" s="253"/>
      <c r="G413" s="252"/>
      <c r="H413" s="252"/>
      <c r="I413" s="252"/>
      <c r="J413" s="252"/>
      <c r="K413" s="252"/>
      <c r="L413" s="252"/>
      <c r="M413" s="252"/>
      <c r="N413" s="252"/>
      <c r="O413" s="252"/>
      <c r="P413" s="252"/>
      <c r="Q413" s="252"/>
      <c r="R413" s="252"/>
      <c r="S413" s="252"/>
      <c r="T413" s="252"/>
      <c r="U413" s="252"/>
      <c r="V413" s="252"/>
      <c r="W413" s="255"/>
    </row>
    <row r="414" spans="1:23" ht="23.1" customHeight="1">
      <c r="A414" s="248"/>
      <c r="B414" s="249"/>
      <c r="C414" s="250"/>
      <c r="D414" s="251"/>
      <c r="E414" s="252"/>
      <c r="F414" s="253"/>
      <c r="G414" s="252"/>
      <c r="H414" s="252"/>
      <c r="I414" s="252"/>
      <c r="J414" s="252"/>
      <c r="K414" s="252"/>
      <c r="L414" s="252"/>
      <c r="M414" s="252"/>
      <c r="N414" s="252"/>
      <c r="O414" s="252"/>
      <c r="P414" s="252"/>
      <c r="Q414" s="252"/>
      <c r="R414" s="252"/>
      <c r="S414" s="252"/>
      <c r="T414" s="252"/>
      <c r="U414" s="252"/>
      <c r="V414" s="252"/>
      <c r="W414" s="255"/>
    </row>
    <row r="415" spans="1:23" ht="23.1" customHeight="1">
      <c r="A415" s="248"/>
      <c r="B415" s="249"/>
      <c r="C415" s="250"/>
      <c r="D415" s="251"/>
      <c r="E415" s="252"/>
      <c r="F415" s="253"/>
      <c r="G415" s="252"/>
      <c r="H415" s="252"/>
      <c r="I415" s="252"/>
      <c r="J415" s="252"/>
      <c r="K415" s="252"/>
      <c r="L415" s="252"/>
      <c r="M415" s="252"/>
      <c r="N415" s="252"/>
      <c r="O415" s="252"/>
      <c r="P415" s="252"/>
      <c r="Q415" s="252"/>
      <c r="R415" s="252"/>
      <c r="S415" s="252"/>
      <c r="T415" s="252"/>
      <c r="U415" s="252"/>
      <c r="V415" s="252"/>
      <c r="W415" s="255"/>
    </row>
    <row r="416" spans="1:23" ht="23.1" customHeight="1">
      <c r="A416" s="248"/>
      <c r="B416" s="249"/>
      <c r="C416" s="250"/>
      <c r="D416" s="251"/>
      <c r="E416" s="252"/>
      <c r="F416" s="253"/>
      <c r="G416" s="252"/>
      <c r="H416" s="252"/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  <c r="S416" s="252"/>
      <c r="T416" s="252"/>
      <c r="U416" s="252"/>
      <c r="V416" s="252"/>
      <c r="W416" s="255"/>
    </row>
    <row r="417" spans="1:23" ht="23.1" customHeight="1">
      <c r="A417" s="248"/>
      <c r="B417" s="249"/>
      <c r="C417" s="250"/>
      <c r="D417" s="251"/>
      <c r="E417" s="252"/>
      <c r="F417" s="253"/>
      <c r="G417" s="252"/>
      <c r="H417" s="252"/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  <c r="S417" s="252"/>
      <c r="T417" s="252"/>
      <c r="U417" s="252"/>
      <c r="V417" s="252"/>
      <c r="W417" s="255"/>
    </row>
    <row r="418" spans="1:23" ht="23.1" customHeight="1">
      <c r="A418" s="248"/>
      <c r="B418" s="249"/>
      <c r="C418" s="250"/>
      <c r="D418" s="251"/>
      <c r="E418" s="252"/>
      <c r="F418" s="253"/>
      <c r="G418" s="252"/>
      <c r="H418" s="252"/>
      <c r="I418" s="252"/>
      <c r="J418" s="252"/>
      <c r="K418" s="252"/>
      <c r="L418" s="252"/>
      <c r="M418" s="252"/>
      <c r="N418" s="252"/>
      <c r="O418" s="252"/>
      <c r="P418" s="252"/>
      <c r="Q418" s="252"/>
      <c r="R418" s="252"/>
      <c r="S418" s="252"/>
      <c r="T418" s="252"/>
      <c r="U418" s="252"/>
      <c r="V418" s="252"/>
      <c r="W418" s="255"/>
    </row>
    <row r="419" spans="1:23" ht="23.1" customHeight="1">
      <c r="A419" s="248"/>
      <c r="B419" s="249"/>
      <c r="C419" s="250"/>
      <c r="D419" s="251"/>
      <c r="E419" s="252"/>
      <c r="F419" s="253"/>
      <c r="G419" s="252"/>
      <c r="H419" s="252"/>
      <c r="I419" s="252"/>
      <c r="J419" s="252"/>
      <c r="K419" s="252"/>
      <c r="L419" s="252"/>
      <c r="M419" s="252"/>
      <c r="N419" s="252"/>
      <c r="O419" s="252"/>
      <c r="P419" s="252"/>
      <c r="Q419" s="252"/>
      <c r="R419" s="252"/>
      <c r="S419" s="252"/>
      <c r="T419" s="252"/>
      <c r="U419" s="252"/>
      <c r="V419" s="252"/>
      <c r="W419" s="255"/>
    </row>
    <row r="420" spans="1:23" ht="23.1" customHeight="1">
      <c r="A420" s="248"/>
      <c r="B420" s="249"/>
      <c r="C420" s="250"/>
      <c r="D420" s="251"/>
      <c r="E420" s="252"/>
      <c r="F420" s="253"/>
      <c r="G420" s="252"/>
      <c r="H420" s="252"/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  <c r="S420" s="252"/>
      <c r="T420" s="252"/>
      <c r="U420" s="252"/>
      <c r="V420" s="252"/>
      <c r="W420" s="255"/>
    </row>
    <row r="421" spans="1:23" ht="23.1" customHeight="1">
      <c r="A421" s="248"/>
      <c r="B421" s="249"/>
      <c r="C421" s="250"/>
      <c r="D421" s="251"/>
      <c r="E421" s="252"/>
      <c r="F421" s="253"/>
      <c r="G421" s="252"/>
      <c r="H421" s="252"/>
      <c r="I421" s="252"/>
      <c r="J421" s="252"/>
      <c r="K421" s="252"/>
      <c r="L421" s="252"/>
      <c r="M421" s="252"/>
      <c r="N421" s="252"/>
      <c r="O421" s="252"/>
      <c r="P421" s="252"/>
      <c r="Q421" s="252"/>
      <c r="R421" s="252"/>
      <c r="S421" s="252"/>
      <c r="T421" s="252"/>
      <c r="U421" s="252"/>
      <c r="V421" s="252"/>
      <c r="W421" s="255"/>
    </row>
    <row r="422" spans="1:23" ht="23.1" customHeight="1">
      <c r="A422" s="248"/>
      <c r="B422" s="249"/>
      <c r="C422" s="250"/>
      <c r="D422" s="251"/>
      <c r="E422" s="252"/>
      <c r="F422" s="253"/>
      <c r="G422" s="252"/>
      <c r="H422" s="252"/>
      <c r="I422" s="252"/>
      <c r="J422" s="252"/>
      <c r="K422" s="252"/>
      <c r="L422" s="252"/>
      <c r="M422" s="252"/>
      <c r="N422" s="252"/>
      <c r="O422" s="252"/>
      <c r="P422" s="252"/>
      <c r="Q422" s="252"/>
      <c r="R422" s="252"/>
      <c r="S422" s="252"/>
      <c r="T422" s="252"/>
      <c r="U422" s="252"/>
      <c r="V422" s="252"/>
      <c r="W422" s="255"/>
    </row>
    <row r="423" spans="1:23" ht="23.1" customHeight="1">
      <c r="A423" s="248"/>
      <c r="B423" s="249"/>
      <c r="C423" s="250"/>
      <c r="D423" s="251"/>
      <c r="E423" s="252"/>
      <c r="F423" s="253"/>
      <c r="G423" s="252"/>
      <c r="H423" s="252"/>
      <c r="I423" s="252"/>
      <c r="J423" s="252"/>
      <c r="K423" s="252"/>
      <c r="L423" s="252"/>
      <c r="M423" s="252"/>
      <c r="N423" s="252"/>
      <c r="O423" s="252"/>
      <c r="P423" s="252"/>
      <c r="Q423" s="252"/>
      <c r="R423" s="252"/>
      <c r="S423" s="252"/>
      <c r="T423" s="252"/>
      <c r="U423" s="252"/>
      <c r="V423" s="252"/>
      <c r="W423" s="255"/>
    </row>
    <row r="424" spans="1:23" ht="23.1" customHeight="1">
      <c r="A424" s="248"/>
      <c r="B424" s="249"/>
      <c r="C424" s="250"/>
      <c r="D424" s="251"/>
      <c r="E424" s="252"/>
      <c r="F424" s="253"/>
      <c r="G424" s="252"/>
      <c r="H424" s="252"/>
      <c r="I424" s="252"/>
      <c r="J424" s="252"/>
      <c r="K424" s="252"/>
      <c r="L424" s="252"/>
      <c r="M424" s="252"/>
      <c r="N424" s="252"/>
      <c r="O424" s="252"/>
      <c r="P424" s="252"/>
      <c r="Q424" s="252"/>
      <c r="R424" s="252"/>
      <c r="S424" s="252"/>
      <c r="T424" s="252"/>
      <c r="U424" s="252"/>
      <c r="V424" s="252"/>
      <c r="W424" s="255"/>
    </row>
    <row r="425" spans="1:23" ht="23.1" customHeight="1">
      <c r="A425" s="248"/>
      <c r="B425" s="249"/>
      <c r="C425" s="250"/>
      <c r="D425" s="251"/>
      <c r="E425" s="252"/>
      <c r="F425" s="253"/>
      <c r="G425" s="252"/>
      <c r="H425" s="252"/>
      <c r="I425" s="252"/>
      <c r="J425" s="252"/>
      <c r="K425" s="252"/>
      <c r="L425" s="252"/>
      <c r="M425" s="252"/>
      <c r="N425" s="252"/>
      <c r="O425" s="252"/>
      <c r="P425" s="252"/>
      <c r="Q425" s="252"/>
      <c r="R425" s="252"/>
      <c r="S425" s="252"/>
      <c r="T425" s="252"/>
      <c r="U425" s="252"/>
      <c r="V425" s="252"/>
      <c r="W425" s="255"/>
    </row>
    <row r="426" spans="1:23" ht="23.1" customHeight="1">
      <c r="A426" s="248"/>
      <c r="B426" s="249"/>
      <c r="C426" s="250"/>
      <c r="D426" s="251"/>
      <c r="E426" s="252"/>
      <c r="F426" s="253"/>
      <c r="G426" s="252"/>
      <c r="H426" s="252"/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  <c r="S426" s="252"/>
      <c r="T426" s="252"/>
      <c r="U426" s="252"/>
      <c r="V426" s="252"/>
      <c r="W426" s="255"/>
    </row>
    <row r="427" spans="1:23" ht="23.1" customHeight="1">
      <c r="A427" s="248"/>
      <c r="B427" s="249"/>
      <c r="C427" s="250"/>
      <c r="D427" s="251"/>
      <c r="E427" s="252"/>
      <c r="F427" s="253"/>
      <c r="G427" s="252"/>
      <c r="H427" s="252"/>
      <c r="I427" s="252"/>
      <c r="J427" s="252"/>
      <c r="K427" s="252"/>
      <c r="L427" s="252"/>
      <c r="M427" s="252"/>
      <c r="N427" s="252"/>
      <c r="O427" s="252"/>
      <c r="P427" s="252"/>
      <c r="Q427" s="252"/>
      <c r="R427" s="252"/>
      <c r="S427" s="252"/>
      <c r="T427" s="252"/>
      <c r="U427" s="252"/>
      <c r="V427" s="252"/>
      <c r="W427" s="255"/>
    </row>
  </sheetData>
  <mergeCells count="21">
    <mergeCell ref="A153:D153"/>
    <mergeCell ref="A3:A5"/>
    <mergeCell ref="B3:B5"/>
    <mergeCell ref="C3:C5"/>
    <mergeCell ref="D3:D5"/>
    <mergeCell ref="Y3:AD3"/>
    <mergeCell ref="E4:G4"/>
    <mergeCell ref="H4:J4"/>
    <mergeCell ref="K4:M4"/>
    <mergeCell ref="N4:P4"/>
    <mergeCell ref="Q4:S4"/>
    <mergeCell ref="T4:V4"/>
    <mergeCell ref="Y4:AA4"/>
    <mergeCell ref="AB4:AD4"/>
    <mergeCell ref="W3:W5"/>
    <mergeCell ref="A1:W1"/>
    <mergeCell ref="A2:W2"/>
    <mergeCell ref="E3:G3"/>
    <mergeCell ref="H3:J3"/>
    <mergeCell ref="K3:P3"/>
    <mergeCell ref="Q3:V3"/>
  </mergeCells>
  <phoneticPr fontId="76" type="noConversion"/>
  <pageMargins left="0.75" right="0.75" top="1" bottom="1" header="0.5" footer="0.5"/>
  <pageSetup paperSize="9" scale="33" orientation="portrait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9338A-BACA-4053-92B1-BD57ED12604A}">
  <sheetPr>
    <outlinePr summaryBelow="0"/>
  </sheetPr>
  <dimension ref="A1:AE306"/>
  <sheetViews>
    <sheetView zoomScale="115" zoomScaleNormal="115" zoomScaleSheetLayoutView="100" workbookViewId="0">
      <pane ySplit="5" topLeftCell="A6" activePane="bottomLeft" state="frozen"/>
      <selection pane="bottomLeft" activeCell="M3" sqref="M3:Q3"/>
    </sheetView>
  </sheetViews>
  <sheetFormatPr defaultColWidth="8.75" defaultRowHeight="24.95" customHeight="1" outlineLevelRow="1"/>
  <cols>
    <col min="1" max="1" width="5.625" customWidth="1"/>
    <col min="2" max="2" width="30.5" customWidth="1"/>
    <col min="3" max="3" width="5.625" customWidth="1"/>
    <col min="4" max="4" width="4.875" customWidth="1"/>
    <col min="5" max="5" width="11.125" style="61" customWidth="1"/>
    <col min="6" max="6" width="4.75" style="61" customWidth="1"/>
    <col min="7" max="7" width="11.625" style="61" customWidth="1"/>
    <col min="8" max="8" width="7.625" customWidth="1"/>
    <col min="9" max="9" width="9.625" style="61" customWidth="1"/>
    <col min="10" max="10" width="7.75" customWidth="1"/>
    <col min="11" max="11" width="6" customWidth="1"/>
    <col min="12" max="12" width="11.625" style="61" customWidth="1"/>
    <col min="13" max="13" width="9.625" customWidth="1"/>
    <col min="14" max="14" width="11.625" customWidth="1"/>
    <col min="15" max="15" width="6.625" customWidth="1"/>
    <col min="16" max="16" width="6.125" customWidth="1"/>
    <col min="17" max="17" width="11.625" style="61" customWidth="1"/>
    <col min="18" max="19" width="9.625" customWidth="1"/>
    <col min="20" max="20" width="10.25" customWidth="1"/>
    <col min="21" max="21" width="5.25" customWidth="1"/>
    <col min="22" max="22" width="11.625" style="219" customWidth="1"/>
  </cols>
  <sheetData>
    <row r="1" spans="1:22" ht="17.100000000000001" customHeight="1">
      <c r="A1" s="425" t="s">
        <v>1160</v>
      </c>
      <c r="B1" s="425"/>
      <c r="C1" s="425"/>
      <c r="D1" s="425"/>
      <c r="E1" s="426"/>
      <c r="F1" s="426"/>
      <c r="G1" s="426"/>
      <c r="H1" s="425"/>
      <c r="I1" s="426"/>
      <c r="J1" s="425"/>
      <c r="K1" s="425"/>
      <c r="L1" s="426"/>
      <c r="M1" s="425"/>
      <c r="N1" s="425"/>
      <c r="O1" s="425"/>
      <c r="P1" s="425"/>
      <c r="Q1" s="426"/>
      <c r="R1" s="425"/>
      <c r="S1" s="111"/>
      <c r="T1" s="111"/>
      <c r="U1" s="111"/>
      <c r="V1" s="231"/>
    </row>
    <row r="2" spans="1:22" s="59" customFormat="1" ht="17.100000000000001" customHeight="1">
      <c r="A2" s="428" t="s">
        <v>1051</v>
      </c>
      <c r="B2" s="428"/>
      <c r="C2" s="428"/>
      <c r="D2" s="428"/>
      <c r="E2" s="429"/>
      <c r="F2" s="429"/>
      <c r="G2" s="429"/>
      <c r="H2" s="428"/>
      <c r="I2" s="429"/>
      <c r="J2" s="428"/>
      <c r="K2" s="428"/>
      <c r="L2" s="429"/>
      <c r="M2" s="428"/>
      <c r="N2" s="428"/>
      <c r="O2" s="428"/>
      <c r="P2" s="428"/>
      <c r="Q2" s="429"/>
      <c r="R2" s="428"/>
      <c r="S2" s="209"/>
      <c r="T2" s="209"/>
      <c r="U2" s="209"/>
      <c r="V2" s="139"/>
    </row>
    <row r="3" spans="1:22" s="59" customFormat="1" ht="17.100000000000001" customHeight="1">
      <c r="A3" s="453" t="s">
        <v>32</v>
      </c>
      <c r="B3" s="454" t="s">
        <v>90</v>
      </c>
      <c r="C3" s="457" t="s">
        <v>34</v>
      </c>
      <c r="D3" s="481" t="s">
        <v>92</v>
      </c>
      <c r="E3" s="482"/>
      <c r="F3" s="482"/>
      <c r="G3" s="483"/>
      <c r="H3" s="453" t="s">
        <v>36</v>
      </c>
      <c r="I3" s="430"/>
      <c r="J3" s="453"/>
      <c r="K3" s="453"/>
      <c r="L3" s="430"/>
      <c r="M3" s="453" t="s">
        <v>37</v>
      </c>
      <c r="N3" s="453"/>
      <c r="O3" s="453"/>
      <c r="P3" s="453"/>
      <c r="Q3" s="430"/>
      <c r="R3" s="447" t="s">
        <v>38</v>
      </c>
      <c r="S3" s="211"/>
      <c r="T3" s="453" t="s">
        <v>93</v>
      </c>
      <c r="U3" s="453"/>
      <c r="V3" s="453"/>
    </row>
    <row r="4" spans="1:22" s="59" customFormat="1" ht="17.100000000000001" customHeight="1">
      <c r="A4" s="420"/>
      <c r="B4" s="420"/>
      <c r="C4" s="420"/>
      <c r="D4" s="430" t="s">
        <v>42</v>
      </c>
      <c r="E4" s="430"/>
      <c r="F4" s="430" t="s">
        <v>94</v>
      </c>
      <c r="G4" s="430"/>
      <c r="H4" s="430" t="s">
        <v>42</v>
      </c>
      <c r="I4" s="430"/>
      <c r="J4" s="457" t="s">
        <v>43</v>
      </c>
      <c r="K4" s="457"/>
      <c r="L4" s="430"/>
      <c r="M4" s="430" t="s">
        <v>42</v>
      </c>
      <c r="N4" s="430"/>
      <c r="O4" s="457" t="s">
        <v>43</v>
      </c>
      <c r="P4" s="457"/>
      <c r="Q4" s="430"/>
      <c r="R4" s="447"/>
      <c r="S4" s="211"/>
      <c r="T4" s="430" t="s">
        <v>43</v>
      </c>
      <c r="U4" s="430"/>
      <c r="V4" s="430"/>
    </row>
    <row r="5" spans="1:22" s="59" customFormat="1" ht="17.100000000000001" customHeight="1">
      <c r="A5" s="420"/>
      <c r="B5" s="420"/>
      <c r="C5" s="420"/>
      <c r="D5" s="114" t="s">
        <v>1053</v>
      </c>
      <c r="E5" s="114" t="s">
        <v>97</v>
      </c>
      <c r="F5" s="114" t="s">
        <v>1053</v>
      </c>
      <c r="G5" s="114" t="s">
        <v>97</v>
      </c>
      <c r="H5" s="114" t="s">
        <v>1053</v>
      </c>
      <c r="I5" s="114" t="s">
        <v>97</v>
      </c>
      <c r="J5" s="114" t="s">
        <v>95</v>
      </c>
      <c r="K5" s="112" t="s">
        <v>96</v>
      </c>
      <c r="L5" s="114" t="s">
        <v>97</v>
      </c>
      <c r="M5" s="114" t="s">
        <v>1053</v>
      </c>
      <c r="N5" s="116" t="s">
        <v>97</v>
      </c>
      <c r="O5" s="114" t="s">
        <v>95</v>
      </c>
      <c r="P5" s="112" t="s">
        <v>96</v>
      </c>
      <c r="Q5" s="114" t="s">
        <v>97</v>
      </c>
      <c r="R5" s="447"/>
      <c r="S5" s="211"/>
      <c r="T5" s="136" t="s">
        <v>95</v>
      </c>
      <c r="U5" s="112" t="s">
        <v>96</v>
      </c>
      <c r="V5" s="114" t="s">
        <v>97</v>
      </c>
    </row>
    <row r="6" spans="1:22" s="215" customFormat="1" ht="24.95" customHeight="1">
      <c r="A6" s="220" t="s">
        <v>98</v>
      </c>
      <c r="B6" s="221" t="s">
        <v>1161</v>
      </c>
      <c r="C6" s="221"/>
      <c r="D6" s="119"/>
      <c r="E6" s="222">
        <v>3721871.0533395964</v>
      </c>
      <c r="F6" s="222"/>
      <c r="G6" s="222">
        <v>4196897.49</v>
      </c>
      <c r="H6" s="222">
        <f>汇总表!G25/汇总表!D25</f>
        <v>3.8887904092863843E-2</v>
      </c>
      <c r="I6" s="222">
        <f>H6*E6</f>
        <v>144735.76456827635</v>
      </c>
      <c r="J6" s="119"/>
      <c r="K6" s="119"/>
      <c r="L6" s="222">
        <f>SUM(L7:L21)</f>
        <v>181184.85768907203</v>
      </c>
      <c r="M6" s="222">
        <f>汇总表!K25/汇总表!D25</f>
        <v>0.40973992851005281</v>
      </c>
      <c r="N6" s="222">
        <f>M6*E6</f>
        <v>1524999.1793190013</v>
      </c>
      <c r="O6" s="119"/>
      <c r="P6" s="119"/>
      <c r="Q6" s="222">
        <f>SUM(Q7:Q21)</f>
        <v>2145787.3718268084</v>
      </c>
      <c r="R6" s="137"/>
      <c r="S6" s="212"/>
      <c r="T6" s="137"/>
      <c r="U6" s="137"/>
      <c r="V6" s="222">
        <v>1964602.5141377365</v>
      </c>
    </row>
    <row r="7" spans="1:22" s="216" customFormat="1" ht="24.95" customHeight="1" outlineLevel="1">
      <c r="A7" s="223">
        <v>1</v>
      </c>
      <c r="B7" s="198" t="s">
        <v>1162</v>
      </c>
      <c r="C7" s="198" t="s">
        <v>47</v>
      </c>
      <c r="D7" s="123"/>
      <c r="E7" s="205"/>
      <c r="F7" s="205"/>
      <c r="G7" s="205"/>
      <c r="H7" s="123"/>
      <c r="I7" s="120"/>
      <c r="J7" s="123"/>
      <c r="K7" s="123"/>
      <c r="L7" s="207">
        <f t="shared" ref="L7:L12" si="0">+Q7-V7</f>
        <v>24434.495412843957</v>
      </c>
      <c r="M7" s="123"/>
      <c r="N7" s="120"/>
      <c r="O7" s="123"/>
      <c r="P7" s="123"/>
      <c r="Q7" s="206">
        <v>129680.614678899</v>
      </c>
      <c r="R7" s="123"/>
      <c r="S7" s="214"/>
      <c r="T7" s="123"/>
      <c r="U7" s="123"/>
      <c r="V7" s="206">
        <v>105246.11926605504</v>
      </c>
    </row>
    <row r="8" spans="1:22" s="216" customFormat="1" ht="24.95" customHeight="1" outlineLevel="1">
      <c r="A8" s="223">
        <v>2</v>
      </c>
      <c r="B8" s="198" t="s">
        <v>1163</v>
      </c>
      <c r="C8" s="198" t="s">
        <v>47</v>
      </c>
      <c r="D8" s="123"/>
      <c r="E8" s="205"/>
      <c r="F8" s="205"/>
      <c r="G8" s="205"/>
      <c r="H8" s="123"/>
      <c r="I8" s="120"/>
      <c r="J8" s="120"/>
      <c r="K8" s="123"/>
      <c r="L8" s="207">
        <f t="shared" si="0"/>
        <v>5478.0530973451387</v>
      </c>
      <c r="M8" s="123"/>
      <c r="N8" s="120"/>
      <c r="O8" s="120"/>
      <c r="P8" s="123"/>
      <c r="Q8" s="206">
        <v>91313.637168141606</v>
      </c>
      <c r="R8" s="123"/>
      <c r="S8" s="214"/>
      <c r="T8" s="123"/>
      <c r="U8" s="123"/>
      <c r="V8" s="206">
        <v>85835.584070796467</v>
      </c>
    </row>
    <row r="9" spans="1:22" s="216" customFormat="1" ht="24.95" customHeight="1" outlineLevel="1">
      <c r="A9" s="223">
        <v>3</v>
      </c>
      <c r="B9" s="198" t="s">
        <v>1164</v>
      </c>
      <c r="C9" s="198" t="s">
        <v>47</v>
      </c>
      <c r="D9" s="123"/>
      <c r="E9" s="205"/>
      <c r="F9" s="205"/>
      <c r="G9" s="205"/>
      <c r="H9" s="123"/>
      <c r="I9" s="120"/>
      <c r="J9" s="120"/>
      <c r="K9" s="123"/>
      <c r="L9" s="207">
        <f t="shared" si="0"/>
        <v>0</v>
      </c>
      <c r="M9" s="123"/>
      <c r="N9" s="120"/>
      <c r="O9" s="120"/>
      <c r="P9" s="123"/>
      <c r="Q9" s="206">
        <v>25816</v>
      </c>
      <c r="R9" s="123"/>
      <c r="S9" s="214"/>
      <c r="T9" s="123"/>
      <c r="U9" s="123"/>
      <c r="V9" s="206">
        <v>25816.000000000004</v>
      </c>
    </row>
    <row r="10" spans="1:22" s="216" customFormat="1" ht="24.95" customHeight="1" outlineLevel="1">
      <c r="A10" s="223">
        <v>4</v>
      </c>
      <c r="B10" s="198" t="s">
        <v>1165</v>
      </c>
      <c r="C10" s="198" t="s">
        <v>47</v>
      </c>
      <c r="D10" s="123"/>
      <c r="E10" s="205"/>
      <c r="F10" s="205"/>
      <c r="G10" s="205"/>
      <c r="H10" s="123"/>
      <c r="I10" s="120"/>
      <c r="J10" s="123"/>
      <c r="K10" s="123"/>
      <c r="L10" s="207">
        <f t="shared" si="0"/>
        <v>0</v>
      </c>
      <c r="M10" s="123"/>
      <c r="N10" s="120"/>
      <c r="O10" s="123"/>
      <c r="P10" s="123"/>
      <c r="Q10" s="206">
        <v>14381.619469026549</v>
      </c>
      <c r="R10" s="123"/>
      <c r="S10" s="214"/>
      <c r="T10" s="123"/>
      <c r="U10" s="123"/>
      <c r="V10" s="206">
        <v>14381.619469026549</v>
      </c>
    </row>
    <row r="11" spans="1:22" s="216" customFormat="1" ht="24.95" customHeight="1" outlineLevel="1">
      <c r="A11" s="223">
        <v>5</v>
      </c>
      <c r="B11" s="198" t="s">
        <v>1166</v>
      </c>
      <c r="C11" s="198" t="s">
        <v>47</v>
      </c>
      <c r="D11" s="123"/>
      <c r="E11" s="205"/>
      <c r="F11" s="205"/>
      <c r="G11" s="205"/>
      <c r="H11" s="123"/>
      <c r="I11" s="120"/>
      <c r="J11" s="123"/>
      <c r="K11" s="123"/>
      <c r="L11" s="207">
        <f t="shared" si="0"/>
        <v>5520.0000000000073</v>
      </c>
      <c r="M11" s="123"/>
      <c r="N11" s="120"/>
      <c r="O11" s="123"/>
      <c r="P11" s="123"/>
      <c r="Q11" s="206">
        <v>55684.955752212401</v>
      </c>
      <c r="R11" s="123"/>
      <c r="S11" s="214"/>
      <c r="T11" s="123"/>
      <c r="U11" s="123"/>
      <c r="V11" s="206">
        <v>50164.955752212394</v>
      </c>
    </row>
    <row r="12" spans="1:22" s="216" customFormat="1" ht="24.95" customHeight="1" outlineLevel="1">
      <c r="A12" s="223">
        <v>6</v>
      </c>
      <c r="B12" s="198" t="s">
        <v>1167</v>
      </c>
      <c r="C12" s="198" t="s">
        <v>47</v>
      </c>
      <c r="D12" s="123"/>
      <c r="E12" s="205"/>
      <c r="F12" s="205"/>
      <c r="G12" s="205"/>
      <c r="H12" s="123"/>
      <c r="I12" s="120"/>
      <c r="J12" s="123"/>
      <c r="K12" s="123"/>
      <c r="L12" s="207">
        <f t="shared" si="0"/>
        <v>0</v>
      </c>
      <c r="M12" s="123"/>
      <c r="N12" s="120"/>
      <c r="O12" s="123"/>
      <c r="P12" s="123"/>
      <c r="Q12" s="206">
        <v>67211.362831858409</v>
      </c>
      <c r="R12" s="123"/>
      <c r="S12" s="214"/>
      <c r="T12" s="123"/>
      <c r="U12" s="123"/>
      <c r="V12" s="206">
        <v>67211.362831858409</v>
      </c>
    </row>
    <row r="13" spans="1:22" s="216" customFormat="1" ht="24.95" customHeight="1" outlineLevel="1">
      <c r="A13" s="223">
        <v>7</v>
      </c>
      <c r="B13" s="198" t="s">
        <v>1168</v>
      </c>
      <c r="C13" s="198" t="s">
        <v>47</v>
      </c>
      <c r="D13" s="123"/>
      <c r="E13" s="205"/>
      <c r="F13" s="205"/>
      <c r="G13" s="205"/>
      <c r="H13" s="123"/>
      <c r="I13" s="120"/>
      <c r="J13" s="123">
        <f>+O13-T13</f>
        <v>3632</v>
      </c>
      <c r="K13" s="123">
        <v>25</v>
      </c>
      <c r="L13" s="207">
        <f>+J13*K13</f>
        <v>90800</v>
      </c>
      <c r="M13" s="123"/>
      <c r="N13" s="120"/>
      <c r="O13" s="228">
        <f>4595*3+1950+454*2*16</f>
        <v>30263</v>
      </c>
      <c r="P13" s="123">
        <v>25</v>
      </c>
      <c r="Q13" s="207">
        <f>+O13*P13</f>
        <v>756575</v>
      </c>
      <c r="R13" s="123"/>
      <c r="S13" s="214"/>
      <c r="T13" s="228">
        <v>26631</v>
      </c>
      <c r="U13" s="123">
        <v>25</v>
      </c>
      <c r="V13" s="207">
        <v>665775</v>
      </c>
    </row>
    <row r="14" spans="1:22" s="216" customFormat="1" ht="24.95" customHeight="1" outlineLevel="1">
      <c r="A14" s="223">
        <v>8</v>
      </c>
      <c r="B14" s="198" t="s">
        <v>1169</v>
      </c>
      <c r="C14" s="198" t="s">
        <v>47</v>
      </c>
      <c r="D14" s="123"/>
      <c r="E14" s="205"/>
      <c r="F14" s="205"/>
      <c r="G14" s="205"/>
      <c r="H14" s="123"/>
      <c r="I14" s="120"/>
      <c r="J14" s="123"/>
      <c r="K14" s="123"/>
      <c r="L14" s="207">
        <f t="shared" ref="L14:L21" si="1">+Q14-V14</f>
        <v>-22847.574905660411</v>
      </c>
      <c r="M14" s="123"/>
      <c r="N14" s="120"/>
      <c r="O14" s="123"/>
      <c r="P14" s="123"/>
      <c r="Q14" s="206">
        <v>380792.91509433958</v>
      </c>
      <c r="R14" s="123"/>
      <c r="S14" s="214"/>
      <c r="T14" s="123"/>
      <c r="U14" s="123"/>
      <c r="V14" s="206">
        <v>403640.49</v>
      </c>
    </row>
    <row r="15" spans="1:22" s="216" customFormat="1" ht="24.95" customHeight="1" outlineLevel="1">
      <c r="A15" s="223">
        <v>9</v>
      </c>
      <c r="B15" s="198" t="s">
        <v>1170</v>
      </c>
      <c r="C15" s="198" t="s">
        <v>47</v>
      </c>
      <c r="D15" s="123"/>
      <c r="E15" s="205"/>
      <c r="F15" s="205"/>
      <c r="G15" s="205"/>
      <c r="H15" s="123"/>
      <c r="I15" s="120"/>
      <c r="J15" s="123"/>
      <c r="K15" s="123"/>
      <c r="L15" s="207">
        <f t="shared" si="1"/>
        <v>-524.27184466019389</v>
      </c>
      <c r="M15" s="123"/>
      <c r="N15" s="120"/>
      <c r="O15" s="123"/>
      <c r="P15" s="123"/>
      <c r="Q15" s="206">
        <v>17475.728155339806</v>
      </c>
      <c r="R15" s="123"/>
      <c r="S15" s="214"/>
      <c r="T15" s="123"/>
      <c r="U15" s="123"/>
      <c r="V15" s="206">
        <v>18000</v>
      </c>
    </row>
    <row r="16" spans="1:22" s="216" customFormat="1" ht="24.95" customHeight="1" outlineLevel="1">
      <c r="A16" s="223">
        <v>10</v>
      </c>
      <c r="B16" s="198" t="s">
        <v>1171</v>
      </c>
      <c r="C16" s="198" t="s">
        <v>47</v>
      </c>
      <c r="D16" s="123"/>
      <c r="E16" s="205"/>
      <c r="F16" s="205"/>
      <c r="G16" s="205"/>
      <c r="H16" s="123"/>
      <c r="I16" s="120"/>
      <c r="J16" s="123"/>
      <c r="K16" s="123"/>
      <c r="L16" s="207">
        <f t="shared" si="1"/>
        <v>2699.9999999999991</v>
      </c>
      <c r="M16" s="123"/>
      <c r="N16" s="120"/>
      <c r="O16" s="123"/>
      <c r="P16" s="123"/>
      <c r="Q16" s="206">
        <v>8100</v>
      </c>
      <c r="R16" s="123"/>
      <c r="S16" s="214"/>
      <c r="T16" s="123"/>
      <c r="U16" s="123"/>
      <c r="V16" s="206">
        <v>5400.0000000000009</v>
      </c>
    </row>
    <row r="17" spans="1:31" s="216" customFormat="1" ht="24.95" customHeight="1" outlineLevel="1">
      <c r="A17" s="223">
        <v>11</v>
      </c>
      <c r="B17" s="198" t="s">
        <v>1172</v>
      </c>
      <c r="C17" s="198" t="s">
        <v>47</v>
      </c>
      <c r="D17" s="123"/>
      <c r="E17" s="205"/>
      <c r="F17" s="205"/>
      <c r="G17" s="205"/>
      <c r="H17" s="123"/>
      <c r="I17" s="120"/>
      <c r="J17" s="123"/>
      <c r="K17" s="123"/>
      <c r="L17" s="207">
        <f t="shared" si="1"/>
        <v>0</v>
      </c>
      <c r="M17" s="123"/>
      <c r="N17" s="120"/>
      <c r="O17" s="123"/>
      <c r="P17" s="123"/>
      <c r="Q17" s="206">
        <v>72576</v>
      </c>
      <c r="R17" s="123"/>
      <c r="S17" s="214"/>
      <c r="T17" s="123"/>
      <c r="U17" s="123"/>
      <c r="V17" s="206">
        <v>72576.000000000015</v>
      </c>
    </row>
    <row r="18" spans="1:31" s="216" customFormat="1" ht="24.95" customHeight="1" outlineLevel="1">
      <c r="A18" s="223">
        <v>12</v>
      </c>
      <c r="B18" s="198" t="s">
        <v>1173</v>
      </c>
      <c r="C18" s="198" t="s">
        <v>47</v>
      </c>
      <c r="D18" s="123"/>
      <c r="E18" s="205"/>
      <c r="F18" s="205"/>
      <c r="G18" s="205"/>
      <c r="H18" s="123"/>
      <c r="I18" s="120"/>
      <c r="J18" s="123"/>
      <c r="K18" s="123"/>
      <c r="L18" s="207">
        <f t="shared" si="1"/>
        <v>3681.4159292035874</v>
      </c>
      <c r="M18" s="123"/>
      <c r="N18" s="120"/>
      <c r="O18" s="123"/>
      <c r="P18" s="123"/>
      <c r="Q18" s="206">
        <v>25796.460176991201</v>
      </c>
      <c r="R18" s="123"/>
      <c r="S18" s="214"/>
      <c r="T18" s="123"/>
      <c r="U18" s="123"/>
      <c r="V18" s="206">
        <v>22115.044247787613</v>
      </c>
    </row>
    <row r="19" spans="1:31" s="216" customFormat="1" ht="24.95" customHeight="1" outlineLevel="1">
      <c r="A19" s="223">
        <v>13</v>
      </c>
      <c r="B19" s="198" t="s">
        <v>1174</v>
      </c>
      <c r="C19" s="198" t="s">
        <v>47</v>
      </c>
      <c r="D19" s="123"/>
      <c r="E19" s="205"/>
      <c r="F19" s="205"/>
      <c r="G19" s="205"/>
      <c r="H19" s="123"/>
      <c r="I19" s="120"/>
      <c r="J19" s="123"/>
      <c r="K19" s="123"/>
      <c r="L19" s="207">
        <f t="shared" si="1"/>
        <v>33118.099999999977</v>
      </c>
      <c r="M19" s="123"/>
      <c r="N19" s="120"/>
      <c r="O19" s="123"/>
      <c r="P19" s="123"/>
      <c r="Q19" s="206">
        <v>295491.43849999999</v>
      </c>
      <c r="R19" s="123"/>
      <c r="S19" s="214"/>
      <c r="T19" s="123"/>
      <c r="U19" s="123"/>
      <c r="V19" s="206">
        <v>262373.33850000001</v>
      </c>
    </row>
    <row r="20" spans="1:31" s="216" customFormat="1" ht="24.95" customHeight="1" outlineLevel="1">
      <c r="A20" s="223">
        <v>14</v>
      </c>
      <c r="B20" s="198" t="s">
        <v>1175</v>
      </c>
      <c r="C20" s="198" t="s">
        <v>47</v>
      </c>
      <c r="D20" s="123"/>
      <c r="E20" s="205"/>
      <c r="F20" s="205"/>
      <c r="G20" s="205"/>
      <c r="H20" s="123"/>
      <c r="I20" s="120"/>
      <c r="J20" s="123"/>
      <c r="K20" s="123"/>
      <c r="L20" s="207">
        <f t="shared" si="1"/>
        <v>38824.639999999956</v>
      </c>
      <c r="M20" s="123"/>
      <c r="N20" s="120"/>
      <c r="O20" s="123"/>
      <c r="P20" s="123"/>
      <c r="Q20" s="206">
        <v>348757.97</v>
      </c>
      <c r="R20" s="123"/>
      <c r="S20" s="214"/>
      <c r="T20" s="123"/>
      <c r="U20" s="123"/>
      <c r="V20" s="206">
        <v>309933.33</v>
      </c>
    </row>
    <row r="21" spans="1:31" s="216" customFormat="1" ht="24.95" customHeight="1" outlineLevel="1">
      <c r="A21" s="223">
        <v>15</v>
      </c>
      <c r="B21" s="198" t="s">
        <v>1176</v>
      </c>
      <c r="C21" s="198" t="s">
        <v>47</v>
      </c>
      <c r="D21" s="123"/>
      <c r="E21" s="205"/>
      <c r="F21" s="205"/>
      <c r="G21" s="205"/>
      <c r="H21" s="123"/>
      <c r="I21" s="120"/>
      <c r="J21" s="123"/>
      <c r="K21" s="123"/>
      <c r="L21" s="207">
        <f t="shared" si="1"/>
        <v>0</v>
      </c>
      <c r="M21" s="123"/>
      <c r="N21" s="120"/>
      <c r="O21" s="123"/>
      <c r="P21" s="123"/>
      <c r="Q21" s="206">
        <v>-143866.32999999999</v>
      </c>
      <c r="R21" s="123"/>
      <c r="S21" s="214"/>
      <c r="T21" s="123"/>
      <c r="U21" s="123"/>
      <c r="V21" s="206">
        <v>-143866.32999999999</v>
      </c>
    </row>
    <row r="22" spans="1:31" s="215" customFormat="1" ht="24.95" customHeight="1">
      <c r="A22" s="224" t="s">
        <v>169</v>
      </c>
      <c r="B22" s="220" t="s">
        <v>1177</v>
      </c>
      <c r="C22" s="224"/>
      <c r="D22" s="137"/>
      <c r="E22" s="222"/>
      <c r="F22" s="222"/>
      <c r="G22" s="222"/>
      <c r="H22" s="137"/>
      <c r="I22" s="222"/>
      <c r="J22" s="137"/>
      <c r="K22" s="137"/>
      <c r="L22" s="222">
        <f>SUM(L23:L25)</f>
        <v>82227.194773751718</v>
      </c>
      <c r="M22" s="137"/>
      <c r="N22" s="222"/>
      <c r="O22" s="137"/>
      <c r="P22" s="137"/>
      <c r="Q22" s="222">
        <f>SUM(Q23:Q25)</f>
        <v>682626.85381532798</v>
      </c>
      <c r="R22" s="137"/>
      <c r="S22" s="212"/>
      <c r="T22" s="137"/>
      <c r="U22" s="137"/>
      <c r="V22" s="222">
        <v>600399.65904157632</v>
      </c>
    </row>
    <row r="23" spans="1:31" s="216" customFormat="1" ht="24.95" customHeight="1" outlineLevel="1">
      <c r="A23" s="225">
        <v>1</v>
      </c>
      <c r="B23" s="223" t="s">
        <v>1178</v>
      </c>
      <c r="C23" s="198" t="s">
        <v>47</v>
      </c>
      <c r="D23" s="123"/>
      <c r="E23" s="205"/>
      <c r="F23" s="205"/>
      <c r="G23" s="205"/>
      <c r="H23" s="123"/>
      <c r="I23" s="123"/>
      <c r="J23" s="123"/>
      <c r="K23" s="123"/>
      <c r="L23" s="207">
        <f>+Q23-V23</f>
        <v>37384.336283185577</v>
      </c>
      <c r="M23" s="123"/>
      <c r="N23" s="123"/>
      <c r="O23" s="123"/>
      <c r="P23" s="123"/>
      <c r="Q23" s="206">
        <v>341102.27433628298</v>
      </c>
      <c r="R23" s="123"/>
      <c r="S23" s="214"/>
      <c r="T23" s="123"/>
      <c r="U23" s="123"/>
      <c r="V23" s="206">
        <v>303717.9380530974</v>
      </c>
    </row>
    <row r="24" spans="1:31" s="216" customFormat="1" ht="24.95" customHeight="1" outlineLevel="1">
      <c r="A24" s="225">
        <v>2</v>
      </c>
      <c r="B24" s="223" t="s">
        <v>1179</v>
      </c>
      <c r="C24" s="198" t="s">
        <v>47</v>
      </c>
      <c r="D24" s="123"/>
      <c r="E24" s="205"/>
      <c r="F24" s="205"/>
      <c r="G24" s="205"/>
      <c r="H24" s="123"/>
      <c r="I24" s="123"/>
      <c r="J24" s="123"/>
      <c r="K24" s="123"/>
      <c r="L24" s="207">
        <f>+Q24-V24</f>
        <v>0</v>
      </c>
      <c r="M24" s="123"/>
      <c r="N24" s="123"/>
      <c r="O24" s="123"/>
      <c r="P24" s="123"/>
      <c r="Q24" s="206">
        <v>51232.796460177</v>
      </c>
      <c r="R24" s="123"/>
      <c r="S24" s="214"/>
      <c r="T24" s="123"/>
      <c r="U24" s="123"/>
      <c r="V24" s="206">
        <v>51232.796460176993</v>
      </c>
    </row>
    <row r="25" spans="1:31" s="216" customFormat="1" ht="24.95" customHeight="1" outlineLevel="1">
      <c r="A25" s="225">
        <v>3</v>
      </c>
      <c r="B25" s="223" t="s">
        <v>1180</v>
      </c>
      <c r="C25" s="198" t="s">
        <v>47</v>
      </c>
      <c r="D25" s="123"/>
      <c r="E25" s="205"/>
      <c r="F25" s="205"/>
      <c r="G25" s="205"/>
      <c r="H25" s="123"/>
      <c r="I25" s="123"/>
      <c r="J25" s="123"/>
      <c r="K25" s="123"/>
      <c r="L25" s="207">
        <f>+Q25-V25</f>
        <v>44842.858490566141</v>
      </c>
      <c r="M25" s="123"/>
      <c r="N25" s="123"/>
      <c r="O25" s="123"/>
      <c r="P25" s="123"/>
      <c r="Q25" s="206">
        <v>290291.78301886801</v>
      </c>
      <c r="R25" s="123"/>
      <c r="S25" s="214"/>
      <c r="T25" s="123"/>
      <c r="U25" s="123"/>
      <c r="V25" s="206">
        <v>245448.92452830187</v>
      </c>
    </row>
    <row r="26" spans="1:31" s="215" customFormat="1" ht="24.95" customHeight="1">
      <c r="A26" s="224" t="s">
        <v>204</v>
      </c>
      <c r="B26" s="220" t="s">
        <v>1181</v>
      </c>
      <c r="C26" s="224"/>
      <c r="D26" s="137"/>
      <c r="E26" s="222"/>
      <c r="F26" s="222"/>
      <c r="G26" s="222"/>
      <c r="H26" s="137"/>
      <c r="I26" s="137"/>
      <c r="J26" s="137"/>
      <c r="K26" s="137"/>
      <c r="L26" s="229">
        <f>SUM(L27:L27)</f>
        <v>0</v>
      </c>
      <c r="M26" s="137"/>
      <c r="N26" s="137"/>
      <c r="O26" s="137"/>
      <c r="P26" s="137"/>
      <c r="Q26" s="229">
        <f>SUM(Q27:Q27)</f>
        <v>226587.7522123894</v>
      </c>
      <c r="R26" s="137"/>
      <c r="S26" s="212"/>
      <c r="T26" s="137"/>
      <c r="U26" s="137"/>
      <c r="V26" s="137">
        <v>226587.7522123894</v>
      </c>
    </row>
    <row r="27" spans="1:31" s="217" customFormat="1" ht="24.95" customHeight="1" outlineLevel="1">
      <c r="A27" s="225">
        <v>1</v>
      </c>
      <c r="B27" s="223" t="s">
        <v>1182</v>
      </c>
      <c r="C27" s="198" t="s">
        <v>47</v>
      </c>
      <c r="D27" s="101"/>
      <c r="E27" s="101"/>
      <c r="F27" s="101"/>
      <c r="G27" s="101"/>
      <c r="H27" s="101"/>
      <c r="I27" s="123"/>
      <c r="J27" s="230"/>
      <c r="K27" s="230"/>
      <c r="L27" s="207">
        <f>+Q27-V27</f>
        <v>0</v>
      </c>
      <c r="M27" s="101"/>
      <c r="N27" s="123"/>
      <c r="O27" s="230"/>
      <c r="P27" s="230"/>
      <c r="Q27" s="206">
        <v>226587.7522123894</v>
      </c>
      <c r="R27" s="107"/>
      <c r="S27" s="135"/>
      <c r="T27" s="107"/>
      <c r="U27" s="107"/>
      <c r="V27" s="206">
        <v>226587.7522123894</v>
      </c>
    </row>
    <row r="28" spans="1:31" s="218" customFormat="1" ht="24.95" customHeight="1">
      <c r="A28" s="224" t="s">
        <v>233</v>
      </c>
      <c r="B28" s="220" t="s">
        <v>1183</v>
      </c>
      <c r="C28" s="224"/>
      <c r="D28" s="226"/>
      <c r="E28" s="226"/>
      <c r="F28" s="226"/>
      <c r="G28" s="226"/>
      <c r="H28" s="226"/>
      <c r="I28" s="137"/>
      <c r="J28" s="227"/>
      <c r="K28" s="227"/>
      <c r="L28" s="229">
        <f>SUM(L29:L31)</f>
        <v>100000</v>
      </c>
      <c r="M28" s="226"/>
      <c r="N28" s="137"/>
      <c r="O28" s="227"/>
      <c r="P28" s="227"/>
      <c r="Q28" s="229">
        <f>SUM(Q29:Q35)</f>
        <v>1107521.7083185839</v>
      </c>
      <c r="R28" s="89"/>
      <c r="S28" s="154"/>
      <c r="T28" s="89"/>
      <c r="U28" s="89"/>
      <c r="V28" s="229">
        <v>994914.81451327424</v>
      </c>
      <c r="Z28" s="218" t="s">
        <v>1184</v>
      </c>
      <c r="AA28" s="218">
        <v>33.5</v>
      </c>
      <c r="AB28" s="218">
        <v>11486.050000000003</v>
      </c>
      <c r="AC28" s="217">
        <v>48.5</v>
      </c>
      <c r="AD28" s="217">
        <f>+AC28*AA28</f>
        <v>1624.75</v>
      </c>
    </row>
    <row r="29" spans="1:31" s="217" customFormat="1" ht="24.95" customHeight="1" outlineLevel="1">
      <c r="A29" s="225">
        <v>1</v>
      </c>
      <c r="B29" s="223" t="s">
        <v>1185</v>
      </c>
      <c r="C29" s="198" t="s">
        <v>47</v>
      </c>
      <c r="D29" s="101"/>
      <c r="E29" s="101"/>
      <c r="F29" s="101"/>
      <c r="G29" s="101"/>
      <c r="H29" s="101"/>
      <c r="I29" s="123"/>
      <c r="J29" s="230"/>
      <c r="K29" s="230"/>
      <c r="L29" s="207">
        <f t="shared" ref="L29:L35" si="2">+Q29-V29</f>
        <v>100000</v>
      </c>
      <c r="M29" s="101"/>
      <c r="N29" s="123"/>
      <c r="O29" s="230"/>
      <c r="P29" s="230"/>
      <c r="Q29" s="206">
        <v>853583.33</v>
      </c>
      <c r="R29" s="107" t="s">
        <v>1186</v>
      </c>
      <c r="S29" s="135"/>
      <c r="T29" s="107"/>
      <c r="U29" s="107"/>
      <c r="V29" s="206">
        <v>753583.33</v>
      </c>
      <c r="AA29" s="217" t="s">
        <v>1187</v>
      </c>
      <c r="AB29" s="217" t="s">
        <v>48</v>
      </c>
      <c r="AC29" s="217" t="s">
        <v>1188</v>
      </c>
      <c r="AD29" s="217" t="s">
        <v>46</v>
      </c>
    </row>
    <row r="30" spans="1:31" s="217" customFormat="1" ht="24.95" customHeight="1" outlineLevel="1">
      <c r="A30" s="225">
        <v>2</v>
      </c>
      <c r="B30" s="223" t="s">
        <v>1189</v>
      </c>
      <c r="C30" s="198" t="s">
        <v>47</v>
      </c>
      <c r="D30" s="101"/>
      <c r="E30" s="101"/>
      <c r="F30" s="101"/>
      <c r="G30" s="101"/>
      <c r="H30" s="101"/>
      <c r="I30" s="123"/>
      <c r="J30" s="230"/>
      <c r="K30" s="230"/>
      <c r="L30" s="207">
        <f t="shared" si="2"/>
        <v>0</v>
      </c>
      <c r="M30" s="101"/>
      <c r="N30" s="123"/>
      <c r="O30" s="230"/>
      <c r="P30" s="230"/>
      <c r="Q30" s="206">
        <v>22800.000000000004</v>
      </c>
      <c r="R30" s="107"/>
      <c r="S30" s="135"/>
      <c r="T30" s="107"/>
      <c r="U30" s="107"/>
      <c r="V30" s="206">
        <v>22800.000000000004</v>
      </c>
      <c r="Z30" s="217" t="s">
        <v>1190</v>
      </c>
      <c r="AA30" s="217">
        <v>303</v>
      </c>
      <c r="AB30" s="217">
        <v>129540.57</v>
      </c>
      <c r="AC30" s="217">
        <v>48.5</v>
      </c>
      <c r="AD30" s="217">
        <f>+AC30*AA30</f>
        <v>14695.5</v>
      </c>
    </row>
    <row r="31" spans="1:31" s="217" customFormat="1" ht="24.95" customHeight="1" outlineLevel="1">
      <c r="A31" s="225">
        <v>3</v>
      </c>
      <c r="B31" s="223" t="s">
        <v>1191</v>
      </c>
      <c r="C31" s="198" t="s">
        <v>47</v>
      </c>
      <c r="D31" s="101"/>
      <c r="E31" s="101"/>
      <c r="F31" s="101"/>
      <c r="G31" s="101"/>
      <c r="H31" s="101"/>
      <c r="I31" s="123"/>
      <c r="J31" s="230"/>
      <c r="K31" s="230"/>
      <c r="L31" s="207">
        <f t="shared" si="2"/>
        <v>0</v>
      </c>
      <c r="M31" s="101"/>
      <c r="N31" s="123"/>
      <c r="O31" s="230"/>
      <c r="P31" s="230"/>
      <c r="Q31" s="206">
        <v>1624.75</v>
      </c>
      <c r="R31" s="107"/>
      <c r="S31" s="135"/>
      <c r="T31" s="107"/>
      <c r="U31" s="107"/>
      <c r="V31" s="206">
        <v>1624.75</v>
      </c>
      <c r="Z31" s="218" t="s">
        <v>1192</v>
      </c>
      <c r="AA31" s="218">
        <v>16.489000000000001</v>
      </c>
      <c r="AB31" s="218">
        <v>57691.5</v>
      </c>
      <c r="AC31" s="218">
        <v>1290</v>
      </c>
      <c r="AD31" s="218">
        <f>+AC31*AA31</f>
        <v>21270.81</v>
      </c>
    </row>
    <row r="32" spans="1:31" s="216" customFormat="1" ht="24.95" customHeight="1" outlineLevel="1">
      <c r="A32" s="225">
        <v>4</v>
      </c>
      <c r="B32" s="198" t="s">
        <v>1193</v>
      </c>
      <c r="C32" s="198" t="s">
        <v>47</v>
      </c>
      <c r="D32" s="123"/>
      <c r="E32" s="205"/>
      <c r="F32" s="205"/>
      <c r="G32" s="205"/>
      <c r="H32" s="123"/>
      <c r="I32" s="120"/>
      <c r="J32" s="123"/>
      <c r="K32" s="123"/>
      <c r="L32" s="207">
        <f t="shared" si="2"/>
        <v>0</v>
      </c>
      <c r="M32" s="123"/>
      <c r="N32" s="120"/>
      <c r="O32" s="123"/>
      <c r="P32" s="123"/>
      <c r="Q32" s="206">
        <v>46460.000000000007</v>
      </c>
      <c r="R32" s="123"/>
      <c r="S32" s="214"/>
      <c r="T32" s="123"/>
      <c r="U32" s="123"/>
      <c r="V32" s="206">
        <v>46460.000000000007</v>
      </c>
      <c r="Z32" s="217" t="s">
        <v>1194</v>
      </c>
      <c r="AA32" s="217">
        <v>269.5</v>
      </c>
      <c r="AB32" s="217">
        <v>118054.52</v>
      </c>
      <c r="AC32" s="217"/>
      <c r="AD32" s="217"/>
      <c r="AE32" s="218"/>
    </row>
    <row r="33" spans="1:31" s="216" customFormat="1" ht="24.95" customHeight="1" outlineLevel="1">
      <c r="A33" s="225">
        <v>5</v>
      </c>
      <c r="B33" s="198" t="s">
        <v>1195</v>
      </c>
      <c r="C33" s="198" t="s">
        <v>47</v>
      </c>
      <c r="D33" s="123"/>
      <c r="E33" s="205"/>
      <c r="F33" s="205"/>
      <c r="G33" s="205"/>
      <c r="H33" s="123"/>
      <c r="I33" s="120"/>
      <c r="J33" s="123"/>
      <c r="K33" s="123"/>
      <c r="L33" s="207">
        <f t="shared" si="2"/>
        <v>0</v>
      </c>
      <c r="M33" s="123"/>
      <c r="N33" s="120"/>
      <c r="O33" s="123"/>
      <c r="P33" s="123"/>
      <c r="Q33" s="206">
        <v>41307.000000000007</v>
      </c>
      <c r="R33" s="123"/>
      <c r="S33" s="214"/>
      <c r="T33" s="123"/>
      <c r="U33" s="123"/>
      <c r="V33" s="206">
        <v>41307.000000000007</v>
      </c>
      <c r="Z33"/>
      <c r="AA33"/>
      <c r="AB33"/>
      <c r="AC33"/>
      <c r="AD33"/>
      <c r="AE33"/>
    </row>
    <row r="34" spans="1:31" s="216" customFormat="1" ht="24.95" customHeight="1" outlineLevel="1">
      <c r="A34" s="225">
        <v>6</v>
      </c>
      <c r="B34" s="198" t="s">
        <v>1196</v>
      </c>
      <c r="C34" s="198" t="s">
        <v>47</v>
      </c>
      <c r="D34" s="123"/>
      <c r="E34" s="205"/>
      <c r="F34" s="205"/>
      <c r="G34" s="205"/>
      <c r="H34" s="123"/>
      <c r="I34" s="120"/>
      <c r="J34" s="123"/>
      <c r="K34" s="123"/>
      <c r="L34" s="207">
        <f t="shared" si="2"/>
        <v>12606.893805309664</v>
      </c>
      <c r="M34" s="123"/>
      <c r="N34" s="120"/>
      <c r="O34" s="123"/>
      <c r="P34" s="123"/>
      <c r="Q34" s="206">
        <v>128671.628318584</v>
      </c>
      <c r="R34" s="123"/>
      <c r="S34" s="214"/>
      <c r="T34" s="123"/>
      <c r="U34" s="123"/>
      <c r="V34" s="206">
        <v>116064.73451327434</v>
      </c>
      <c r="Z34"/>
      <c r="AA34"/>
      <c r="AB34"/>
      <c r="AC34"/>
      <c r="AD34"/>
      <c r="AE34"/>
    </row>
    <row r="35" spans="1:31" s="216" customFormat="1" ht="24.95" customHeight="1" outlineLevel="1">
      <c r="A35" s="225">
        <v>7</v>
      </c>
      <c r="B35" s="198" t="s">
        <v>1197</v>
      </c>
      <c r="C35" s="198" t="s">
        <v>47</v>
      </c>
      <c r="D35" s="123"/>
      <c r="E35" s="205"/>
      <c r="F35" s="205"/>
      <c r="G35" s="205"/>
      <c r="H35" s="123"/>
      <c r="I35" s="120"/>
      <c r="J35" s="123"/>
      <c r="K35" s="123"/>
      <c r="L35" s="207">
        <f t="shared" si="2"/>
        <v>0</v>
      </c>
      <c r="M35" s="123"/>
      <c r="N35" s="120"/>
      <c r="O35" s="123"/>
      <c r="P35" s="123"/>
      <c r="Q35" s="206">
        <v>13075.000000000002</v>
      </c>
      <c r="R35" s="123"/>
      <c r="S35" s="214"/>
      <c r="T35" s="123"/>
      <c r="U35" s="123"/>
      <c r="V35" s="206">
        <v>13075.000000000002</v>
      </c>
      <c r="Z35"/>
      <c r="AA35"/>
      <c r="AB35"/>
      <c r="AC35"/>
      <c r="AD35"/>
      <c r="AE35"/>
    </row>
    <row r="36" spans="1:31" s="218" customFormat="1" ht="24.95" customHeight="1">
      <c r="A36" s="224"/>
      <c r="B36" s="224" t="s">
        <v>63</v>
      </c>
      <c r="C36" s="224"/>
      <c r="D36" s="226"/>
      <c r="E36" s="227">
        <f>+E22+E6</f>
        <v>3721871.0533395964</v>
      </c>
      <c r="F36" s="227"/>
      <c r="G36" s="227">
        <f>+G22+G6</f>
        <v>4196897.49</v>
      </c>
      <c r="H36" s="226"/>
      <c r="I36" s="226">
        <f>+I28+I26+I22+I6</f>
        <v>144735.76456827635</v>
      </c>
      <c r="J36" s="227"/>
      <c r="K36" s="227"/>
      <c r="L36" s="226">
        <f>+L28+L26+L22+L6</f>
        <v>363412.05246282375</v>
      </c>
      <c r="M36" s="226"/>
      <c r="N36" s="226">
        <f>+N28+N26+N22+N6</f>
        <v>1524999.1793190013</v>
      </c>
      <c r="O36" s="227"/>
      <c r="P36" s="227"/>
      <c r="Q36" s="226">
        <f>+Q28+Q26+Q22+Q6</f>
        <v>4162523.6861731098</v>
      </c>
      <c r="R36" s="89"/>
      <c r="S36" s="154"/>
      <c r="T36" s="89"/>
      <c r="U36" s="89"/>
      <c r="V36" s="226">
        <v>3786504.7399049764</v>
      </c>
      <c r="Z36"/>
      <c r="AA36"/>
      <c r="AB36"/>
      <c r="AC36"/>
      <c r="AD36"/>
      <c r="AE36"/>
    </row>
    <row r="37" spans="1:31" ht="24.95" customHeight="1">
      <c r="A37" s="91"/>
      <c r="B37" s="92"/>
      <c r="C37" s="93"/>
      <c r="D37" s="94"/>
      <c r="E37" s="94"/>
      <c r="F37" s="94"/>
      <c r="G37" s="94"/>
      <c r="H37" s="94"/>
      <c r="I37" s="94"/>
      <c r="J37" s="96"/>
      <c r="K37" s="96"/>
      <c r="L37" s="94"/>
      <c r="M37" s="94"/>
      <c r="N37" s="95"/>
      <c r="O37" s="96"/>
      <c r="P37" s="96"/>
      <c r="Q37" s="94"/>
      <c r="R37" s="104"/>
      <c r="S37" s="104"/>
      <c r="T37" s="104"/>
      <c r="U37" s="104"/>
      <c r="V37" s="231"/>
    </row>
    <row r="38" spans="1:31" ht="24.95" customHeight="1">
      <c r="A38" s="91"/>
      <c r="B38" s="92"/>
      <c r="C38" s="93"/>
      <c r="D38" s="94"/>
      <c r="E38" s="94"/>
      <c r="F38" s="94"/>
      <c r="G38" s="94"/>
      <c r="H38" s="94"/>
      <c r="I38" s="94"/>
      <c r="J38" s="96"/>
      <c r="K38" s="96"/>
      <c r="L38" s="94"/>
      <c r="M38" s="94"/>
      <c r="N38" s="95"/>
      <c r="O38" s="96"/>
      <c r="P38" s="96"/>
      <c r="Q38" s="94"/>
      <c r="R38" s="104"/>
      <c r="S38" s="104"/>
      <c r="T38" s="104"/>
      <c r="U38" s="104"/>
      <c r="V38" s="231"/>
    </row>
    <row r="39" spans="1:31" ht="24.95" customHeight="1">
      <c r="A39" s="91"/>
      <c r="B39" s="92"/>
      <c r="C39" s="93"/>
      <c r="D39" s="94"/>
      <c r="E39" s="94"/>
      <c r="F39" s="94"/>
      <c r="G39" s="94"/>
      <c r="H39" s="94"/>
      <c r="I39" s="94"/>
      <c r="J39" s="96"/>
      <c r="K39" s="96"/>
      <c r="L39" s="94"/>
      <c r="M39" s="94"/>
      <c r="N39" s="95"/>
      <c r="O39" s="96"/>
      <c r="P39" s="96"/>
      <c r="Q39" s="94"/>
      <c r="R39" s="104"/>
      <c r="S39" s="104"/>
      <c r="T39" s="104"/>
      <c r="U39" s="104"/>
      <c r="V39" s="231"/>
    </row>
    <row r="40" spans="1:31" ht="24.95" customHeight="1">
      <c r="A40" s="91"/>
      <c r="B40" s="92"/>
      <c r="C40" s="93"/>
      <c r="D40" s="94"/>
      <c r="E40" s="94"/>
      <c r="F40" s="94"/>
      <c r="G40" s="94"/>
      <c r="H40" s="94"/>
      <c r="I40" s="94"/>
      <c r="J40" s="96"/>
      <c r="K40" s="96"/>
      <c r="L40" s="94"/>
      <c r="M40" s="94"/>
      <c r="N40" s="95"/>
      <c r="O40" s="96"/>
      <c r="P40" s="96"/>
      <c r="Q40" s="94"/>
      <c r="R40" s="104"/>
      <c r="S40" s="104"/>
      <c r="T40" s="104"/>
      <c r="U40" s="104"/>
      <c r="V40" s="231"/>
    </row>
    <row r="41" spans="1:31" ht="24.95" customHeight="1">
      <c r="A41" s="91"/>
      <c r="B41" s="92"/>
      <c r="C41" s="93"/>
      <c r="D41" s="94"/>
      <c r="E41" s="94"/>
      <c r="F41" s="94"/>
      <c r="G41" s="94"/>
      <c r="H41" s="94"/>
      <c r="I41" s="94"/>
      <c r="J41" s="96"/>
      <c r="K41" s="96"/>
      <c r="L41" s="94"/>
      <c r="M41" s="94"/>
      <c r="N41" s="95"/>
      <c r="O41" s="96"/>
      <c r="P41" s="96"/>
      <c r="Q41" s="94"/>
      <c r="R41" s="104"/>
      <c r="S41" s="104"/>
      <c r="T41" s="104"/>
      <c r="U41" s="104"/>
      <c r="V41" s="231"/>
    </row>
    <row r="42" spans="1:31" ht="24.95" customHeight="1">
      <c r="A42" s="91"/>
      <c r="B42" s="92"/>
      <c r="C42" s="93"/>
      <c r="D42" s="94"/>
      <c r="E42" s="94"/>
      <c r="F42" s="94"/>
      <c r="G42" s="94"/>
      <c r="H42" s="94"/>
      <c r="I42" s="94"/>
      <c r="J42" s="96"/>
      <c r="K42" s="96"/>
      <c r="L42" s="94"/>
      <c r="M42" s="94"/>
      <c r="N42" s="95"/>
      <c r="O42" s="96"/>
      <c r="P42" s="96"/>
      <c r="Q42" s="94"/>
      <c r="R42" s="104"/>
      <c r="S42" s="104"/>
      <c r="T42" s="104"/>
      <c r="U42" s="104"/>
      <c r="V42" s="231"/>
    </row>
    <row r="43" spans="1:31" ht="24.95" customHeight="1">
      <c r="A43" s="91"/>
      <c r="B43" s="92"/>
      <c r="C43" s="93"/>
      <c r="D43" s="94"/>
      <c r="E43" s="94"/>
      <c r="F43" s="94"/>
      <c r="G43" s="94"/>
      <c r="H43" s="94"/>
      <c r="I43" s="94"/>
      <c r="J43" s="96"/>
      <c r="K43" s="96"/>
      <c r="L43" s="94"/>
      <c r="M43" s="94"/>
      <c r="N43" s="95"/>
      <c r="O43" s="96"/>
      <c r="P43" s="96"/>
      <c r="Q43" s="94"/>
      <c r="R43" s="104"/>
      <c r="S43" s="104"/>
      <c r="T43" s="104"/>
      <c r="U43" s="104"/>
      <c r="V43" s="231"/>
    </row>
    <row r="44" spans="1:31" ht="24.95" customHeight="1">
      <c r="A44" s="91"/>
      <c r="B44" s="92"/>
      <c r="C44" s="93"/>
      <c r="D44" s="94"/>
      <c r="E44" s="94"/>
      <c r="F44" s="94"/>
      <c r="G44" s="94"/>
      <c r="H44" s="94"/>
      <c r="I44" s="94"/>
      <c r="J44" s="96"/>
      <c r="K44" s="96"/>
      <c r="L44" s="94"/>
      <c r="M44" s="94"/>
      <c r="N44" s="95"/>
      <c r="O44" s="96"/>
      <c r="P44" s="96"/>
      <c r="Q44" s="94"/>
      <c r="R44" s="104"/>
      <c r="S44" s="104"/>
      <c r="T44" s="104"/>
      <c r="U44" s="104"/>
      <c r="V44" s="231"/>
    </row>
    <row r="45" spans="1:31" ht="24.95" customHeight="1">
      <c r="A45" s="91"/>
      <c r="B45" s="92"/>
      <c r="C45" s="93"/>
      <c r="D45" s="94"/>
      <c r="E45" s="94"/>
      <c r="F45" s="94"/>
      <c r="G45" s="94"/>
      <c r="H45" s="94"/>
      <c r="I45" s="94"/>
      <c r="J45" s="96"/>
      <c r="K45" s="96"/>
      <c r="L45" s="94"/>
      <c r="M45" s="94"/>
      <c r="N45" s="95"/>
      <c r="O45" s="96"/>
      <c r="P45" s="96"/>
      <c r="Q45" s="94"/>
      <c r="R45" s="106"/>
      <c r="S45" s="106"/>
      <c r="T45" s="106"/>
      <c r="U45" s="106"/>
      <c r="V45" s="231"/>
    </row>
    <row r="46" spans="1:31" ht="24.95" customHeight="1">
      <c r="A46" s="91"/>
      <c r="B46" s="92"/>
      <c r="C46" s="93"/>
      <c r="D46" s="94"/>
      <c r="E46" s="94"/>
      <c r="F46" s="94"/>
      <c r="G46" s="94"/>
      <c r="H46" s="94"/>
      <c r="I46" s="94"/>
      <c r="J46" s="96"/>
      <c r="K46" s="96"/>
      <c r="L46" s="94"/>
      <c r="M46" s="94"/>
      <c r="N46" s="95"/>
      <c r="O46" s="96"/>
      <c r="P46" s="96"/>
      <c r="Q46" s="94"/>
      <c r="R46" s="106"/>
      <c r="S46" s="106"/>
      <c r="T46" s="106"/>
      <c r="U46" s="106"/>
      <c r="V46" s="231"/>
    </row>
    <row r="47" spans="1:31" ht="24.95" customHeight="1">
      <c r="A47" s="91"/>
      <c r="B47" s="92"/>
      <c r="C47" s="93"/>
      <c r="D47" s="94"/>
      <c r="E47" s="94"/>
      <c r="F47" s="94"/>
      <c r="G47" s="94"/>
      <c r="H47" s="94"/>
      <c r="I47" s="94"/>
      <c r="J47" s="96"/>
      <c r="K47" s="96"/>
      <c r="L47" s="94"/>
      <c r="M47" s="94"/>
      <c r="N47" s="95"/>
      <c r="O47" s="96"/>
      <c r="P47" s="96"/>
      <c r="Q47" s="94"/>
      <c r="R47" s="106"/>
      <c r="S47" s="106"/>
      <c r="T47" s="106"/>
      <c r="U47" s="106"/>
      <c r="V47" s="231"/>
    </row>
    <row r="48" spans="1:31" ht="24.95" customHeight="1">
      <c r="A48" s="91"/>
      <c r="B48" s="92"/>
      <c r="C48" s="93"/>
      <c r="D48" s="94"/>
      <c r="E48" s="94"/>
      <c r="F48" s="94"/>
      <c r="G48" s="94"/>
      <c r="H48" s="94"/>
      <c r="I48" s="94"/>
      <c r="J48" s="96"/>
      <c r="K48" s="96"/>
      <c r="L48" s="94"/>
      <c r="M48" s="94"/>
      <c r="N48" s="95"/>
      <c r="O48" s="96"/>
      <c r="P48" s="96"/>
      <c r="Q48" s="94"/>
      <c r="R48" s="106"/>
      <c r="S48" s="106"/>
      <c r="T48" s="106"/>
      <c r="U48" s="106"/>
      <c r="V48" s="231"/>
    </row>
    <row r="49" spans="1:22" ht="24.95" customHeight="1">
      <c r="A49" s="91"/>
      <c r="B49" s="92"/>
      <c r="C49" s="93"/>
      <c r="D49" s="94"/>
      <c r="E49" s="94"/>
      <c r="F49" s="94"/>
      <c r="G49" s="94"/>
      <c r="H49" s="94"/>
      <c r="I49" s="94"/>
      <c r="J49" s="96"/>
      <c r="K49" s="96"/>
      <c r="L49" s="94"/>
      <c r="M49" s="94"/>
      <c r="N49" s="95"/>
      <c r="O49" s="96"/>
      <c r="P49" s="96"/>
      <c r="Q49" s="94"/>
      <c r="R49" s="106"/>
      <c r="S49" s="106"/>
      <c r="T49" s="106"/>
      <c r="U49" s="106"/>
      <c r="V49" s="231"/>
    </row>
    <row r="50" spans="1:22" ht="24.95" customHeight="1">
      <c r="A50" s="91"/>
      <c r="B50" s="92"/>
      <c r="C50" s="93"/>
      <c r="D50" s="94"/>
      <c r="E50" s="94"/>
      <c r="F50" s="94"/>
      <c r="G50" s="94"/>
      <c r="H50" s="94"/>
      <c r="I50" s="94"/>
      <c r="J50" s="96"/>
      <c r="K50" s="96"/>
      <c r="L50" s="94"/>
      <c r="M50" s="94"/>
      <c r="N50" s="95"/>
      <c r="O50" s="96"/>
      <c r="P50" s="96"/>
      <c r="Q50" s="94"/>
      <c r="R50" s="106"/>
      <c r="S50" s="106"/>
      <c r="T50" s="106"/>
      <c r="U50" s="106"/>
      <c r="V50" s="231"/>
    </row>
    <row r="51" spans="1:22" ht="24.95" customHeight="1">
      <c r="A51" s="91"/>
      <c r="B51" s="92"/>
      <c r="C51" s="93"/>
      <c r="D51" s="94"/>
      <c r="E51" s="94"/>
      <c r="F51" s="94"/>
      <c r="G51" s="94"/>
      <c r="H51" s="94"/>
      <c r="I51" s="94"/>
      <c r="J51" s="96"/>
      <c r="K51" s="96"/>
      <c r="L51" s="94"/>
      <c r="M51" s="94"/>
      <c r="N51" s="95"/>
      <c r="O51" s="96"/>
      <c r="P51" s="96"/>
      <c r="Q51" s="94"/>
      <c r="R51" s="106"/>
      <c r="S51" s="106"/>
      <c r="T51" s="106"/>
      <c r="U51" s="106"/>
      <c r="V51" s="231"/>
    </row>
    <row r="52" spans="1:22" ht="24.95" customHeight="1">
      <c r="A52" s="91"/>
      <c r="B52" s="92"/>
      <c r="C52" s="93"/>
      <c r="D52" s="94"/>
      <c r="E52" s="94"/>
      <c r="F52" s="94"/>
      <c r="G52" s="94"/>
      <c r="H52" s="94"/>
      <c r="I52" s="94"/>
      <c r="J52" s="96"/>
      <c r="K52" s="96"/>
      <c r="L52" s="94"/>
      <c r="M52" s="94"/>
      <c r="N52" s="95"/>
      <c r="O52" s="96"/>
      <c r="P52" s="96"/>
      <c r="Q52" s="94"/>
      <c r="R52" s="106"/>
      <c r="S52" s="106"/>
      <c r="T52" s="106"/>
      <c r="U52" s="106"/>
      <c r="V52" s="231"/>
    </row>
    <row r="53" spans="1:22" ht="24.95" customHeight="1">
      <c r="A53" s="91"/>
      <c r="B53" s="92"/>
      <c r="C53" s="93"/>
      <c r="D53" s="94"/>
      <c r="E53" s="94"/>
      <c r="F53" s="94"/>
      <c r="G53" s="94"/>
      <c r="H53" s="94"/>
      <c r="I53" s="94"/>
      <c r="J53" s="96"/>
      <c r="K53" s="96"/>
      <c r="L53" s="94"/>
      <c r="M53" s="94"/>
      <c r="N53" s="95"/>
      <c r="O53" s="96"/>
      <c r="P53" s="96"/>
      <c r="Q53" s="94"/>
      <c r="R53" s="106"/>
      <c r="S53" s="106"/>
      <c r="T53" s="106"/>
      <c r="U53" s="106"/>
      <c r="V53" s="231"/>
    </row>
    <row r="54" spans="1:22" ht="24.95" customHeight="1">
      <c r="A54" s="91"/>
      <c r="B54" s="92"/>
      <c r="C54" s="93"/>
      <c r="D54" s="94"/>
      <c r="E54" s="94"/>
      <c r="F54" s="94"/>
      <c r="G54" s="94"/>
      <c r="H54" s="94"/>
      <c r="I54" s="94"/>
      <c r="J54" s="96"/>
      <c r="K54" s="96"/>
      <c r="L54" s="94"/>
      <c r="M54" s="94"/>
      <c r="N54" s="95"/>
      <c r="O54" s="96"/>
      <c r="P54" s="96"/>
      <c r="Q54" s="94"/>
      <c r="R54" s="106"/>
      <c r="S54" s="106"/>
      <c r="T54" s="106"/>
      <c r="U54" s="106"/>
      <c r="V54" s="231"/>
    </row>
    <row r="55" spans="1:22" ht="24.95" customHeight="1">
      <c r="A55" s="91"/>
      <c r="B55" s="92"/>
      <c r="C55" s="93"/>
      <c r="D55" s="94"/>
      <c r="E55" s="94"/>
      <c r="F55" s="94"/>
      <c r="G55" s="94"/>
      <c r="H55" s="94"/>
      <c r="I55" s="94"/>
      <c r="J55" s="96"/>
      <c r="K55" s="96"/>
      <c r="L55" s="94"/>
      <c r="M55" s="94"/>
      <c r="N55" s="95"/>
      <c r="O55" s="96"/>
      <c r="P55" s="96"/>
      <c r="Q55" s="94"/>
      <c r="R55" s="106"/>
      <c r="S55" s="106"/>
      <c r="T55" s="106"/>
      <c r="U55" s="106"/>
      <c r="V55" s="231"/>
    </row>
    <row r="56" spans="1:22" ht="24.95" customHeight="1">
      <c r="A56" s="91"/>
      <c r="B56" s="92"/>
      <c r="C56" s="93"/>
      <c r="D56" s="94"/>
      <c r="E56" s="94"/>
      <c r="F56" s="94"/>
      <c r="G56" s="94"/>
      <c r="H56" s="94"/>
      <c r="I56" s="94"/>
      <c r="J56" s="96"/>
      <c r="K56" s="96"/>
      <c r="L56" s="94"/>
      <c r="M56" s="94"/>
      <c r="N56" s="95"/>
      <c r="O56" s="96"/>
      <c r="P56" s="96"/>
      <c r="Q56" s="94"/>
      <c r="R56" s="106"/>
      <c r="S56" s="106"/>
      <c r="T56" s="106"/>
      <c r="U56" s="106"/>
      <c r="V56" s="231"/>
    </row>
    <row r="57" spans="1:22" ht="24.95" customHeight="1">
      <c r="A57" s="91"/>
      <c r="B57" s="92"/>
      <c r="C57" s="93"/>
      <c r="D57" s="94"/>
      <c r="E57" s="94"/>
      <c r="F57" s="94"/>
      <c r="G57" s="94"/>
      <c r="H57" s="94"/>
      <c r="I57" s="94"/>
      <c r="J57" s="96"/>
      <c r="K57" s="96"/>
      <c r="L57" s="94"/>
      <c r="M57" s="94"/>
      <c r="N57" s="95"/>
      <c r="O57" s="96"/>
      <c r="P57" s="96"/>
      <c r="Q57" s="94"/>
      <c r="R57" s="106"/>
      <c r="S57" s="106"/>
      <c r="T57" s="106"/>
      <c r="U57" s="106"/>
      <c r="V57" s="231"/>
    </row>
    <row r="58" spans="1:22" ht="24.95" customHeight="1">
      <c r="A58" s="91"/>
      <c r="B58" s="92"/>
      <c r="C58" s="93"/>
      <c r="D58" s="94"/>
      <c r="E58" s="94"/>
      <c r="F58" s="94"/>
      <c r="G58" s="94"/>
      <c r="H58" s="94"/>
      <c r="I58" s="94"/>
      <c r="J58" s="96"/>
      <c r="K58" s="96"/>
      <c r="L58" s="94"/>
      <c r="M58" s="94"/>
      <c r="N58" s="95"/>
      <c r="O58" s="96"/>
      <c r="P58" s="96"/>
      <c r="Q58" s="94"/>
      <c r="R58" s="106"/>
      <c r="S58" s="106"/>
      <c r="T58" s="106"/>
      <c r="U58" s="106"/>
      <c r="V58" s="231"/>
    </row>
    <row r="59" spans="1:22" ht="24.95" customHeight="1">
      <c r="A59" s="91"/>
      <c r="B59" s="92"/>
      <c r="C59" s="93"/>
      <c r="D59" s="94"/>
      <c r="E59" s="94"/>
      <c r="F59" s="94"/>
      <c r="G59" s="94"/>
      <c r="H59" s="94"/>
      <c r="I59" s="94"/>
      <c r="J59" s="96"/>
      <c r="K59" s="96"/>
      <c r="L59" s="94"/>
      <c r="M59" s="94"/>
      <c r="N59" s="95"/>
      <c r="O59" s="96"/>
      <c r="P59" s="96"/>
      <c r="Q59" s="94"/>
      <c r="R59" s="106"/>
      <c r="S59" s="106"/>
      <c r="T59" s="106"/>
      <c r="U59" s="106"/>
      <c r="V59" s="231"/>
    </row>
    <row r="60" spans="1:22" ht="24.95" customHeight="1">
      <c r="A60" s="91"/>
      <c r="B60" s="92"/>
      <c r="C60" s="93"/>
      <c r="D60" s="94"/>
      <c r="E60" s="94"/>
      <c r="F60" s="94"/>
      <c r="G60" s="94"/>
      <c r="H60" s="94"/>
      <c r="I60" s="94"/>
      <c r="J60" s="96"/>
      <c r="K60" s="96"/>
      <c r="L60" s="94"/>
      <c r="M60" s="94"/>
      <c r="N60" s="95"/>
      <c r="O60" s="96"/>
      <c r="P60" s="96"/>
      <c r="Q60" s="94"/>
      <c r="R60" s="106"/>
      <c r="S60" s="106"/>
      <c r="T60" s="106"/>
      <c r="U60" s="106"/>
      <c r="V60" s="231"/>
    </row>
    <row r="61" spans="1:22" ht="24.95" customHeight="1">
      <c r="A61" s="91"/>
      <c r="B61" s="92"/>
      <c r="C61" s="93"/>
      <c r="D61" s="94"/>
      <c r="E61" s="94"/>
      <c r="F61" s="94"/>
      <c r="G61" s="94"/>
      <c r="H61" s="94"/>
      <c r="I61" s="94"/>
      <c r="J61" s="96"/>
      <c r="K61" s="96"/>
      <c r="L61" s="94"/>
      <c r="M61" s="94"/>
      <c r="N61" s="95"/>
      <c r="O61" s="96"/>
      <c r="P61" s="96"/>
      <c r="Q61" s="94"/>
      <c r="R61" s="106"/>
      <c r="S61" s="106"/>
      <c r="T61" s="106"/>
      <c r="U61" s="106"/>
      <c r="V61" s="231"/>
    </row>
    <row r="62" spans="1:22" ht="24.95" customHeight="1">
      <c r="A62" s="91"/>
      <c r="B62" s="92"/>
      <c r="C62" s="93"/>
      <c r="D62" s="94"/>
      <c r="E62" s="94"/>
      <c r="F62" s="94"/>
      <c r="G62" s="94"/>
      <c r="H62" s="94"/>
      <c r="I62" s="94"/>
      <c r="J62" s="96"/>
      <c r="K62" s="96"/>
      <c r="L62" s="94"/>
      <c r="M62" s="94"/>
      <c r="N62" s="95"/>
      <c r="O62" s="96"/>
      <c r="P62" s="96"/>
      <c r="Q62" s="94"/>
      <c r="R62" s="106"/>
      <c r="S62" s="106"/>
      <c r="T62" s="106"/>
      <c r="U62" s="106"/>
      <c r="V62" s="231"/>
    </row>
    <row r="63" spans="1:22" ht="24.95" customHeight="1">
      <c r="A63" s="91"/>
      <c r="B63" s="92"/>
      <c r="C63" s="93"/>
      <c r="D63" s="94"/>
      <c r="E63" s="94"/>
      <c r="F63" s="94"/>
      <c r="G63" s="94"/>
      <c r="H63" s="94"/>
      <c r="I63" s="94"/>
      <c r="J63" s="96"/>
      <c r="K63" s="96"/>
      <c r="L63" s="94"/>
      <c r="M63" s="94"/>
      <c r="N63" s="95"/>
      <c r="O63" s="96"/>
      <c r="P63" s="96"/>
      <c r="Q63" s="94"/>
      <c r="R63" s="106"/>
      <c r="S63" s="106"/>
      <c r="T63" s="106"/>
      <c r="U63" s="106"/>
      <c r="V63" s="231"/>
    </row>
    <row r="64" spans="1:22" ht="24.95" customHeight="1">
      <c r="A64" s="91"/>
      <c r="B64" s="92"/>
      <c r="C64" s="93"/>
      <c r="D64" s="94"/>
      <c r="E64" s="94"/>
      <c r="F64" s="94"/>
      <c r="G64" s="94"/>
      <c r="H64" s="94"/>
      <c r="I64" s="94"/>
      <c r="J64" s="96"/>
      <c r="K64" s="96"/>
      <c r="L64" s="94"/>
      <c r="M64" s="94"/>
      <c r="N64" s="95"/>
      <c r="O64" s="96"/>
      <c r="P64" s="96"/>
      <c r="Q64" s="94"/>
      <c r="R64" s="106"/>
      <c r="S64" s="106"/>
      <c r="T64" s="106"/>
      <c r="U64" s="106"/>
      <c r="V64" s="231"/>
    </row>
    <row r="65" spans="1:22" ht="24.95" customHeight="1">
      <c r="A65" s="91"/>
      <c r="B65" s="92"/>
      <c r="C65" s="93"/>
      <c r="D65" s="94"/>
      <c r="E65" s="94"/>
      <c r="F65" s="94"/>
      <c r="G65" s="94"/>
      <c r="H65" s="94"/>
      <c r="I65" s="94"/>
      <c r="J65" s="96"/>
      <c r="K65" s="96"/>
      <c r="L65" s="94"/>
      <c r="M65" s="94"/>
      <c r="N65" s="95"/>
      <c r="O65" s="96"/>
      <c r="P65" s="96"/>
      <c r="Q65" s="94"/>
      <c r="R65" s="106"/>
      <c r="S65" s="106"/>
      <c r="T65" s="106"/>
      <c r="U65" s="106"/>
      <c r="V65" s="231"/>
    </row>
    <row r="66" spans="1:22" ht="24.95" customHeight="1">
      <c r="A66" s="91"/>
      <c r="B66" s="92"/>
      <c r="C66" s="93"/>
      <c r="D66" s="94"/>
      <c r="E66" s="94"/>
      <c r="F66" s="94"/>
      <c r="G66" s="94"/>
      <c r="H66" s="94"/>
      <c r="I66" s="94"/>
      <c r="J66" s="96"/>
      <c r="K66" s="96"/>
      <c r="L66" s="94"/>
      <c r="M66" s="94"/>
      <c r="N66" s="95"/>
      <c r="O66" s="96"/>
      <c r="P66" s="96"/>
      <c r="Q66" s="94"/>
      <c r="R66" s="106"/>
      <c r="S66" s="106"/>
      <c r="T66" s="106"/>
      <c r="U66" s="106"/>
      <c r="V66" s="231"/>
    </row>
    <row r="67" spans="1:22" ht="24.95" customHeight="1">
      <c r="A67" s="91"/>
      <c r="B67" s="92"/>
      <c r="C67" s="93"/>
      <c r="D67" s="94"/>
      <c r="E67" s="94"/>
      <c r="F67" s="94"/>
      <c r="G67" s="94"/>
      <c r="H67" s="94"/>
      <c r="I67" s="94"/>
      <c r="J67" s="96"/>
      <c r="K67" s="96"/>
      <c r="L67" s="94"/>
      <c r="M67" s="94"/>
      <c r="N67" s="95"/>
      <c r="O67" s="96"/>
      <c r="P67" s="96"/>
      <c r="Q67" s="94"/>
      <c r="R67" s="106"/>
      <c r="S67" s="106"/>
      <c r="T67" s="106"/>
      <c r="U67" s="106"/>
      <c r="V67" s="231"/>
    </row>
    <row r="68" spans="1:22" ht="24.95" customHeight="1">
      <c r="A68" s="91"/>
      <c r="B68" s="92"/>
      <c r="C68" s="93"/>
      <c r="D68" s="94"/>
      <c r="E68" s="94"/>
      <c r="F68" s="94"/>
      <c r="G68" s="94"/>
      <c r="H68" s="94"/>
      <c r="I68" s="94"/>
      <c r="J68" s="96"/>
      <c r="K68" s="96"/>
      <c r="L68" s="94"/>
      <c r="M68" s="94"/>
      <c r="N68" s="95"/>
      <c r="O68" s="96"/>
      <c r="P68" s="96"/>
      <c r="Q68" s="94"/>
      <c r="R68" s="106"/>
      <c r="S68" s="106"/>
      <c r="T68" s="106"/>
      <c r="U68" s="106"/>
      <c r="V68" s="231"/>
    </row>
    <row r="69" spans="1:22" ht="24.95" customHeight="1">
      <c r="A69" s="91"/>
      <c r="B69" s="92"/>
      <c r="C69" s="93"/>
      <c r="D69" s="94"/>
      <c r="E69" s="94"/>
      <c r="F69" s="94"/>
      <c r="G69" s="94"/>
      <c r="H69" s="94"/>
      <c r="I69" s="94"/>
      <c r="J69" s="96"/>
      <c r="K69" s="96"/>
      <c r="L69" s="94"/>
      <c r="M69" s="94"/>
      <c r="N69" s="95"/>
      <c r="O69" s="96"/>
      <c r="P69" s="96"/>
      <c r="Q69" s="94"/>
      <c r="R69" s="106"/>
      <c r="S69" s="106"/>
      <c r="T69" s="106"/>
      <c r="U69" s="106"/>
      <c r="V69" s="231"/>
    </row>
    <row r="70" spans="1:22" ht="24.95" customHeight="1">
      <c r="A70" s="91"/>
      <c r="B70" s="92"/>
      <c r="C70" s="93"/>
      <c r="D70" s="94"/>
      <c r="E70" s="94"/>
      <c r="F70" s="94"/>
      <c r="G70" s="94"/>
      <c r="H70" s="94"/>
      <c r="I70" s="94"/>
      <c r="J70" s="96"/>
      <c r="K70" s="96"/>
      <c r="L70" s="94"/>
      <c r="M70" s="94"/>
      <c r="N70" s="95"/>
      <c r="O70" s="96"/>
      <c r="P70" s="96"/>
      <c r="Q70" s="94"/>
      <c r="R70" s="106"/>
      <c r="S70" s="106"/>
      <c r="T70" s="106"/>
      <c r="U70" s="106"/>
      <c r="V70" s="231"/>
    </row>
    <row r="71" spans="1:22" ht="24.95" customHeight="1">
      <c r="A71" s="91"/>
      <c r="B71" s="92"/>
      <c r="C71" s="93"/>
      <c r="D71" s="94"/>
      <c r="E71" s="94"/>
      <c r="F71" s="94"/>
      <c r="G71" s="94"/>
      <c r="H71" s="94"/>
      <c r="I71" s="94"/>
      <c r="J71" s="96"/>
      <c r="K71" s="96"/>
      <c r="L71" s="94"/>
      <c r="M71" s="94"/>
      <c r="N71" s="95"/>
      <c r="O71" s="96"/>
      <c r="P71" s="96"/>
      <c r="Q71" s="94"/>
      <c r="R71" s="106"/>
      <c r="S71" s="106"/>
      <c r="T71" s="106"/>
      <c r="U71" s="106"/>
      <c r="V71" s="231"/>
    </row>
    <row r="72" spans="1:22" ht="24.95" customHeight="1">
      <c r="A72" s="91"/>
      <c r="B72" s="92"/>
      <c r="C72" s="93"/>
      <c r="D72" s="94"/>
      <c r="E72" s="94"/>
      <c r="F72" s="94"/>
      <c r="G72" s="94"/>
      <c r="H72" s="94"/>
      <c r="I72" s="94"/>
      <c r="J72" s="96"/>
      <c r="K72" s="96"/>
      <c r="L72" s="94"/>
      <c r="M72" s="94"/>
      <c r="N72" s="95"/>
      <c r="O72" s="96"/>
      <c r="P72" s="96"/>
      <c r="Q72" s="94"/>
      <c r="R72" s="106"/>
      <c r="S72" s="106"/>
      <c r="T72" s="106"/>
      <c r="U72" s="106"/>
      <c r="V72" s="231"/>
    </row>
    <row r="73" spans="1:22" ht="24.95" customHeight="1">
      <c r="A73" s="91"/>
      <c r="B73" s="92"/>
      <c r="C73" s="93"/>
      <c r="D73" s="94"/>
      <c r="E73" s="94"/>
      <c r="F73" s="94"/>
      <c r="G73" s="94"/>
      <c r="H73" s="94"/>
      <c r="I73" s="94"/>
      <c r="J73" s="96"/>
      <c r="K73" s="96"/>
      <c r="L73" s="94"/>
      <c r="M73" s="94"/>
      <c r="N73" s="95"/>
      <c r="O73" s="96"/>
      <c r="P73" s="96"/>
      <c r="Q73" s="94"/>
      <c r="R73" s="106"/>
      <c r="S73" s="106"/>
      <c r="T73" s="106"/>
      <c r="U73" s="106"/>
      <c r="V73" s="231"/>
    </row>
    <row r="74" spans="1:22" ht="24.95" customHeight="1">
      <c r="A74" s="91"/>
      <c r="B74" s="92"/>
      <c r="C74" s="93"/>
      <c r="D74" s="94"/>
      <c r="E74" s="94"/>
      <c r="F74" s="94"/>
      <c r="G74" s="94"/>
      <c r="H74" s="94"/>
      <c r="I74" s="94"/>
      <c r="J74" s="96"/>
      <c r="K74" s="96"/>
      <c r="L74" s="94"/>
      <c r="M74" s="94"/>
      <c r="N74" s="95"/>
      <c r="O74" s="96"/>
      <c r="P74" s="96"/>
      <c r="Q74" s="94"/>
      <c r="R74" s="106"/>
      <c r="S74" s="106"/>
      <c r="T74" s="106"/>
      <c r="U74" s="106"/>
      <c r="V74" s="231"/>
    </row>
    <row r="75" spans="1:22" ht="24.95" customHeight="1">
      <c r="A75" s="91"/>
      <c r="B75" s="92"/>
      <c r="C75" s="93"/>
      <c r="D75" s="94"/>
      <c r="E75" s="94"/>
      <c r="F75" s="94"/>
      <c r="G75" s="94"/>
      <c r="H75" s="94"/>
      <c r="I75" s="94"/>
      <c r="J75" s="96"/>
      <c r="K75" s="96"/>
      <c r="L75" s="94"/>
      <c r="M75" s="94"/>
      <c r="N75" s="95"/>
      <c r="O75" s="96"/>
      <c r="P75" s="96"/>
      <c r="Q75" s="94"/>
      <c r="R75" s="106"/>
      <c r="S75" s="106"/>
      <c r="T75" s="106"/>
      <c r="U75" s="106"/>
      <c r="V75" s="231"/>
    </row>
    <row r="76" spans="1:22" ht="24.95" customHeight="1">
      <c r="A76" s="91"/>
      <c r="B76" s="92"/>
      <c r="C76" s="93"/>
      <c r="D76" s="94"/>
      <c r="E76" s="94"/>
      <c r="F76" s="94"/>
      <c r="G76" s="94"/>
      <c r="H76" s="94"/>
      <c r="I76" s="94"/>
      <c r="J76" s="96"/>
      <c r="K76" s="96"/>
      <c r="L76" s="94"/>
      <c r="M76" s="94"/>
      <c r="N76" s="95"/>
      <c r="O76" s="96"/>
      <c r="P76" s="96"/>
      <c r="Q76" s="94"/>
      <c r="R76" s="106"/>
      <c r="S76" s="106"/>
      <c r="T76" s="106"/>
      <c r="U76" s="106"/>
      <c r="V76" s="231"/>
    </row>
    <row r="77" spans="1:22" ht="24.95" customHeight="1">
      <c r="A77" s="91"/>
      <c r="B77" s="92"/>
      <c r="C77" s="93"/>
      <c r="D77" s="94"/>
      <c r="E77" s="94"/>
      <c r="F77" s="94"/>
      <c r="G77" s="94"/>
      <c r="H77" s="94"/>
      <c r="I77" s="94"/>
      <c r="J77" s="96"/>
      <c r="K77" s="96"/>
      <c r="L77" s="94"/>
      <c r="M77" s="94"/>
      <c r="N77" s="95"/>
      <c r="O77" s="96"/>
      <c r="P77" s="96"/>
      <c r="Q77" s="94"/>
      <c r="R77" s="106"/>
      <c r="S77" s="106"/>
      <c r="T77" s="106"/>
      <c r="U77" s="106"/>
      <c r="V77" s="231"/>
    </row>
    <row r="78" spans="1:22" ht="24.95" customHeight="1">
      <c r="A78" s="91"/>
      <c r="B78" s="92"/>
      <c r="C78" s="93"/>
      <c r="D78" s="94"/>
      <c r="E78" s="94"/>
      <c r="F78" s="94"/>
      <c r="G78" s="94"/>
      <c r="H78" s="94"/>
      <c r="I78" s="94"/>
      <c r="J78" s="96"/>
      <c r="K78" s="96"/>
      <c r="L78" s="94"/>
      <c r="M78" s="94"/>
      <c r="N78" s="95"/>
      <c r="O78" s="96"/>
      <c r="P78" s="96"/>
      <c r="Q78" s="94"/>
      <c r="R78" s="106"/>
      <c r="S78" s="106"/>
      <c r="T78" s="106"/>
      <c r="U78" s="106"/>
      <c r="V78" s="231"/>
    </row>
    <row r="79" spans="1:22" ht="24.95" customHeight="1">
      <c r="A79" s="91"/>
      <c r="B79" s="92"/>
      <c r="C79" s="93"/>
      <c r="D79" s="94"/>
      <c r="E79" s="94"/>
      <c r="F79" s="94"/>
      <c r="G79" s="94"/>
      <c r="H79" s="94"/>
      <c r="I79" s="94"/>
      <c r="J79" s="96"/>
      <c r="K79" s="96"/>
      <c r="L79" s="94"/>
      <c r="M79" s="94"/>
      <c r="N79" s="95"/>
      <c r="O79" s="96"/>
      <c r="P79" s="96"/>
      <c r="Q79" s="94"/>
      <c r="R79" s="106"/>
      <c r="S79" s="106"/>
      <c r="T79" s="106"/>
      <c r="U79" s="106"/>
      <c r="V79" s="231"/>
    </row>
    <row r="80" spans="1:22" ht="24.95" customHeight="1">
      <c r="A80" s="91"/>
      <c r="B80" s="92"/>
      <c r="C80" s="93"/>
      <c r="D80" s="94"/>
      <c r="E80" s="94"/>
      <c r="F80" s="94"/>
      <c r="G80" s="94"/>
      <c r="H80" s="94"/>
      <c r="I80" s="94"/>
      <c r="J80" s="96"/>
      <c r="K80" s="96"/>
      <c r="L80" s="94"/>
      <c r="M80" s="94"/>
      <c r="N80" s="95"/>
      <c r="O80" s="96"/>
      <c r="P80" s="96"/>
      <c r="Q80" s="94"/>
      <c r="R80" s="106"/>
      <c r="S80" s="106"/>
      <c r="T80" s="106"/>
      <c r="U80" s="106"/>
      <c r="V80" s="231"/>
    </row>
    <row r="81" spans="1:22" ht="24.95" customHeight="1">
      <c r="A81" s="91"/>
      <c r="B81" s="92"/>
      <c r="C81" s="93"/>
      <c r="D81" s="94"/>
      <c r="E81" s="94"/>
      <c r="F81" s="94"/>
      <c r="G81" s="94"/>
      <c r="H81" s="94"/>
      <c r="I81" s="94"/>
      <c r="J81" s="96"/>
      <c r="K81" s="96"/>
      <c r="L81" s="94"/>
      <c r="M81" s="94"/>
      <c r="N81" s="95"/>
      <c r="O81" s="96"/>
      <c r="P81" s="96"/>
      <c r="Q81" s="94"/>
      <c r="R81" s="106"/>
      <c r="S81" s="106"/>
      <c r="T81" s="106"/>
      <c r="U81" s="106"/>
      <c r="V81" s="231"/>
    </row>
    <row r="82" spans="1:22" ht="24.95" customHeight="1">
      <c r="A82" s="91"/>
      <c r="B82" s="92"/>
      <c r="C82" s="93"/>
      <c r="D82" s="94"/>
      <c r="E82" s="94"/>
      <c r="F82" s="94"/>
      <c r="G82" s="94"/>
      <c r="H82" s="94"/>
      <c r="I82" s="94"/>
      <c r="J82" s="96"/>
      <c r="K82" s="96"/>
      <c r="L82" s="94"/>
      <c r="M82" s="94"/>
      <c r="N82" s="95"/>
      <c r="O82" s="96"/>
      <c r="P82" s="96"/>
      <c r="Q82" s="94"/>
      <c r="R82" s="106"/>
      <c r="S82" s="106"/>
      <c r="T82" s="106"/>
      <c r="U82" s="106"/>
      <c r="V82" s="231"/>
    </row>
    <row r="83" spans="1:22" ht="24.95" customHeight="1">
      <c r="A83" s="91"/>
      <c r="B83" s="92"/>
      <c r="C83" s="93"/>
      <c r="D83" s="94"/>
      <c r="E83" s="94"/>
      <c r="F83" s="94"/>
      <c r="G83" s="94"/>
      <c r="H83" s="94"/>
      <c r="I83" s="94"/>
      <c r="J83" s="96"/>
      <c r="K83" s="96"/>
      <c r="L83" s="94"/>
      <c r="M83" s="94"/>
      <c r="N83" s="95"/>
      <c r="O83" s="96"/>
      <c r="P83" s="96"/>
      <c r="Q83" s="94"/>
      <c r="R83" s="106"/>
      <c r="S83" s="106"/>
      <c r="T83" s="106"/>
      <c r="U83" s="106"/>
      <c r="V83" s="231"/>
    </row>
    <row r="84" spans="1:22" ht="24.95" customHeight="1">
      <c r="A84" s="91"/>
      <c r="B84" s="92"/>
      <c r="C84" s="93"/>
      <c r="D84" s="94"/>
      <c r="E84" s="94"/>
      <c r="F84" s="94"/>
      <c r="G84" s="94"/>
      <c r="H84" s="94"/>
      <c r="I84" s="94"/>
      <c r="J84" s="96"/>
      <c r="K84" s="96"/>
      <c r="L84" s="94"/>
      <c r="M84" s="94"/>
      <c r="N84" s="95"/>
      <c r="O84" s="96"/>
      <c r="P84" s="96"/>
      <c r="Q84" s="94"/>
      <c r="R84" s="106"/>
      <c r="S84" s="106"/>
      <c r="T84" s="106"/>
      <c r="U84" s="106"/>
      <c r="V84" s="231"/>
    </row>
    <row r="85" spans="1:22" ht="24.95" customHeight="1">
      <c r="A85" s="91"/>
      <c r="B85" s="92"/>
      <c r="C85" s="93"/>
      <c r="D85" s="94"/>
      <c r="E85" s="94"/>
      <c r="F85" s="94"/>
      <c r="G85" s="94"/>
      <c r="H85" s="94"/>
      <c r="I85" s="94"/>
      <c r="J85" s="96"/>
      <c r="K85" s="96"/>
      <c r="L85" s="94"/>
      <c r="M85" s="94"/>
      <c r="N85" s="95"/>
      <c r="O85" s="96"/>
      <c r="P85" s="96"/>
      <c r="Q85" s="94"/>
      <c r="R85" s="106"/>
      <c r="S85" s="106"/>
      <c r="T85" s="106"/>
      <c r="U85" s="106"/>
      <c r="V85" s="231"/>
    </row>
    <row r="86" spans="1:22" ht="24.95" customHeight="1">
      <c r="A86" s="91"/>
      <c r="B86" s="92"/>
      <c r="C86" s="93"/>
      <c r="D86" s="94"/>
      <c r="E86" s="94"/>
      <c r="F86" s="94"/>
      <c r="G86" s="94"/>
      <c r="H86" s="94"/>
      <c r="I86" s="94"/>
      <c r="J86" s="96"/>
      <c r="K86" s="96"/>
      <c r="L86" s="94"/>
      <c r="M86" s="94"/>
      <c r="N86" s="95"/>
      <c r="O86" s="96"/>
      <c r="P86" s="96"/>
      <c r="Q86" s="94"/>
      <c r="R86" s="106"/>
      <c r="S86" s="106"/>
      <c r="T86" s="106"/>
      <c r="U86" s="106"/>
      <c r="V86" s="231"/>
    </row>
    <row r="87" spans="1:22" ht="24.95" customHeight="1">
      <c r="A87" s="91"/>
      <c r="B87" s="92"/>
      <c r="C87" s="93"/>
      <c r="D87" s="94"/>
      <c r="E87" s="94"/>
      <c r="F87" s="94"/>
      <c r="G87" s="94"/>
      <c r="H87" s="94"/>
      <c r="I87" s="94"/>
      <c r="J87" s="96"/>
      <c r="K87" s="96"/>
      <c r="L87" s="94"/>
      <c r="M87" s="94"/>
      <c r="N87" s="95"/>
      <c r="O87" s="96"/>
      <c r="P87" s="96"/>
      <c r="Q87" s="94"/>
      <c r="R87" s="106"/>
      <c r="S87" s="106"/>
      <c r="T87" s="106"/>
      <c r="U87" s="106"/>
      <c r="V87" s="231"/>
    </row>
    <row r="88" spans="1:22" ht="24.95" customHeight="1">
      <c r="A88" s="91"/>
      <c r="B88" s="92"/>
      <c r="C88" s="93"/>
      <c r="D88" s="94"/>
      <c r="E88" s="94"/>
      <c r="F88" s="94"/>
      <c r="G88" s="94"/>
      <c r="H88" s="94"/>
      <c r="I88" s="94"/>
      <c r="J88" s="96"/>
      <c r="K88" s="96"/>
      <c r="L88" s="94"/>
      <c r="M88" s="94"/>
      <c r="N88" s="95"/>
      <c r="O88" s="96"/>
      <c r="P88" s="96"/>
      <c r="Q88" s="94"/>
      <c r="R88" s="106"/>
      <c r="S88" s="106"/>
      <c r="T88" s="106"/>
      <c r="U88" s="106"/>
      <c r="V88" s="231"/>
    </row>
    <row r="89" spans="1:22" ht="24.95" customHeight="1">
      <c r="A89" s="91"/>
      <c r="B89" s="92"/>
      <c r="C89" s="93"/>
      <c r="D89" s="94"/>
      <c r="E89" s="94"/>
      <c r="F89" s="94"/>
      <c r="G89" s="94"/>
      <c r="H89" s="94"/>
      <c r="I89" s="94"/>
      <c r="J89" s="96"/>
      <c r="K89" s="96"/>
      <c r="L89" s="94"/>
      <c r="M89" s="94"/>
      <c r="N89" s="95"/>
      <c r="O89" s="96"/>
      <c r="P89" s="96"/>
      <c r="Q89" s="94"/>
      <c r="R89" s="106"/>
      <c r="S89" s="106"/>
      <c r="T89" s="106"/>
      <c r="U89" s="106"/>
      <c r="V89" s="231"/>
    </row>
    <row r="90" spans="1:22" ht="24.95" customHeight="1">
      <c r="A90" s="91"/>
      <c r="B90" s="92"/>
      <c r="C90" s="93"/>
      <c r="D90" s="94"/>
      <c r="E90" s="94"/>
      <c r="F90" s="94"/>
      <c r="G90" s="94"/>
      <c r="H90" s="94"/>
      <c r="I90" s="94"/>
      <c r="J90" s="96"/>
      <c r="K90" s="96"/>
      <c r="L90" s="94"/>
      <c r="M90" s="94"/>
      <c r="N90" s="95"/>
      <c r="O90" s="96"/>
      <c r="P90" s="96"/>
      <c r="Q90" s="94"/>
      <c r="R90" s="106"/>
      <c r="S90" s="106"/>
      <c r="T90" s="106"/>
      <c r="U90" s="106"/>
      <c r="V90" s="231"/>
    </row>
    <row r="91" spans="1:22" ht="24.95" customHeight="1">
      <c r="A91" s="91"/>
      <c r="B91" s="92"/>
      <c r="C91" s="93"/>
      <c r="D91" s="94"/>
      <c r="E91" s="94"/>
      <c r="F91" s="94"/>
      <c r="G91" s="94"/>
      <c r="H91" s="94"/>
      <c r="I91" s="94"/>
      <c r="J91" s="96"/>
      <c r="K91" s="96"/>
      <c r="L91" s="94"/>
      <c r="M91" s="94"/>
      <c r="N91" s="95"/>
      <c r="O91" s="96"/>
      <c r="P91" s="96"/>
      <c r="Q91" s="94"/>
      <c r="R91" s="106"/>
      <c r="S91" s="106"/>
      <c r="T91" s="106"/>
      <c r="U91" s="106"/>
      <c r="V91" s="231"/>
    </row>
    <row r="92" spans="1:22" ht="24.95" customHeight="1">
      <c r="A92" s="91"/>
      <c r="B92" s="92"/>
      <c r="C92" s="93"/>
      <c r="D92" s="94"/>
      <c r="E92" s="94"/>
      <c r="F92" s="94"/>
      <c r="G92" s="94"/>
      <c r="H92" s="94"/>
      <c r="I92" s="94"/>
      <c r="J92" s="96"/>
      <c r="K92" s="96"/>
      <c r="L92" s="94"/>
      <c r="M92" s="94"/>
      <c r="N92" s="95"/>
      <c r="O92" s="96"/>
      <c r="P92" s="96"/>
      <c r="Q92" s="94"/>
      <c r="R92" s="106"/>
      <c r="S92" s="106"/>
      <c r="T92" s="106"/>
      <c r="U92" s="106"/>
      <c r="V92" s="231"/>
    </row>
    <row r="93" spans="1:22" ht="24.95" customHeight="1">
      <c r="A93" s="91"/>
      <c r="B93" s="92"/>
      <c r="C93" s="93"/>
      <c r="D93" s="94"/>
      <c r="E93" s="94"/>
      <c r="F93" s="94"/>
      <c r="G93" s="94"/>
      <c r="H93" s="94"/>
      <c r="I93" s="94"/>
      <c r="J93" s="96"/>
      <c r="K93" s="96"/>
      <c r="L93" s="94"/>
      <c r="M93" s="94"/>
      <c r="N93" s="95"/>
      <c r="O93" s="96"/>
      <c r="P93" s="96"/>
      <c r="Q93" s="94"/>
      <c r="R93" s="106"/>
      <c r="S93" s="106"/>
      <c r="T93" s="106"/>
      <c r="U93" s="106"/>
      <c r="V93" s="231"/>
    </row>
    <row r="94" spans="1:22" ht="24.95" customHeight="1">
      <c r="A94" s="91"/>
      <c r="B94" s="92"/>
      <c r="C94" s="93"/>
      <c r="D94" s="94"/>
      <c r="E94" s="94"/>
      <c r="F94" s="94"/>
      <c r="G94" s="94"/>
      <c r="H94" s="94"/>
      <c r="I94" s="94"/>
      <c r="J94" s="96"/>
      <c r="K94" s="96"/>
      <c r="L94" s="94"/>
      <c r="M94" s="94"/>
      <c r="N94" s="95"/>
      <c r="O94" s="96"/>
      <c r="P94" s="96"/>
      <c r="Q94" s="94"/>
      <c r="R94" s="106"/>
      <c r="S94" s="106"/>
      <c r="T94" s="106"/>
      <c r="U94" s="106"/>
      <c r="V94" s="231"/>
    </row>
    <row r="95" spans="1:22" ht="24.95" customHeight="1">
      <c r="A95" s="91"/>
      <c r="B95" s="92"/>
      <c r="C95" s="93"/>
      <c r="D95" s="94"/>
      <c r="E95" s="94"/>
      <c r="F95" s="94"/>
      <c r="G95" s="94"/>
      <c r="H95" s="94"/>
      <c r="I95" s="94"/>
      <c r="J95" s="96"/>
      <c r="K95" s="96"/>
      <c r="L95" s="94"/>
      <c r="M95" s="94"/>
      <c r="N95" s="95"/>
      <c r="O95" s="96"/>
      <c r="P95" s="96"/>
      <c r="Q95" s="94"/>
      <c r="R95" s="106"/>
      <c r="S95" s="106"/>
      <c r="T95" s="106"/>
      <c r="U95" s="106"/>
      <c r="V95" s="231"/>
    </row>
    <row r="96" spans="1:22" ht="24.95" customHeight="1">
      <c r="A96" s="91"/>
      <c r="B96" s="92"/>
      <c r="C96" s="93"/>
      <c r="D96" s="94"/>
      <c r="E96" s="94"/>
      <c r="F96" s="94"/>
      <c r="G96" s="94"/>
      <c r="H96" s="94"/>
      <c r="I96" s="94"/>
      <c r="J96" s="96"/>
      <c r="K96" s="96"/>
      <c r="L96" s="94"/>
      <c r="M96" s="94"/>
      <c r="N96" s="95"/>
      <c r="O96" s="96"/>
      <c r="P96" s="96"/>
      <c r="Q96" s="94"/>
      <c r="R96" s="106"/>
      <c r="S96" s="106"/>
      <c r="T96" s="106"/>
      <c r="U96" s="106"/>
      <c r="V96" s="231"/>
    </row>
    <row r="97" spans="1:22" ht="24.95" customHeight="1">
      <c r="A97" s="91"/>
      <c r="B97" s="92"/>
      <c r="C97" s="93"/>
      <c r="D97" s="94"/>
      <c r="E97" s="94"/>
      <c r="F97" s="94"/>
      <c r="G97" s="94"/>
      <c r="H97" s="94"/>
      <c r="I97" s="94"/>
      <c r="J97" s="96"/>
      <c r="K97" s="96"/>
      <c r="L97" s="94"/>
      <c r="M97" s="94"/>
      <c r="N97" s="95"/>
      <c r="O97" s="96"/>
      <c r="P97" s="96"/>
      <c r="Q97" s="94"/>
      <c r="R97" s="106"/>
      <c r="S97" s="106"/>
      <c r="T97" s="106"/>
      <c r="U97" s="106"/>
      <c r="V97" s="231"/>
    </row>
    <row r="98" spans="1:22" ht="24.95" customHeight="1">
      <c r="A98" s="91"/>
      <c r="B98" s="92"/>
      <c r="C98" s="93"/>
      <c r="D98" s="94"/>
      <c r="E98" s="94"/>
      <c r="F98" s="94"/>
      <c r="G98" s="94"/>
      <c r="H98" s="94"/>
      <c r="I98" s="94"/>
      <c r="J98" s="96"/>
      <c r="K98" s="96"/>
      <c r="L98" s="94"/>
      <c r="M98" s="94"/>
      <c r="N98" s="95"/>
      <c r="O98" s="96"/>
      <c r="P98" s="96"/>
      <c r="Q98" s="94"/>
      <c r="R98" s="106"/>
      <c r="S98" s="106"/>
      <c r="T98" s="106"/>
      <c r="U98" s="106"/>
      <c r="V98" s="231"/>
    </row>
    <row r="99" spans="1:22" ht="24.95" customHeight="1">
      <c r="A99" s="91"/>
      <c r="B99" s="92"/>
      <c r="C99" s="93"/>
      <c r="D99" s="94"/>
      <c r="E99" s="94"/>
      <c r="F99" s="94"/>
      <c r="G99" s="94"/>
      <c r="H99" s="94"/>
      <c r="I99" s="94"/>
      <c r="J99" s="96"/>
      <c r="K99" s="96"/>
      <c r="L99" s="94"/>
      <c r="M99" s="94"/>
      <c r="N99" s="95"/>
      <c r="O99" s="96"/>
      <c r="P99" s="96"/>
      <c r="Q99" s="94"/>
      <c r="R99" s="106"/>
      <c r="S99" s="106"/>
      <c r="T99" s="106"/>
      <c r="U99" s="106"/>
      <c r="V99" s="231"/>
    </row>
    <row r="100" spans="1:22" ht="24.95" customHeight="1">
      <c r="A100" s="91"/>
      <c r="B100" s="92"/>
      <c r="C100" s="93"/>
      <c r="D100" s="94"/>
      <c r="E100" s="94"/>
      <c r="F100" s="94"/>
      <c r="G100" s="94"/>
      <c r="H100" s="94"/>
      <c r="I100" s="94"/>
      <c r="J100" s="96"/>
      <c r="K100" s="96"/>
      <c r="L100" s="94"/>
      <c r="M100" s="94"/>
      <c r="N100" s="95"/>
      <c r="O100" s="96"/>
      <c r="P100" s="96"/>
      <c r="Q100" s="94"/>
      <c r="R100" s="106"/>
      <c r="S100" s="106"/>
      <c r="T100" s="106"/>
      <c r="U100" s="106"/>
      <c r="V100" s="231"/>
    </row>
    <row r="101" spans="1:22" ht="24.95" customHeight="1">
      <c r="A101" s="91"/>
      <c r="B101" s="92"/>
      <c r="C101" s="93"/>
      <c r="D101" s="94"/>
      <c r="E101" s="94"/>
      <c r="F101" s="94"/>
      <c r="G101" s="94"/>
      <c r="H101" s="94"/>
      <c r="I101" s="94"/>
      <c r="J101" s="96"/>
      <c r="K101" s="96"/>
      <c r="L101" s="94"/>
      <c r="M101" s="94"/>
      <c r="N101" s="95"/>
      <c r="O101" s="96"/>
      <c r="P101" s="96"/>
      <c r="Q101" s="94"/>
      <c r="R101" s="106"/>
      <c r="S101" s="106"/>
      <c r="T101" s="106"/>
      <c r="U101" s="106"/>
      <c r="V101" s="231"/>
    </row>
    <row r="102" spans="1:22" ht="24.95" customHeight="1">
      <c r="A102" s="91"/>
      <c r="B102" s="92"/>
      <c r="C102" s="93"/>
      <c r="D102" s="94"/>
      <c r="E102" s="94"/>
      <c r="F102" s="94"/>
      <c r="G102" s="94"/>
      <c r="H102" s="94"/>
      <c r="I102" s="94"/>
      <c r="J102" s="96"/>
      <c r="K102" s="96"/>
      <c r="L102" s="94"/>
      <c r="M102" s="94"/>
      <c r="N102" s="95"/>
      <c r="O102" s="96"/>
      <c r="P102" s="96"/>
      <c r="Q102" s="94"/>
      <c r="R102" s="106"/>
      <c r="S102" s="106"/>
      <c r="T102" s="106"/>
      <c r="U102" s="106"/>
      <c r="V102" s="231"/>
    </row>
    <row r="103" spans="1:22" ht="24.95" customHeight="1">
      <c r="A103" s="91"/>
      <c r="B103" s="92"/>
      <c r="C103" s="93"/>
      <c r="D103" s="94"/>
      <c r="E103" s="94"/>
      <c r="F103" s="94"/>
      <c r="G103" s="94"/>
      <c r="H103" s="94"/>
      <c r="I103" s="94"/>
      <c r="J103" s="96"/>
      <c r="K103" s="96"/>
      <c r="L103" s="94"/>
      <c r="M103" s="94"/>
      <c r="N103" s="95"/>
      <c r="O103" s="96"/>
      <c r="P103" s="96"/>
      <c r="Q103" s="94"/>
      <c r="R103" s="106"/>
      <c r="S103" s="106"/>
      <c r="T103" s="106"/>
      <c r="U103" s="106"/>
      <c r="V103" s="231"/>
    </row>
    <row r="104" spans="1:22" ht="24.95" customHeight="1">
      <c r="A104" s="91"/>
      <c r="B104" s="92"/>
      <c r="C104" s="93"/>
      <c r="D104" s="94"/>
      <c r="E104" s="94"/>
      <c r="F104" s="94"/>
      <c r="G104" s="94"/>
      <c r="H104" s="94"/>
      <c r="I104" s="94"/>
      <c r="J104" s="96"/>
      <c r="K104" s="96"/>
      <c r="L104" s="94"/>
      <c r="M104" s="94"/>
      <c r="N104" s="95"/>
      <c r="O104" s="96"/>
      <c r="P104" s="96"/>
      <c r="Q104" s="94"/>
      <c r="R104" s="106"/>
      <c r="S104" s="106"/>
      <c r="T104" s="106"/>
      <c r="U104" s="106"/>
      <c r="V104" s="231"/>
    </row>
    <row r="105" spans="1:22" ht="24.95" customHeight="1">
      <c r="A105" s="91"/>
      <c r="B105" s="92"/>
      <c r="C105" s="93"/>
      <c r="D105" s="94"/>
      <c r="E105" s="94"/>
      <c r="F105" s="94"/>
      <c r="G105" s="94"/>
      <c r="H105" s="94"/>
      <c r="I105" s="94"/>
      <c r="J105" s="96"/>
      <c r="K105" s="96"/>
      <c r="L105" s="94"/>
      <c r="M105" s="94"/>
      <c r="N105" s="95"/>
      <c r="O105" s="96"/>
      <c r="P105" s="96"/>
      <c r="Q105" s="94"/>
      <c r="R105" s="106"/>
      <c r="S105" s="106"/>
      <c r="T105" s="106"/>
      <c r="U105" s="106"/>
      <c r="V105" s="231"/>
    </row>
    <row r="106" spans="1:22" ht="24.95" customHeight="1">
      <c r="A106" s="91"/>
      <c r="B106" s="92"/>
      <c r="C106" s="93"/>
      <c r="D106" s="94"/>
      <c r="E106" s="94"/>
      <c r="F106" s="94"/>
      <c r="G106" s="94"/>
      <c r="H106" s="94"/>
      <c r="I106" s="94"/>
      <c r="J106" s="96"/>
      <c r="K106" s="96"/>
      <c r="L106" s="94"/>
      <c r="M106" s="94"/>
      <c r="N106" s="95"/>
      <c r="O106" s="96"/>
      <c r="P106" s="96"/>
      <c r="Q106" s="94"/>
      <c r="R106" s="106"/>
      <c r="S106" s="106"/>
      <c r="T106" s="106"/>
      <c r="U106" s="106"/>
      <c r="V106" s="231"/>
    </row>
    <row r="107" spans="1:22" ht="24.95" customHeight="1">
      <c r="A107" s="91"/>
      <c r="B107" s="92"/>
      <c r="C107" s="93"/>
      <c r="D107" s="94"/>
      <c r="E107" s="94"/>
      <c r="F107" s="94"/>
      <c r="G107" s="94"/>
      <c r="H107" s="94"/>
      <c r="I107" s="94"/>
      <c r="J107" s="96"/>
      <c r="K107" s="96"/>
      <c r="L107" s="94"/>
      <c r="M107" s="94"/>
      <c r="N107" s="95"/>
      <c r="O107" s="96"/>
      <c r="P107" s="96"/>
      <c r="Q107" s="94"/>
      <c r="R107" s="106"/>
      <c r="S107" s="106"/>
      <c r="T107" s="106"/>
      <c r="U107" s="106"/>
      <c r="V107" s="231"/>
    </row>
    <row r="108" spans="1:22" ht="24.95" customHeight="1">
      <c r="A108" s="91"/>
      <c r="B108" s="92"/>
      <c r="C108" s="93"/>
      <c r="D108" s="94"/>
      <c r="E108" s="94"/>
      <c r="F108" s="94"/>
      <c r="G108" s="94"/>
      <c r="H108" s="94"/>
      <c r="I108" s="94"/>
      <c r="J108" s="96"/>
      <c r="K108" s="96"/>
      <c r="L108" s="94"/>
      <c r="M108" s="94"/>
      <c r="N108" s="95"/>
      <c r="O108" s="96"/>
      <c r="P108" s="96"/>
      <c r="Q108" s="94"/>
      <c r="R108" s="106"/>
      <c r="S108" s="106"/>
      <c r="T108" s="106"/>
      <c r="U108" s="106"/>
      <c r="V108" s="231"/>
    </row>
    <row r="109" spans="1:22" ht="24.95" customHeight="1">
      <c r="A109" s="91"/>
      <c r="B109" s="92"/>
      <c r="C109" s="93"/>
      <c r="D109" s="94"/>
      <c r="E109" s="94"/>
      <c r="F109" s="94"/>
      <c r="G109" s="94"/>
      <c r="H109" s="94"/>
      <c r="I109" s="94"/>
      <c r="J109" s="96"/>
      <c r="K109" s="96"/>
      <c r="L109" s="94"/>
      <c r="M109" s="94"/>
      <c r="N109" s="95"/>
      <c r="O109" s="96"/>
      <c r="P109" s="96"/>
      <c r="Q109" s="94"/>
      <c r="R109" s="106"/>
      <c r="S109" s="106"/>
      <c r="T109" s="106"/>
      <c r="U109" s="106"/>
      <c r="V109" s="231"/>
    </row>
    <row r="110" spans="1:22" ht="24.95" customHeight="1">
      <c r="A110" s="91"/>
      <c r="B110" s="92"/>
      <c r="C110" s="93"/>
      <c r="D110" s="94"/>
      <c r="E110" s="94"/>
      <c r="F110" s="94"/>
      <c r="G110" s="94"/>
      <c r="H110" s="94"/>
      <c r="I110" s="94"/>
      <c r="J110" s="96"/>
      <c r="K110" s="96"/>
      <c r="L110" s="94"/>
      <c r="M110" s="94"/>
      <c r="N110" s="95"/>
      <c r="O110" s="96"/>
      <c r="P110" s="96"/>
      <c r="Q110" s="94"/>
      <c r="R110" s="106"/>
      <c r="S110" s="106"/>
      <c r="T110" s="106"/>
      <c r="U110" s="106"/>
      <c r="V110" s="231"/>
    </row>
    <row r="111" spans="1:22" ht="24.95" customHeight="1">
      <c r="A111" s="91"/>
      <c r="B111" s="92"/>
      <c r="C111" s="93"/>
      <c r="D111" s="94"/>
      <c r="E111" s="94"/>
      <c r="F111" s="94"/>
      <c r="G111" s="94"/>
      <c r="H111" s="94"/>
      <c r="I111" s="94"/>
      <c r="J111" s="96"/>
      <c r="K111" s="96"/>
      <c r="L111" s="94"/>
      <c r="M111" s="94"/>
      <c r="N111" s="95"/>
      <c r="O111" s="96"/>
      <c r="P111" s="96"/>
      <c r="Q111" s="94"/>
      <c r="R111" s="106"/>
      <c r="S111" s="106"/>
      <c r="T111" s="106"/>
      <c r="U111" s="106"/>
      <c r="V111" s="231"/>
    </row>
    <row r="112" spans="1:22" ht="24.95" customHeight="1">
      <c r="A112" s="91"/>
      <c r="B112" s="92"/>
      <c r="C112" s="93"/>
      <c r="D112" s="94"/>
      <c r="E112" s="94"/>
      <c r="F112" s="94"/>
      <c r="G112" s="94"/>
      <c r="H112" s="94"/>
      <c r="I112" s="94"/>
      <c r="J112" s="96"/>
      <c r="K112" s="96"/>
      <c r="L112" s="94"/>
      <c r="M112" s="94"/>
      <c r="N112" s="95"/>
      <c r="O112" s="96"/>
      <c r="P112" s="96"/>
      <c r="Q112" s="94"/>
      <c r="R112" s="106"/>
      <c r="S112" s="106"/>
      <c r="T112" s="106"/>
      <c r="U112" s="106"/>
      <c r="V112" s="231"/>
    </row>
    <row r="113" spans="1:22" ht="24.95" customHeight="1">
      <c r="A113" s="91"/>
      <c r="B113" s="92"/>
      <c r="C113" s="93"/>
      <c r="D113" s="94"/>
      <c r="E113" s="94"/>
      <c r="F113" s="94"/>
      <c r="G113" s="94"/>
      <c r="H113" s="94"/>
      <c r="I113" s="94"/>
      <c r="J113" s="96"/>
      <c r="K113" s="96"/>
      <c r="L113" s="94"/>
      <c r="M113" s="94"/>
      <c r="N113" s="95"/>
      <c r="O113" s="96"/>
      <c r="P113" s="96"/>
      <c r="Q113" s="94"/>
      <c r="R113" s="106"/>
      <c r="S113" s="106"/>
      <c r="T113" s="106"/>
      <c r="U113" s="106"/>
      <c r="V113" s="231"/>
    </row>
    <row r="114" spans="1:22" ht="24.95" customHeight="1">
      <c r="A114" s="91"/>
      <c r="B114" s="92"/>
      <c r="C114" s="93"/>
      <c r="D114" s="94"/>
      <c r="E114" s="94"/>
      <c r="F114" s="94"/>
      <c r="G114" s="94"/>
      <c r="H114" s="94"/>
      <c r="I114" s="94"/>
      <c r="J114" s="96"/>
      <c r="K114" s="96"/>
      <c r="L114" s="94"/>
      <c r="M114" s="94"/>
      <c r="N114" s="95"/>
      <c r="O114" s="96"/>
      <c r="P114" s="96"/>
      <c r="Q114" s="94"/>
      <c r="R114" s="106"/>
      <c r="S114" s="106"/>
      <c r="T114" s="106"/>
      <c r="U114" s="106"/>
      <c r="V114" s="231"/>
    </row>
    <row r="115" spans="1:22" ht="24.95" customHeight="1">
      <c r="A115" s="91"/>
      <c r="B115" s="92"/>
      <c r="C115" s="93"/>
      <c r="D115" s="94"/>
      <c r="E115" s="94"/>
      <c r="F115" s="94"/>
      <c r="G115" s="94"/>
      <c r="H115" s="94"/>
      <c r="I115" s="94"/>
      <c r="J115" s="96"/>
      <c r="K115" s="96"/>
      <c r="L115" s="94"/>
      <c r="M115" s="94"/>
      <c r="N115" s="95"/>
      <c r="O115" s="96"/>
      <c r="P115" s="96"/>
      <c r="Q115" s="94"/>
      <c r="R115" s="106"/>
      <c r="S115" s="106"/>
      <c r="T115" s="106"/>
      <c r="U115" s="106"/>
      <c r="V115" s="231"/>
    </row>
    <row r="116" spans="1:22" ht="24.95" customHeight="1">
      <c r="A116" s="91"/>
      <c r="B116" s="92"/>
      <c r="C116" s="93"/>
      <c r="D116" s="94"/>
      <c r="E116" s="94"/>
      <c r="F116" s="94"/>
      <c r="G116" s="94"/>
      <c r="H116" s="94"/>
      <c r="I116" s="94"/>
      <c r="J116" s="96"/>
      <c r="K116" s="96"/>
      <c r="L116" s="94"/>
      <c r="M116" s="94"/>
      <c r="N116" s="95"/>
      <c r="O116" s="96"/>
      <c r="P116" s="96"/>
      <c r="Q116" s="94"/>
      <c r="R116" s="106"/>
      <c r="S116" s="106"/>
      <c r="T116" s="106"/>
      <c r="U116" s="106"/>
      <c r="V116" s="231"/>
    </row>
    <row r="117" spans="1:22" ht="24.95" customHeight="1">
      <c r="A117" s="91"/>
      <c r="B117" s="92"/>
      <c r="C117" s="93"/>
      <c r="D117" s="94"/>
      <c r="E117" s="94"/>
      <c r="F117" s="94"/>
      <c r="G117" s="94"/>
      <c r="H117" s="94"/>
      <c r="I117" s="94"/>
      <c r="J117" s="96"/>
      <c r="K117" s="96"/>
      <c r="L117" s="94"/>
      <c r="M117" s="94"/>
      <c r="N117" s="95"/>
      <c r="O117" s="96"/>
      <c r="P117" s="96"/>
      <c r="Q117" s="94"/>
      <c r="R117" s="106"/>
      <c r="S117" s="106"/>
      <c r="T117" s="106"/>
      <c r="U117" s="106"/>
      <c r="V117" s="231"/>
    </row>
    <row r="118" spans="1:22" ht="24.95" customHeight="1">
      <c r="A118" s="91"/>
      <c r="B118" s="92"/>
      <c r="C118" s="93"/>
      <c r="D118" s="94"/>
      <c r="E118" s="94"/>
      <c r="F118" s="94"/>
      <c r="G118" s="94"/>
      <c r="H118" s="94"/>
      <c r="I118" s="94"/>
      <c r="J118" s="96"/>
      <c r="K118" s="96"/>
      <c r="L118" s="94"/>
      <c r="M118" s="94"/>
      <c r="N118" s="95"/>
      <c r="O118" s="96"/>
      <c r="P118" s="96"/>
      <c r="Q118" s="94"/>
      <c r="R118" s="106"/>
      <c r="S118" s="106"/>
      <c r="T118" s="106"/>
      <c r="U118" s="106"/>
      <c r="V118" s="231"/>
    </row>
    <row r="119" spans="1:22" ht="24.95" customHeight="1">
      <c r="A119" s="91"/>
      <c r="B119" s="92"/>
      <c r="C119" s="93"/>
      <c r="D119" s="94"/>
      <c r="E119" s="94"/>
      <c r="F119" s="94"/>
      <c r="G119" s="94"/>
      <c r="H119" s="94"/>
      <c r="I119" s="94"/>
      <c r="J119" s="96"/>
      <c r="K119" s="96"/>
      <c r="L119" s="94"/>
      <c r="M119" s="94"/>
      <c r="N119" s="95"/>
      <c r="O119" s="96"/>
      <c r="P119" s="96"/>
      <c r="Q119" s="94"/>
      <c r="R119" s="106"/>
      <c r="S119" s="106"/>
      <c r="T119" s="106"/>
      <c r="U119" s="106"/>
      <c r="V119" s="231"/>
    </row>
    <row r="120" spans="1:22" ht="24.95" customHeight="1">
      <c r="A120" s="91"/>
      <c r="B120" s="92"/>
      <c r="C120" s="93"/>
      <c r="D120" s="94"/>
      <c r="E120" s="94"/>
      <c r="F120" s="94"/>
      <c r="G120" s="94"/>
      <c r="H120" s="94"/>
      <c r="I120" s="94"/>
      <c r="J120" s="96"/>
      <c r="K120" s="96"/>
      <c r="L120" s="94"/>
      <c r="M120" s="94"/>
      <c r="N120" s="95"/>
      <c r="O120" s="96"/>
      <c r="P120" s="96"/>
      <c r="Q120" s="94"/>
      <c r="R120" s="106"/>
      <c r="S120" s="106"/>
      <c r="T120" s="106"/>
      <c r="U120" s="106"/>
      <c r="V120" s="231"/>
    </row>
    <row r="121" spans="1:22" ht="24.95" customHeight="1">
      <c r="A121" s="91"/>
      <c r="B121" s="92"/>
      <c r="C121" s="93"/>
      <c r="D121" s="94"/>
      <c r="E121" s="94"/>
      <c r="F121" s="94"/>
      <c r="G121" s="94"/>
      <c r="H121" s="94"/>
      <c r="I121" s="94"/>
      <c r="J121" s="96"/>
      <c r="K121" s="96"/>
      <c r="L121" s="94"/>
      <c r="M121" s="94"/>
      <c r="N121" s="95"/>
      <c r="O121" s="96"/>
      <c r="P121" s="96"/>
      <c r="Q121" s="94"/>
      <c r="R121" s="106"/>
      <c r="S121" s="106"/>
      <c r="T121" s="106"/>
      <c r="U121" s="106"/>
      <c r="V121" s="231"/>
    </row>
    <row r="122" spans="1:22" ht="24.95" customHeight="1">
      <c r="A122" s="91"/>
      <c r="B122" s="92"/>
      <c r="C122" s="93"/>
      <c r="D122" s="94"/>
      <c r="E122" s="94"/>
      <c r="F122" s="94"/>
      <c r="G122" s="94"/>
      <c r="H122" s="94"/>
      <c r="I122" s="94"/>
      <c r="J122" s="96"/>
      <c r="K122" s="96"/>
      <c r="L122" s="94"/>
      <c r="M122" s="94"/>
      <c r="N122" s="95"/>
      <c r="O122" s="96"/>
      <c r="P122" s="96"/>
      <c r="Q122" s="94"/>
      <c r="R122" s="106"/>
      <c r="S122" s="106"/>
      <c r="T122" s="106"/>
      <c r="U122" s="106"/>
      <c r="V122" s="231"/>
    </row>
    <row r="123" spans="1:22" ht="24.95" customHeight="1">
      <c r="A123" s="91"/>
      <c r="B123" s="92"/>
      <c r="C123" s="93"/>
      <c r="D123" s="94"/>
      <c r="E123" s="94"/>
      <c r="F123" s="94"/>
      <c r="G123" s="94"/>
      <c r="H123" s="94"/>
      <c r="I123" s="94"/>
      <c r="J123" s="96"/>
      <c r="K123" s="96"/>
      <c r="L123" s="94"/>
      <c r="M123" s="94"/>
      <c r="N123" s="95"/>
      <c r="O123" s="96"/>
      <c r="P123" s="96"/>
      <c r="Q123" s="94"/>
      <c r="R123" s="106"/>
      <c r="S123" s="106"/>
      <c r="T123" s="106"/>
      <c r="U123" s="106"/>
      <c r="V123" s="231"/>
    </row>
    <row r="124" spans="1:22" ht="24.95" customHeight="1">
      <c r="A124" s="91"/>
      <c r="B124" s="92"/>
      <c r="C124" s="93"/>
      <c r="D124" s="94"/>
      <c r="E124" s="94"/>
      <c r="F124" s="94"/>
      <c r="G124" s="94"/>
      <c r="H124" s="94"/>
      <c r="I124" s="94"/>
      <c r="J124" s="96"/>
      <c r="K124" s="96"/>
      <c r="L124" s="94"/>
      <c r="M124" s="94"/>
      <c r="N124" s="95"/>
      <c r="O124" s="96"/>
      <c r="P124" s="96"/>
      <c r="Q124" s="94"/>
      <c r="R124" s="106"/>
      <c r="S124" s="106"/>
      <c r="T124" s="106"/>
      <c r="U124" s="106"/>
      <c r="V124" s="231"/>
    </row>
    <row r="125" spans="1:22" ht="24.95" customHeight="1">
      <c r="A125" s="91"/>
      <c r="B125" s="92"/>
      <c r="C125" s="93"/>
      <c r="D125" s="94"/>
      <c r="E125" s="94"/>
      <c r="F125" s="94"/>
      <c r="G125" s="94"/>
      <c r="H125" s="94"/>
      <c r="I125" s="94"/>
      <c r="J125" s="96"/>
      <c r="K125" s="96"/>
      <c r="L125" s="94"/>
      <c r="M125" s="94"/>
      <c r="N125" s="95"/>
      <c r="O125" s="96"/>
      <c r="P125" s="96"/>
      <c r="Q125" s="94"/>
      <c r="R125" s="106"/>
      <c r="S125" s="106"/>
      <c r="T125" s="106"/>
      <c r="U125" s="106"/>
      <c r="V125" s="231"/>
    </row>
    <row r="126" spans="1:22" ht="24.95" customHeight="1">
      <c r="A126" s="91"/>
      <c r="B126" s="92"/>
      <c r="C126" s="93"/>
      <c r="D126" s="94"/>
      <c r="E126" s="94"/>
      <c r="F126" s="94"/>
      <c r="G126" s="94"/>
      <c r="H126" s="94"/>
      <c r="I126" s="94"/>
      <c r="J126" s="96"/>
      <c r="K126" s="96"/>
      <c r="L126" s="94"/>
      <c r="M126" s="94"/>
      <c r="N126" s="95"/>
      <c r="O126" s="96"/>
      <c r="P126" s="96"/>
      <c r="Q126" s="94"/>
      <c r="R126" s="106"/>
      <c r="S126" s="106"/>
      <c r="T126" s="106"/>
      <c r="U126" s="106"/>
      <c r="V126" s="231"/>
    </row>
    <row r="127" spans="1:22" ht="24.95" customHeight="1">
      <c r="A127" s="91"/>
      <c r="B127" s="92"/>
      <c r="C127" s="93"/>
      <c r="D127" s="94"/>
      <c r="E127" s="94"/>
      <c r="F127" s="94"/>
      <c r="G127" s="94"/>
      <c r="H127" s="94"/>
      <c r="I127" s="94"/>
      <c r="J127" s="96"/>
      <c r="K127" s="96"/>
      <c r="L127" s="94"/>
      <c r="M127" s="94"/>
      <c r="N127" s="95"/>
      <c r="O127" s="96"/>
      <c r="P127" s="96"/>
      <c r="Q127" s="94"/>
      <c r="R127" s="106"/>
      <c r="S127" s="106"/>
      <c r="T127" s="106"/>
      <c r="U127" s="106"/>
      <c r="V127" s="231"/>
    </row>
    <row r="128" spans="1:22" ht="24.95" customHeight="1">
      <c r="A128" s="91"/>
      <c r="B128" s="92"/>
      <c r="C128" s="93"/>
      <c r="D128" s="94"/>
      <c r="E128" s="94"/>
      <c r="F128" s="94"/>
      <c r="G128" s="94"/>
      <c r="H128" s="94"/>
      <c r="I128" s="94"/>
      <c r="J128" s="96"/>
      <c r="K128" s="96"/>
      <c r="L128" s="94"/>
      <c r="M128" s="94"/>
      <c r="N128" s="95"/>
      <c r="O128" s="96"/>
      <c r="P128" s="96"/>
      <c r="Q128" s="94"/>
      <c r="R128" s="106"/>
      <c r="S128" s="106"/>
      <c r="T128" s="106"/>
      <c r="U128" s="106"/>
      <c r="V128" s="231"/>
    </row>
    <row r="129" spans="1:22" ht="24.95" customHeight="1">
      <c r="A129" s="91"/>
      <c r="B129" s="92"/>
      <c r="C129" s="93"/>
      <c r="D129" s="94"/>
      <c r="E129" s="94"/>
      <c r="F129" s="94"/>
      <c r="G129" s="94"/>
      <c r="H129" s="94"/>
      <c r="I129" s="94"/>
      <c r="J129" s="96"/>
      <c r="K129" s="96"/>
      <c r="L129" s="94"/>
      <c r="M129" s="94"/>
      <c r="N129" s="95"/>
      <c r="O129" s="96"/>
      <c r="P129" s="96"/>
      <c r="Q129" s="94"/>
      <c r="R129" s="106"/>
      <c r="S129" s="106"/>
      <c r="T129" s="106"/>
      <c r="U129" s="106"/>
      <c r="V129" s="231"/>
    </row>
    <row r="130" spans="1:22" ht="24.95" customHeight="1">
      <c r="A130" s="91"/>
      <c r="B130" s="92"/>
      <c r="C130" s="93"/>
      <c r="D130" s="94"/>
      <c r="E130" s="94"/>
      <c r="F130" s="94"/>
      <c r="G130" s="94"/>
      <c r="H130" s="94"/>
      <c r="I130" s="94"/>
      <c r="J130" s="96"/>
      <c r="K130" s="96"/>
      <c r="L130" s="94"/>
      <c r="M130" s="94"/>
      <c r="N130" s="95"/>
      <c r="O130" s="96"/>
      <c r="P130" s="96"/>
      <c r="Q130" s="94"/>
      <c r="R130" s="106"/>
      <c r="S130" s="106"/>
      <c r="T130" s="106"/>
      <c r="U130" s="106"/>
      <c r="V130" s="231"/>
    </row>
    <row r="131" spans="1:22" ht="24.95" customHeight="1">
      <c r="A131" s="91"/>
      <c r="B131" s="92"/>
      <c r="C131" s="93"/>
      <c r="D131" s="94"/>
      <c r="E131" s="94"/>
      <c r="F131" s="94"/>
      <c r="G131" s="94"/>
      <c r="H131" s="94"/>
      <c r="I131" s="94"/>
      <c r="J131" s="96"/>
      <c r="K131" s="96"/>
      <c r="L131" s="94"/>
      <c r="M131" s="94"/>
      <c r="N131" s="95"/>
      <c r="O131" s="96"/>
      <c r="P131" s="96"/>
      <c r="Q131" s="94"/>
      <c r="R131" s="106"/>
      <c r="S131" s="106"/>
      <c r="T131" s="106"/>
      <c r="U131" s="106"/>
      <c r="V131" s="231"/>
    </row>
    <row r="132" spans="1:22" ht="24.95" customHeight="1">
      <c r="A132" s="91"/>
      <c r="B132" s="92"/>
      <c r="C132" s="93"/>
      <c r="D132" s="94"/>
      <c r="E132" s="94"/>
      <c r="F132" s="94"/>
      <c r="G132" s="94"/>
      <c r="H132" s="94"/>
      <c r="I132" s="94"/>
      <c r="J132" s="96"/>
      <c r="K132" s="96"/>
      <c r="L132" s="94"/>
      <c r="M132" s="94"/>
      <c r="N132" s="95"/>
      <c r="O132" s="96"/>
      <c r="P132" s="96"/>
      <c r="Q132" s="94"/>
      <c r="R132" s="106"/>
      <c r="S132" s="106"/>
      <c r="T132" s="106"/>
      <c r="U132" s="106"/>
      <c r="V132" s="231"/>
    </row>
    <row r="133" spans="1:22" ht="24.95" customHeight="1">
      <c r="A133" s="91"/>
      <c r="B133" s="92"/>
      <c r="C133" s="93"/>
      <c r="D133" s="94"/>
      <c r="E133" s="94"/>
      <c r="F133" s="94"/>
      <c r="G133" s="94"/>
      <c r="H133" s="94"/>
      <c r="I133" s="94"/>
      <c r="J133" s="96"/>
      <c r="K133" s="96"/>
      <c r="L133" s="94"/>
      <c r="M133" s="94"/>
      <c r="N133" s="95"/>
      <c r="O133" s="96"/>
      <c r="P133" s="96"/>
      <c r="Q133" s="94"/>
      <c r="R133" s="106"/>
      <c r="S133" s="106"/>
      <c r="T133" s="106"/>
      <c r="U133" s="106"/>
      <c r="V133" s="231"/>
    </row>
    <row r="134" spans="1:22" ht="24.95" customHeight="1">
      <c r="A134" s="91"/>
      <c r="B134" s="92"/>
      <c r="C134" s="93"/>
      <c r="D134" s="94"/>
      <c r="E134" s="94"/>
      <c r="F134" s="94"/>
      <c r="G134" s="94"/>
      <c r="H134" s="94"/>
      <c r="I134" s="94"/>
      <c r="J134" s="96"/>
      <c r="K134" s="96"/>
      <c r="L134" s="94"/>
      <c r="M134" s="94"/>
      <c r="N134" s="95"/>
      <c r="O134" s="96"/>
      <c r="P134" s="96"/>
      <c r="Q134" s="94"/>
      <c r="R134" s="106"/>
      <c r="S134" s="106"/>
      <c r="T134" s="106"/>
      <c r="U134" s="106"/>
      <c r="V134" s="231"/>
    </row>
    <row r="135" spans="1:22" ht="24.95" customHeight="1">
      <c r="A135" s="91"/>
      <c r="B135" s="92"/>
      <c r="C135" s="93"/>
      <c r="D135" s="94"/>
      <c r="E135" s="94"/>
      <c r="F135" s="94"/>
      <c r="G135" s="94"/>
      <c r="H135" s="94"/>
      <c r="I135" s="94"/>
      <c r="J135" s="96"/>
      <c r="K135" s="96"/>
      <c r="L135" s="94"/>
      <c r="M135" s="94"/>
      <c r="N135" s="95"/>
      <c r="O135" s="96"/>
      <c r="P135" s="96"/>
      <c r="Q135" s="94"/>
      <c r="R135" s="106"/>
      <c r="S135" s="106"/>
      <c r="T135" s="106"/>
      <c r="U135" s="106"/>
      <c r="V135" s="231"/>
    </row>
    <row r="136" spans="1:22" ht="24.95" customHeight="1">
      <c r="A136" s="91"/>
      <c r="B136" s="92"/>
      <c r="C136" s="93"/>
      <c r="D136" s="94"/>
      <c r="E136" s="94"/>
      <c r="F136" s="94"/>
      <c r="G136" s="94"/>
      <c r="H136" s="94"/>
      <c r="I136" s="94"/>
      <c r="J136" s="96"/>
      <c r="K136" s="96"/>
      <c r="L136" s="94"/>
      <c r="M136" s="94"/>
      <c r="N136" s="95"/>
      <c r="O136" s="96"/>
      <c r="P136" s="96"/>
      <c r="Q136" s="94"/>
      <c r="R136" s="106"/>
      <c r="S136" s="106"/>
      <c r="T136" s="106"/>
      <c r="U136" s="106"/>
      <c r="V136" s="231"/>
    </row>
    <row r="137" spans="1:22" ht="24.95" customHeight="1">
      <c r="A137" s="91"/>
      <c r="B137" s="92"/>
      <c r="C137" s="93"/>
      <c r="D137" s="94"/>
      <c r="E137" s="94"/>
      <c r="F137" s="94"/>
      <c r="G137" s="94"/>
      <c r="H137" s="94"/>
      <c r="I137" s="94"/>
      <c r="J137" s="96"/>
      <c r="K137" s="96"/>
      <c r="L137" s="94"/>
      <c r="M137" s="94"/>
      <c r="N137" s="95"/>
      <c r="O137" s="96"/>
      <c r="P137" s="96"/>
      <c r="Q137" s="94"/>
      <c r="R137" s="106"/>
      <c r="S137" s="106"/>
      <c r="T137" s="106"/>
      <c r="U137" s="106"/>
      <c r="V137" s="231"/>
    </row>
    <row r="138" spans="1:22" ht="24.95" customHeight="1">
      <c r="A138" s="91"/>
      <c r="B138" s="92"/>
      <c r="C138" s="93"/>
      <c r="D138" s="94"/>
      <c r="E138" s="94"/>
      <c r="F138" s="94"/>
      <c r="G138" s="94"/>
      <c r="H138" s="94"/>
      <c r="I138" s="94"/>
      <c r="J138" s="96"/>
      <c r="K138" s="96"/>
      <c r="L138" s="94"/>
      <c r="M138" s="94"/>
      <c r="N138" s="95"/>
      <c r="O138" s="96"/>
      <c r="P138" s="96"/>
      <c r="Q138" s="94"/>
      <c r="R138" s="106"/>
      <c r="S138" s="106"/>
      <c r="T138" s="106"/>
      <c r="U138" s="106"/>
      <c r="V138" s="231"/>
    </row>
    <row r="139" spans="1:22" ht="24.95" customHeight="1">
      <c r="A139" s="91"/>
      <c r="B139" s="92"/>
      <c r="C139" s="93"/>
      <c r="D139" s="94"/>
      <c r="E139" s="94"/>
      <c r="F139" s="94"/>
      <c r="G139" s="94"/>
      <c r="H139" s="94"/>
      <c r="I139" s="94"/>
      <c r="J139" s="96"/>
      <c r="K139" s="96"/>
      <c r="L139" s="94"/>
      <c r="M139" s="94"/>
      <c r="N139" s="95"/>
      <c r="O139" s="96"/>
      <c r="P139" s="96"/>
      <c r="Q139" s="94"/>
      <c r="R139" s="106"/>
      <c r="S139" s="106"/>
      <c r="T139" s="106"/>
      <c r="U139" s="106"/>
      <c r="V139" s="231"/>
    </row>
    <row r="140" spans="1:22" ht="24.95" customHeight="1">
      <c r="A140" s="91"/>
      <c r="B140" s="92"/>
      <c r="C140" s="93"/>
      <c r="D140" s="94"/>
      <c r="E140" s="94"/>
      <c r="F140" s="94"/>
      <c r="G140" s="94"/>
      <c r="H140" s="94"/>
      <c r="I140" s="94"/>
      <c r="J140" s="96"/>
      <c r="K140" s="96"/>
      <c r="L140" s="94"/>
      <c r="M140" s="94"/>
      <c r="N140" s="95"/>
      <c r="O140" s="96"/>
      <c r="P140" s="96"/>
      <c r="Q140" s="94"/>
      <c r="R140" s="106"/>
      <c r="S140" s="106"/>
      <c r="T140" s="106"/>
      <c r="U140" s="106"/>
      <c r="V140" s="231"/>
    </row>
    <row r="141" spans="1:22" ht="24.95" customHeight="1">
      <c r="A141" s="91"/>
      <c r="B141" s="92"/>
      <c r="C141" s="93"/>
      <c r="D141" s="94"/>
      <c r="E141" s="94"/>
      <c r="F141" s="94"/>
      <c r="G141" s="94"/>
      <c r="H141" s="94"/>
      <c r="I141" s="94"/>
      <c r="J141" s="96"/>
      <c r="K141" s="96"/>
      <c r="L141" s="94"/>
      <c r="M141" s="94"/>
      <c r="N141" s="95"/>
      <c r="O141" s="96"/>
      <c r="P141" s="96"/>
      <c r="Q141" s="94"/>
      <c r="R141" s="106"/>
      <c r="S141" s="106"/>
      <c r="T141" s="106"/>
      <c r="U141" s="106"/>
      <c r="V141" s="231"/>
    </row>
    <row r="142" spans="1:22" ht="24.95" customHeight="1">
      <c r="A142" s="91"/>
      <c r="B142" s="92"/>
      <c r="C142" s="93"/>
      <c r="D142" s="94"/>
      <c r="E142" s="94"/>
      <c r="F142" s="94"/>
      <c r="G142" s="94"/>
      <c r="H142" s="94"/>
      <c r="I142" s="94"/>
      <c r="J142" s="96"/>
      <c r="K142" s="96"/>
      <c r="L142" s="94"/>
      <c r="M142" s="94"/>
      <c r="N142" s="95"/>
      <c r="O142" s="96"/>
      <c r="P142" s="96"/>
      <c r="Q142" s="94"/>
      <c r="R142" s="106"/>
      <c r="S142" s="106"/>
      <c r="T142" s="106"/>
      <c r="U142" s="106"/>
      <c r="V142" s="231"/>
    </row>
    <row r="143" spans="1:22" ht="24.95" customHeight="1">
      <c r="A143" s="91"/>
      <c r="B143" s="92"/>
      <c r="C143" s="93"/>
      <c r="D143" s="94"/>
      <c r="E143" s="94"/>
      <c r="F143" s="94"/>
      <c r="G143" s="94"/>
      <c r="H143" s="94"/>
      <c r="I143" s="94"/>
      <c r="J143" s="96"/>
      <c r="K143" s="96"/>
      <c r="L143" s="94"/>
      <c r="M143" s="94"/>
      <c r="N143" s="95"/>
      <c r="O143" s="96"/>
      <c r="P143" s="96"/>
      <c r="Q143" s="94"/>
      <c r="R143" s="106"/>
      <c r="S143" s="106"/>
      <c r="T143" s="106"/>
      <c r="U143" s="106"/>
      <c r="V143" s="231"/>
    </row>
    <row r="144" spans="1:22" ht="24.95" customHeight="1">
      <c r="A144" s="91"/>
      <c r="B144" s="92"/>
      <c r="C144" s="93"/>
      <c r="D144" s="94"/>
      <c r="E144" s="94"/>
      <c r="F144" s="94"/>
      <c r="G144" s="94"/>
      <c r="H144" s="94"/>
      <c r="I144" s="94"/>
      <c r="J144" s="96"/>
      <c r="K144" s="96"/>
      <c r="L144" s="94"/>
      <c r="M144" s="94"/>
      <c r="N144" s="95"/>
      <c r="O144" s="96"/>
      <c r="P144" s="96"/>
      <c r="Q144" s="94"/>
      <c r="R144" s="106"/>
      <c r="S144" s="106"/>
      <c r="T144" s="106"/>
      <c r="U144" s="106"/>
      <c r="V144" s="231"/>
    </row>
    <row r="145" spans="1:22" ht="24.95" customHeight="1">
      <c r="A145" s="91"/>
      <c r="B145" s="92"/>
      <c r="C145" s="93"/>
      <c r="D145" s="94"/>
      <c r="E145" s="94"/>
      <c r="F145" s="94"/>
      <c r="G145" s="94"/>
      <c r="H145" s="94"/>
      <c r="I145" s="94"/>
      <c r="J145" s="96"/>
      <c r="K145" s="96"/>
      <c r="L145" s="94"/>
      <c r="M145" s="94"/>
      <c r="N145" s="95"/>
      <c r="O145" s="96"/>
      <c r="P145" s="96"/>
      <c r="Q145" s="94"/>
      <c r="R145" s="106"/>
      <c r="S145" s="106"/>
      <c r="T145" s="106"/>
      <c r="U145" s="106"/>
      <c r="V145" s="231"/>
    </row>
    <row r="146" spans="1:22" ht="24.95" customHeight="1">
      <c r="A146" s="91"/>
      <c r="B146" s="92"/>
      <c r="C146" s="93"/>
      <c r="D146" s="94"/>
      <c r="E146" s="94"/>
      <c r="F146" s="94"/>
      <c r="G146" s="94"/>
      <c r="H146" s="94"/>
      <c r="I146" s="94"/>
      <c r="J146" s="96"/>
      <c r="K146" s="96"/>
      <c r="L146" s="94"/>
      <c r="M146" s="94"/>
      <c r="N146" s="95"/>
      <c r="O146" s="96"/>
      <c r="P146" s="96"/>
      <c r="Q146" s="94"/>
      <c r="R146" s="106"/>
      <c r="S146" s="106"/>
      <c r="T146" s="106"/>
      <c r="U146" s="106"/>
      <c r="V146" s="231"/>
    </row>
    <row r="147" spans="1:22" ht="24.95" customHeight="1">
      <c r="A147" s="91"/>
      <c r="B147" s="92"/>
      <c r="C147" s="93"/>
      <c r="D147" s="94"/>
      <c r="E147" s="94"/>
      <c r="F147" s="94"/>
      <c r="G147" s="94"/>
      <c r="H147" s="94"/>
      <c r="I147" s="94"/>
      <c r="J147" s="96"/>
      <c r="K147" s="96"/>
      <c r="L147" s="94"/>
      <c r="M147" s="94"/>
      <c r="N147" s="95"/>
      <c r="O147" s="96"/>
      <c r="P147" s="96"/>
      <c r="Q147" s="94"/>
      <c r="R147" s="106"/>
      <c r="S147" s="106"/>
      <c r="T147" s="106"/>
      <c r="U147" s="106"/>
      <c r="V147" s="231"/>
    </row>
    <row r="148" spans="1:22" ht="24.95" customHeight="1">
      <c r="A148" s="91"/>
      <c r="B148" s="92"/>
      <c r="C148" s="93"/>
      <c r="D148" s="94"/>
      <c r="E148" s="94"/>
      <c r="F148" s="94"/>
      <c r="G148" s="94"/>
      <c r="H148" s="94"/>
      <c r="I148" s="94"/>
      <c r="J148" s="96"/>
      <c r="K148" s="96"/>
      <c r="L148" s="94"/>
      <c r="M148" s="94"/>
      <c r="N148" s="95"/>
      <c r="O148" s="96"/>
      <c r="P148" s="96"/>
      <c r="Q148" s="94"/>
      <c r="R148" s="106"/>
      <c r="S148" s="106"/>
      <c r="T148" s="106"/>
      <c r="U148" s="106"/>
      <c r="V148" s="231"/>
    </row>
    <row r="149" spans="1:22" ht="24.95" customHeight="1">
      <c r="A149" s="91"/>
      <c r="B149" s="92"/>
      <c r="C149" s="93"/>
      <c r="D149" s="94"/>
      <c r="E149" s="94"/>
      <c r="F149" s="94"/>
      <c r="G149" s="94"/>
      <c r="H149" s="94"/>
      <c r="I149" s="94"/>
      <c r="J149" s="96"/>
      <c r="K149" s="96"/>
      <c r="L149" s="94"/>
      <c r="M149" s="94"/>
      <c r="N149" s="95"/>
      <c r="O149" s="96"/>
      <c r="P149" s="96"/>
      <c r="Q149" s="94"/>
      <c r="R149" s="106"/>
      <c r="S149" s="106"/>
      <c r="T149" s="106"/>
      <c r="U149" s="106"/>
      <c r="V149" s="231"/>
    </row>
    <row r="150" spans="1:22" ht="24.95" customHeight="1">
      <c r="A150" s="91"/>
      <c r="B150" s="92"/>
      <c r="C150" s="93"/>
      <c r="D150" s="94"/>
      <c r="E150" s="94"/>
      <c r="F150" s="94"/>
      <c r="G150" s="94"/>
      <c r="H150" s="94"/>
      <c r="I150" s="94"/>
      <c r="J150" s="96"/>
      <c r="K150" s="96"/>
      <c r="L150" s="94"/>
      <c r="M150" s="94"/>
      <c r="N150" s="95"/>
      <c r="O150" s="96"/>
      <c r="P150" s="96"/>
      <c r="Q150" s="94"/>
      <c r="R150" s="106"/>
      <c r="S150" s="106"/>
      <c r="T150" s="106"/>
      <c r="U150" s="106"/>
      <c r="V150" s="231"/>
    </row>
    <row r="151" spans="1:22" ht="24.95" customHeight="1">
      <c r="A151" s="91"/>
      <c r="B151" s="92"/>
      <c r="C151" s="93"/>
      <c r="D151" s="94"/>
      <c r="E151" s="94"/>
      <c r="F151" s="94"/>
      <c r="G151" s="94"/>
      <c r="H151" s="94"/>
      <c r="I151" s="94"/>
      <c r="J151" s="96"/>
      <c r="K151" s="96"/>
      <c r="L151" s="94"/>
      <c r="M151" s="94"/>
      <c r="N151" s="95"/>
      <c r="O151" s="96"/>
      <c r="P151" s="96"/>
      <c r="Q151" s="94"/>
      <c r="R151" s="106"/>
      <c r="S151" s="106"/>
      <c r="T151" s="106"/>
      <c r="U151" s="106"/>
      <c r="V151" s="231"/>
    </row>
    <row r="152" spans="1:22" ht="24.95" customHeight="1">
      <c r="A152" s="91"/>
      <c r="B152" s="92"/>
      <c r="C152" s="93"/>
      <c r="D152" s="94"/>
      <c r="E152" s="94"/>
      <c r="F152" s="94"/>
      <c r="G152" s="94"/>
      <c r="H152" s="94"/>
      <c r="I152" s="94"/>
      <c r="J152" s="96"/>
      <c r="K152" s="96"/>
      <c r="L152" s="94"/>
      <c r="M152" s="94"/>
      <c r="N152" s="95"/>
      <c r="O152" s="96"/>
      <c r="P152" s="96"/>
      <c r="Q152" s="94"/>
      <c r="R152" s="106"/>
      <c r="S152" s="106"/>
      <c r="T152" s="106"/>
      <c r="U152" s="106"/>
      <c r="V152" s="231"/>
    </row>
    <row r="153" spans="1:22" ht="24.95" customHeight="1">
      <c r="A153" s="91"/>
      <c r="B153" s="92"/>
      <c r="C153" s="93"/>
      <c r="D153" s="94"/>
      <c r="E153" s="94"/>
      <c r="F153" s="94"/>
      <c r="G153" s="94"/>
      <c r="H153" s="94"/>
      <c r="I153" s="94"/>
      <c r="J153" s="96"/>
      <c r="K153" s="96"/>
      <c r="L153" s="94"/>
      <c r="M153" s="94"/>
      <c r="N153" s="95"/>
      <c r="O153" s="96"/>
      <c r="P153" s="96"/>
      <c r="Q153" s="94"/>
      <c r="R153" s="106"/>
      <c r="S153" s="106"/>
      <c r="T153" s="106"/>
      <c r="U153" s="106"/>
      <c r="V153" s="231"/>
    </row>
    <row r="154" spans="1:22" ht="24.95" customHeight="1">
      <c r="A154" s="91"/>
      <c r="B154" s="92"/>
      <c r="C154" s="93"/>
      <c r="D154" s="94"/>
      <c r="E154" s="94"/>
      <c r="F154" s="94"/>
      <c r="G154" s="94"/>
      <c r="H154" s="94"/>
      <c r="I154" s="94"/>
      <c r="J154" s="96"/>
      <c r="K154" s="96"/>
      <c r="L154" s="94"/>
      <c r="M154" s="94"/>
      <c r="N154" s="95"/>
      <c r="O154" s="96"/>
      <c r="P154" s="96"/>
      <c r="Q154" s="94"/>
      <c r="R154" s="106"/>
      <c r="S154" s="106"/>
      <c r="T154" s="106"/>
      <c r="U154" s="106"/>
      <c r="V154" s="231"/>
    </row>
    <row r="155" spans="1:22" ht="24.95" customHeight="1">
      <c r="A155" s="91"/>
      <c r="B155" s="92"/>
      <c r="C155" s="93"/>
      <c r="D155" s="94"/>
      <c r="E155" s="94"/>
      <c r="F155" s="94"/>
      <c r="G155" s="94"/>
      <c r="H155" s="94"/>
      <c r="I155" s="94"/>
      <c r="J155" s="96"/>
      <c r="K155" s="96"/>
      <c r="L155" s="94"/>
      <c r="M155" s="94"/>
      <c r="N155" s="95"/>
      <c r="O155" s="96"/>
      <c r="P155" s="96"/>
      <c r="Q155" s="94"/>
      <c r="R155" s="106"/>
      <c r="S155" s="106"/>
      <c r="T155" s="106"/>
      <c r="U155" s="106"/>
      <c r="V155" s="231"/>
    </row>
    <row r="156" spans="1:22" ht="24.95" customHeight="1">
      <c r="A156" s="91"/>
      <c r="B156" s="92"/>
      <c r="C156" s="93"/>
      <c r="D156" s="94"/>
      <c r="E156" s="94"/>
      <c r="F156" s="94"/>
      <c r="G156" s="94"/>
      <c r="H156" s="94"/>
      <c r="I156" s="94"/>
      <c r="J156" s="96"/>
      <c r="K156" s="96"/>
      <c r="L156" s="94"/>
      <c r="M156" s="94"/>
      <c r="N156" s="95"/>
      <c r="O156" s="96"/>
      <c r="P156" s="96"/>
      <c r="Q156" s="94"/>
      <c r="R156" s="106"/>
      <c r="S156" s="106"/>
      <c r="T156" s="106"/>
      <c r="U156" s="106"/>
      <c r="V156" s="231"/>
    </row>
    <row r="157" spans="1:22" ht="24.95" customHeight="1">
      <c r="A157" s="91"/>
      <c r="B157" s="92"/>
      <c r="C157" s="93"/>
      <c r="D157" s="94"/>
      <c r="E157" s="94"/>
      <c r="F157" s="94"/>
      <c r="G157" s="94"/>
      <c r="H157" s="94"/>
      <c r="I157" s="94"/>
      <c r="J157" s="96"/>
      <c r="K157" s="96"/>
      <c r="L157" s="94"/>
      <c r="M157" s="94"/>
      <c r="N157" s="95"/>
      <c r="O157" s="96"/>
      <c r="P157" s="96"/>
      <c r="Q157" s="94"/>
      <c r="R157" s="106"/>
      <c r="S157" s="106"/>
      <c r="T157" s="106"/>
      <c r="U157" s="106"/>
      <c r="V157" s="231"/>
    </row>
    <row r="158" spans="1:22" ht="24.95" customHeight="1">
      <c r="A158" s="91"/>
      <c r="B158" s="92"/>
      <c r="C158" s="93"/>
      <c r="D158" s="94"/>
      <c r="E158" s="94"/>
      <c r="F158" s="94"/>
      <c r="G158" s="94"/>
      <c r="H158" s="94"/>
      <c r="I158" s="94"/>
      <c r="J158" s="96"/>
      <c r="K158" s="96"/>
      <c r="L158" s="94"/>
      <c r="M158" s="94"/>
      <c r="N158" s="95"/>
      <c r="O158" s="96"/>
      <c r="P158" s="96"/>
      <c r="Q158" s="94"/>
      <c r="R158" s="106"/>
      <c r="S158" s="106"/>
      <c r="T158" s="106"/>
      <c r="U158" s="106"/>
      <c r="V158" s="231"/>
    </row>
    <row r="159" spans="1:22" ht="24.95" customHeight="1">
      <c r="A159" s="91"/>
      <c r="B159" s="92"/>
      <c r="C159" s="93"/>
      <c r="D159" s="94"/>
      <c r="E159" s="94"/>
      <c r="F159" s="94"/>
      <c r="G159" s="94"/>
      <c r="H159" s="94"/>
      <c r="I159" s="94"/>
      <c r="J159" s="96"/>
      <c r="K159" s="96"/>
      <c r="L159" s="94"/>
      <c r="M159" s="94"/>
      <c r="N159" s="95"/>
      <c r="O159" s="96"/>
      <c r="P159" s="96"/>
      <c r="Q159" s="94"/>
      <c r="R159" s="106"/>
      <c r="S159" s="106"/>
      <c r="T159" s="106"/>
      <c r="U159" s="106"/>
      <c r="V159" s="231"/>
    </row>
    <row r="160" spans="1:22" ht="24.95" customHeight="1">
      <c r="A160" s="91"/>
      <c r="B160" s="92"/>
      <c r="C160" s="93"/>
      <c r="D160" s="94"/>
      <c r="E160" s="94"/>
      <c r="F160" s="94"/>
      <c r="G160" s="94"/>
      <c r="H160" s="94"/>
      <c r="I160" s="94"/>
      <c r="J160" s="96"/>
      <c r="K160" s="96"/>
      <c r="L160" s="94"/>
      <c r="M160" s="94"/>
      <c r="N160" s="95"/>
      <c r="O160" s="96"/>
      <c r="P160" s="96"/>
      <c r="Q160" s="94"/>
      <c r="R160" s="106"/>
      <c r="S160" s="106"/>
      <c r="T160" s="106"/>
      <c r="U160" s="106"/>
      <c r="V160" s="231"/>
    </row>
    <row r="161" spans="1:22" ht="24.95" customHeight="1">
      <c r="A161" s="91"/>
      <c r="B161" s="92"/>
      <c r="C161" s="93"/>
      <c r="D161" s="94"/>
      <c r="E161" s="94"/>
      <c r="F161" s="94"/>
      <c r="G161" s="94"/>
      <c r="H161" s="94"/>
      <c r="I161" s="94"/>
      <c r="J161" s="96"/>
      <c r="K161" s="96"/>
      <c r="L161" s="94"/>
      <c r="M161" s="94"/>
      <c r="N161" s="95"/>
      <c r="O161" s="96"/>
      <c r="P161" s="96"/>
      <c r="Q161" s="94"/>
      <c r="R161" s="106"/>
      <c r="S161" s="106"/>
      <c r="T161" s="106"/>
      <c r="U161" s="106"/>
      <c r="V161" s="231"/>
    </row>
    <row r="162" spans="1:22" ht="24.95" customHeight="1">
      <c r="A162" s="91"/>
      <c r="B162" s="92"/>
      <c r="C162" s="93"/>
      <c r="D162" s="94"/>
      <c r="E162" s="94"/>
      <c r="F162" s="94"/>
      <c r="G162" s="94"/>
      <c r="H162" s="94"/>
      <c r="I162" s="94"/>
      <c r="J162" s="96"/>
      <c r="K162" s="96"/>
      <c r="L162" s="94"/>
      <c r="M162" s="94"/>
      <c r="N162" s="95"/>
      <c r="O162" s="96"/>
      <c r="P162" s="96"/>
      <c r="Q162" s="94"/>
      <c r="R162" s="106"/>
      <c r="S162" s="106"/>
      <c r="T162" s="106"/>
      <c r="U162" s="106"/>
      <c r="V162" s="231"/>
    </row>
    <row r="163" spans="1:22" ht="24.95" customHeight="1">
      <c r="A163" s="91"/>
      <c r="B163" s="92"/>
      <c r="C163" s="93"/>
      <c r="D163" s="94"/>
      <c r="E163" s="94"/>
      <c r="F163" s="94"/>
      <c r="G163" s="94"/>
      <c r="H163" s="94"/>
      <c r="I163" s="94"/>
      <c r="J163" s="96"/>
      <c r="K163" s="96"/>
      <c r="L163" s="94"/>
      <c r="M163" s="94"/>
      <c r="N163" s="95"/>
      <c r="O163" s="96"/>
      <c r="P163" s="96"/>
      <c r="Q163" s="94"/>
      <c r="R163" s="106"/>
      <c r="S163" s="106"/>
      <c r="T163" s="106"/>
      <c r="U163" s="106"/>
      <c r="V163" s="231"/>
    </row>
    <row r="164" spans="1:22" ht="24.95" customHeight="1">
      <c r="A164" s="91"/>
      <c r="B164" s="92"/>
      <c r="C164" s="93"/>
      <c r="D164" s="94"/>
      <c r="E164" s="94"/>
      <c r="F164" s="94"/>
      <c r="G164" s="94"/>
      <c r="H164" s="94"/>
      <c r="I164" s="94"/>
      <c r="J164" s="96"/>
      <c r="K164" s="96"/>
      <c r="L164" s="94"/>
      <c r="M164" s="94"/>
      <c r="N164" s="95"/>
      <c r="O164" s="96"/>
      <c r="P164" s="96"/>
      <c r="Q164" s="94"/>
      <c r="R164" s="106"/>
      <c r="S164" s="106"/>
      <c r="T164" s="106"/>
      <c r="U164" s="106"/>
      <c r="V164" s="231"/>
    </row>
    <row r="165" spans="1:22" ht="24.95" customHeight="1">
      <c r="A165" s="91"/>
      <c r="B165" s="92"/>
      <c r="C165" s="93"/>
      <c r="D165" s="94"/>
      <c r="E165" s="94"/>
      <c r="F165" s="94"/>
      <c r="G165" s="94"/>
      <c r="H165" s="94"/>
      <c r="I165" s="94"/>
      <c r="J165" s="96"/>
      <c r="K165" s="96"/>
      <c r="L165" s="94"/>
      <c r="M165" s="94"/>
      <c r="N165" s="95"/>
      <c r="O165" s="96"/>
      <c r="P165" s="96"/>
      <c r="Q165" s="94"/>
      <c r="R165" s="106"/>
      <c r="S165" s="106"/>
      <c r="T165" s="106"/>
      <c r="U165" s="106"/>
      <c r="V165" s="231"/>
    </row>
    <row r="166" spans="1:22" ht="24.95" customHeight="1">
      <c r="A166" s="91"/>
      <c r="B166" s="92"/>
      <c r="C166" s="93"/>
      <c r="D166" s="94"/>
      <c r="E166" s="94"/>
      <c r="F166" s="94"/>
      <c r="G166" s="94"/>
      <c r="H166" s="94"/>
      <c r="I166" s="94"/>
      <c r="J166" s="96"/>
      <c r="K166" s="96"/>
      <c r="L166" s="94"/>
      <c r="M166" s="94"/>
      <c r="N166" s="95"/>
      <c r="O166" s="96"/>
      <c r="P166" s="96"/>
      <c r="Q166" s="94"/>
      <c r="R166" s="106"/>
      <c r="S166" s="106"/>
      <c r="T166" s="106"/>
      <c r="U166" s="106"/>
      <c r="V166" s="231"/>
    </row>
    <row r="167" spans="1:22" ht="24.95" customHeight="1">
      <c r="A167" s="91"/>
      <c r="B167" s="92"/>
      <c r="C167" s="93"/>
      <c r="D167" s="94"/>
      <c r="E167" s="94"/>
      <c r="F167" s="94"/>
      <c r="G167" s="94"/>
      <c r="H167" s="94"/>
      <c r="I167" s="94"/>
      <c r="J167" s="96"/>
      <c r="K167" s="96"/>
      <c r="L167" s="94"/>
      <c r="M167" s="94"/>
      <c r="N167" s="95"/>
      <c r="O167" s="96"/>
      <c r="P167" s="96"/>
      <c r="Q167" s="94"/>
      <c r="R167" s="106"/>
      <c r="S167" s="106"/>
      <c r="T167" s="106"/>
      <c r="U167" s="106"/>
      <c r="V167" s="231"/>
    </row>
    <row r="168" spans="1:22" ht="24.95" customHeight="1">
      <c r="A168" s="91"/>
      <c r="B168" s="92"/>
      <c r="C168" s="93"/>
      <c r="D168" s="94"/>
      <c r="E168" s="94"/>
      <c r="F168" s="94"/>
      <c r="G168" s="94"/>
      <c r="H168" s="94"/>
      <c r="I168" s="94"/>
      <c r="J168" s="96"/>
      <c r="K168" s="96"/>
      <c r="L168" s="94"/>
      <c r="M168" s="94"/>
      <c r="N168" s="95"/>
      <c r="O168" s="96"/>
      <c r="P168" s="96"/>
      <c r="Q168" s="94"/>
      <c r="R168" s="106"/>
      <c r="S168" s="106"/>
      <c r="T168" s="106"/>
      <c r="U168" s="106"/>
      <c r="V168" s="231"/>
    </row>
    <row r="169" spans="1:22" ht="24.95" customHeight="1">
      <c r="A169" s="91"/>
      <c r="B169" s="92"/>
      <c r="C169" s="93"/>
      <c r="D169" s="94"/>
      <c r="E169" s="94"/>
      <c r="F169" s="94"/>
      <c r="G169" s="94"/>
      <c r="H169" s="94"/>
      <c r="I169" s="94"/>
      <c r="J169" s="96"/>
      <c r="K169" s="96"/>
      <c r="L169" s="94"/>
      <c r="M169" s="94"/>
      <c r="N169" s="95"/>
      <c r="O169" s="96"/>
      <c r="P169" s="96"/>
      <c r="Q169" s="94"/>
      <c r="R169" s="106"/>
      <c r="S169" s="106"/>
      <c r="T169" s="106"/>
      <c r="U169" s="106"/>
      <c r="V169" s="231"/>
    </row>
    <row r="170" spans="1:22" ht="24.95" customHeight="1">
      <c r="A170" s="91"/>
      <c r="B170" s="92"/>
      <c r="C170" s="93"/>
      <c r="D170" s="94"/>
      <c r="E170" s="94"/>
      <c r="F170" s="94"/>
      <c r="G170" s="94"/>
      <c r="H170" s="94"/>
      <c r="I170" s="94"/>
      <c r="J170" s="96"/>
      <c r="K170" s="96"/>
      <c r="L170" s="94"/>
      <c r="M170" s="94"/>
      <c r="N170" s="95"/>
      <c r="O170" s="96"/>
      <c r="P170" s="96"/>
      <c r="Q170" s="94"/>
      <c r="R170" s="106"/>
      <c r="S170" s="106"/>
      <c r="T170" s="106"/>
      <c r="U170" s="106"/>
      <c r="V170" s="231"/>
    </row>
    <row r="171" spans="1:22" ht="24.95" customHeight="1">
      <c r="A171" s="91"/>
      <c r="B171" s="92"/>
      <c r="C171" s="93"/>
      <c r="D171" s="94"/>
      <c r="E171" s="94"/>
      <c r="F171" s="94"/>
      <c r="G171" s="94"/>
      <c r="H171" s="94"/>
      <c r="I171" s="94"/>
      <c r="J171" s="96"/>
      <c r="K171" s="96"/>
      <c r="L171" s="94"/>
      <c r="M171" s="94"/>
      <c r="N171" s="95"/>
      <c r="O171" s="96"/>
      <c r="P171" s="96"/>
      <c r="Q171" s="94"/>
      <c r="R171" s="106"/>
      <c r="S171" s="106"/>
      <c r="T171" s="106"/>
      <c r="U171" s="106"/>
      <c r="V171" s="231"/>
    </row>
    <row r="172" spans="1:22" ht="24.95" customHeight="1">
      <c r="A172" s="91"/>
      <c r="B172" s="92"/>
      <c r="C172" s="93"/>
      <c r="D172" s="94"/>
      <c r="E172" s="94"/>
      <c r="F172" s="94"/>
      <c r="G172" s="94"/>
      <c r="H172" s="94"/>
      <c r="I172" s="94"/>
      <c r="J172" s="96"/>
      <c r="K172" s="96"/>
      <c r="L172" s="94"/>
      <c r="M172" s="94"/>
      <c r="N172" s="95"/>
      <c r="O172" s="96"/>
      <c r="P172" s="96"/>
      <c r="Q172" s="94"/>
      <c r="R172" s="106"/>
      <c r="S172" s="106"/>
      <c r="T172" s="106"/>
      <c r="U172" s="106"/>
      <c r="V172" s="231"/>
    </row>
    <row r="173" spans="1:22" ht="24.95" customHeight="1">
      <c r="A173" s="91"/>
      <c r="B173" s="92"/>
      <c r="C173" s="93"/>
      <c r="D173" s="94"/>
      <c r="E173" s="94"/>
      <c r="F173" s="94"/>
      <c r="G173" s="94"/>
      <c r="H173" s="94"/>
      <c r="I173" s="94"/>
      <c r="J173" s="96"/>
      <c r="K173" s="96"/>
      <c r="L173" s="94"/>
      <c r="M173" s="94"/>
      <c r="N173" s="95"/>
      <c r="O173" s="96"/>
      <c r="P173" s="96"/>
      <c r="Q173" s="94"/>
      <c r="R173" s="106"/>
      <c r="S173" s="106"/>
      <c r="T173" s="106"/>
      <c r="U173" s="106"/>
      <c r="V173" s="231"/>
    </row>
    <row r="174" spans="1:22" ht="24.95" customHeight="1">
      <c r="A174" s="91"/>
      <c r="B174" s="92"/>
      <c r="C174" s="93"/>
      <c r="D174" s="94"/>
      <c r="E174" s="94"/>
      <c r="F174" s="94"/>
      <c r="G174" s="94"/>
      <c r="H174" s="94"/>
      <c r="I174" s="94"/>
      <c r="J174" s="96"/>
      <c r="K174" s="96"/>
      <c r="L174" s="94"/>
      <c r="M174" s="94"/>
      <c r="N174" s="95"/>
      <c r="O174" s="96"/>
      <c r="P174" s="96"/>
      <c r="Q174" s="94"/>
      <c r="R174" s="106"/>
      <c r="S174" s="106"/>
      <c r="T174" s="106"/>
      <c r="U174" s="106"/>
      <c r="V174" s="231"/>
    </row>
    <row r="175" spans="1:22" ht="24.95" customHeight="1">
      <c r="A175" s="91"/>
      <c r="B175" s="92"/>
      <c r="C175" s="93"/>
      <c r="D175" s="94"/>
      <c r="E175" s="94"/>
      <c r="F175" s="94"/>
      <c r="G175" s="94"/>
      <c r="H175" s="94"/>
      <c r="I175" s="94"/>
      <c r="J175" s="96"/>
      <c r="K175" s="96"/>
      <c r="L175" s="94"/>
      <c r="M175" s="94"/>
      <c r="N175" s="95"/>
      <c r="O175" s="96"/>
      <c r="P175" s="96"/>
      <c r="Q175" s="94"/>
      <c r="R175" s="106"/>
      <c r="S175" s="106"/>
      <c r="T175" s="106"/>
      <c r="U175" s="106"/>
      <c r="V175" s="231"/>
    </row>
    <row r="176" spans="1:22" ht="24.95" customHeight="1">
      <c r="A176" s="91"/>
      <c r="B176" s="92"/>
      <c r="C176" s="93"/>
      <c r="D176" s="94"/>
      <c r="E176" s="94"/>
      <c r="F176" s="94"/>
      <c r="G176" s="94"/>
      <c r="H176" s="94"/>
      <c r="I176" s="94"/>
      <c r="J176" s="96"/>
      <c r="K176" s="96"/>
      <c r="L176" s="94"/>
      <c r="M176" s="94"/>
      <c r="N176" s="95"/>
      <c r="O176" s="96"/>
      <c r="P176" s="96"/>
      <c r="Q176" s="94"/>
      <c r="R176" s="106"/>
      <c r="S176" s="106"/>
      <c r="T176" s="106"/>
      <c r="U176" s="106"/>
      <c r="V176" s="231"/>
    </row>
    <row r="177" spans="1:22" ht="24.95" customHeight="1">
      <c r="A177" s="91"/>
      <c r="B177" s="92"/>
      <c r="C177" s="93"/>
      <c r="D177" s="94"/>
      <c r="E177" s="94"/>
      <c r="F177" s="94"/>
      <c r="G177" s="94"/>
      <c r="H177" s="94"/>
      <c r="I177" s="94"/>
      <c r="J177" s="96"/>
      <c r="K177" s="96"/>
      <c r="L177" s="94"/>
      <c r="M177" s="94"/>
      <c r="N177" s="95"/>
      <c r="O177" s="96"/>
      <c r="P177" s="96"/>
      <c r="Q177" s="94"/>
      <c r="R177" s="106"/>
      <c r="S177" s="106"/>
      <c r="T177" s="106"/>
      <c r="U177" s="106"/>
      <c r="V177" s="231"/>
    </row>
    <row r="178" spans="1:22" ht="24.95" customHeight="1">
      <c r="A178" s="91"/>
      <c r="B178" s="92"/>
      <c r="C178" s="93"/>
      <c r="D178" s="94"/>
      <c r="E178" s="94"/>
      <c r="F178" s="94"/>
      <c r="G178" s="94"/>
      <c r="H178" s="94"/>
      <c r="I178" s="94"/>
      <c r="J178" s="96"/>
      <c r="K178" s="96"/>
      <c r="L178" s="94"/>
      <c r="M178" s="94"/>
      <c r="N178" s="95"/>
      <c r="O178" s="96"/>
      <c r="P178" s="96"/>
      <c r="Q178" s="94"/>
      <c r="R178" s="106"/>
      <c r="S178" s="106"/>
      <c r="T178" s="106"/>
      <c r="U178" s="106"/>
      <c r="V178" s="231"/>
    </row>
    <row r="179" spans="1:22" ht="24.95" customHeight="1">
      <c r="A179" s="91"/>
      <c r="B179" s="92"/>
      <c r="C179" s="93"/>
      <c r="D179" s="94"/>
      <c r="E179" s="94"/>
      <c r="F179" s="94"/>
      <c r="G179" s="94"/>
      <c r="H179" s="94"/>
      <c r="I179" s="94"/>
      <c r="J179" s="96"/>
      <c r="K179" s="96"/>
      <c r="L179" s="94"/>
      <c r="M179" s="94"/>
      <c r="N179" s="95"/>
      <c r="O179" s="96"/>
      <c r="P179" s="96"/>
      <c r="Q179" s="94"/>
      <c r="R179" s="106"/>
      <c r="S179" s="106"/>
      <c r="T179" s="106"/>
      <c r="U179" s="106"/>
      <c r="V179" s="231"/>
    </row>
    <row r="180" spans="1:22" ht="24.95" customHeight="1">
      <c r="A180" s="91"/>
      <c r="B180" s="92"/>
      <c r="C180" s="93"/>
      <c r="D180" s="94"/>
      <c r="E180" s="94"/>
      <c r="F180" s="94"/>
      <c r="G180" s="94"/>
      <c r="H180" s="94"/>
      <c r="I180" s="94"/>
      <c r="J180" s="96"/>
      <c r="K180" s="96"/>
      <c r="L180" s="94"/>
      <c r="M180" s="94"/>
      <c r="N180" s="95"/>
      <c r="O180" s="96"/>
      <c r="P180" s="96"/>
      <c r="Q180" s="94"/>
      <c r="R180" s="106"/>
      <c r="S180" s="106"/>
      <c r="T180" s="106"/>
      <c r="U180" s="106"/>
      <c r="V180" s="231"/>
    </row>
    <row r="181" spans="1:22" ht="24.95" customHeight="1">
      <c r="A181" s="91"/>
      <c r="B181" s="92"/>
      <c r="C181" s="93"/>
      <c r="D181" s="94"/>
      <c r="E181" s="94"/>
      <c r="F181" s="94"/>
      <c r="G181" s="94"/>
      <c r="H181" s="94"/>
      <c r="I181" s="94"/>
      <c r="J181" s="96"/>
      <c r="K181" s="96"/>
      <c r="L181" s="94"/>
      <c r="M181" s="94"/>
      <c r="N181" s="95"/>
      <c r="O181" s="96"/>
      <c r="P181" s="96"/>
      <c r="Q181" s="94"/>
      <c r="R181" s="106"/>
      <c r="S181" s="106"/>
      <c r="T181" s="106"/>
      <c r="U181" s="106"/>
      <c r="V181" s="231"/>
    </row>
    <row r="182" spans="1:22" ht="24.95" customHeight="1">
      <c r="A182" s="91"/>
      <c r="B182" s="92"/>
      <c r="C182" s="93"/>
      <c r="D182" s="94"/>
      <c r="E182" s="94"/>
      <c r="F182" s="94"/>
      <c r="G182" s="94"/>
      <c r="H182" s="94"/>
      <c r="I182" s="94"/>
      <c r="J182" s="96"/>
      <c r="K182" s="96"/>
      <c r="L182" s="94"/>
      <c r="M182" s="94"/>
      <c r="N182" s="95"/>
      <c r="O182" s="96"/>
      <c r="P182" s="96"/>
      <c r="Q182" s="94"/>
      <c r="R182" s="106"/>
      <c r="S182" s="106"/>
      <c r="T182" s="106"/>
      <c r="U182" s="106"/>
      <c r="V182" s="231"/>
    </row>
    <row r="183" spans="1:22" ht="24.95" customHeight="1">
      <c r="A183" s="91"/>
      <c r="B183" s="92"/>
      <c r="C183" s="93"/>
      <c r="D183" s="94"/>
      <c r="E183" s="94"/>
      <c r="F183" s="94"/>
      <c r="G183" s="94"/>
      <c r="H183" s="94"/>
      <c r="I183" s="94"/>
      <c r="J183" s="96"/>
      <c r="K183" s="96"/>
      <c r="L183" s="94"/>
      <c r="M183" s="94"/>
      <c r="N183" s="95"/>
      <c r="O183" s="96"/>
      <c r="P183" s="96"/>
      <c r="Q183" s="94"/>
      <c r="R183" s="106"/>
      <c r="S183" s="106"/>
      <c r="T183" s="106"/>
      <c r="U183" s="106"/>
      <c r="V183" s="231"/>
    </row>
    <row r="184" spans="1:22" ht="24.95" customHeight="1">
      <c r="A184" s="91"/>
      <c r="B184" s="92"/>
      <c r="C184" s="93"/>
      <c r="D184" s="94"/>
      <c r="E184" s="94"/>
      <c r="F184" s="94"/>
      <c r="G184" s="94"/>
      <c r="H184" s="94"/>
      <c r="I184" s="94"/>
      <c r="J184" s="96"/>
      <c r="K184" s="96"/>
      <c r="L184" s="94"/>
      <c r="M184" s="94"/>
      <c r="N184" s="95"/>
      <c r="O184" s="96"/>
      <c r="P184" s="96"/>
      <c r="Q184" s="94"/>
      <c r="R184" s="106"/>
      <c r="S184" s="106"/>
      <c r="T184" s="106"/>
      <c r="U184" s="106"/>
      <c r="V184" s="231"/>
    </row>
    <row r="185" spans="1:22" ht="24.95" customHeight="1">
      <c r="A185" s="91"/>
      <c r="B185" s="92"/>
      <c r="C185" s="93"/>
      <c r="D185" s="94"/>
      <c r="E185" s="94"/>
      <c r="F185" s="94"/>
      <c r="G185" s="94"/>
      <c r="H185" s="94"/>
      <c r="I185" s="94"/>
      <c r="J185" s="96"/>
      <c r="K185" s="96"/>
      <c r="L185" s="94"/>
      <c r="M185" s="94"/>
      <c r="N185" s="95"/>
      <c r="O185" s="96"/>
      <c r="P185" s="96"/>
      <c r="Q185" s="94"/>
      <c r="R185" s="106"/>
      <c r="S185" s="106"/>
      <c r="T185" s="106"/>
      <c r="U185" s="106"/>
      <c r="V185" s="231"/>
    </row>
    <row r="186" spans="1:22" ht="24.95" customHeight="1">
      <c r="A186" s="91"/>
      <c r="B186" s="92"/>
      <c r="C186" s="93"/>
      <c r="D186" s="94"/>
      <c r="E186" s="94"/>
      <c r="F186" s="94"/>
      <c r="G186" s="94"/>
      <c r="H186" s="94"/>
      <c r="I186" s="94"/>
      <c r="J186" s="96"/>
      <c r="K186" s="96"/>
      <c r="L186" s="94"/>
      <c r="M186" s="94"/>
      <c r="N186" s="95"/>
      <c r="O186" s="96"/>
      <c r="P186" s="96"/>
      <c r="Q186" s="94"/>
      <c r="R186" s="106"/>
      <c r="S186" s="106"/>
      <c r="T186" s="106"/>
      <c r="U186" s="106"/>
      <c r="V186" s="231"/>
    </row>
    <row r="187" spans="1:22" ht="24.95" customHeight="1">
      <c r="A187" s="91"/>
      <c r="B187" s="92"/>
      <c r="C187" s="93"/>
      <c r="D187" s="94"/>
      <c r="E187" s="94"/>
      <c r="F187" s="94"/>
      <c r="G187" s="94"/>
      <c r="H187" s="94"/>
      <c r="I187" s="94"/>
      <c r="J187" s="96"/>
      <c r="K187" s="96"/>
      <c r="L187" s="94"/>
      <c r="M187" s="94"/>
      <c r="N187" s="95"/>
      <c r="O187" s="96"/>
      <c r="P187" s="96"/>
      <c r="Q187" s="94"/>
      <c r="R187" s="106"/>
      <c r="S187" s="106"/>
      <c r="T187" s="106"/>
      <c r="U187" s="106"/>
      <c r="V187" s="231"/>
    </row>
    <row r="188" spans="1:22" ht="24.95" customHeight="1">
      <c r="A188" s="91"/>
      <c r="B188" s="92"/>
      <c r="C188" s="93"/>
      <c r="D188" s="94"/>
      <c r="E188" s="94"/>
      <c r="F188" s="94"/>
      <c r="G188" s="94"/>
      <c r="H188" s="94"/>
      <c r="I188" s="94"/>
      <c r="J188" s="96"/>
      <c r="K188" s="96"/>
      <c r="L188" s="94"/>
      <c r="M188" s="94"/>
      <c r="N188" s="95"/>
      <c r="O188" s="96"/>
      <c r="P188" s="96"/>
      <c r="Q188" s="94"/>
      <c r="R188" s="106"/>
      <c r="S188" s="106"/>
      <c r="T188" s="106"/>
      <c r="U188" s="106"/>
      <c r="V188" s="231"/>
    </row>
    <row r="189" spans="1:22" ht="24.95" customHeight="1">
      <c r="A189" s="91"/>
      <c r="B189" s="92"/>
      <c r="C189" s="93"/>
      <c r="D189" s="94"/>
      <c r="E189" s="94"/>
      <c r="F189" s="94"/>
      <c r="G189" s="94"/>
      <c r="H189" s="94"/>
      <c r="I189" s="94"/>
      <c r="J189" s="96"/>
      <c r="K189" s="96"/>
      <c r="L189" s="94"/>
      <c r="M189" s="94"/>
      <c r="N189" s="95"/>
      <c r="O189" s="96"/>
      <c r="P189" s="96"/>
      <c r="Q189" s="94"/>
      <c r="R189" s="106"/>
      <c r="S189" s="106"/>
      <c r="T189" s="106"/>
      <c r="U189" s="106"/>
      <c r="V189" s="231"/>
    </row>
    <row r="190" spans="1:22" ht="24.95" customHeight="1">
      <c r="A190" s="91"/>
      <c r="B190" s="92"/>
      <c r="C190" s="93"/>
      <c r="D190" s="94"/>
      <c r="E190" s="94"/>
      <c r="F190" s="94"/>
      <c r="G190" s="94"/>
      <c r="H190" s="94"/>
      <c r="I190" s="94"/>
      <c r="J190" s="96"/>
      <c r="K190" s="96"/>
      <c r="L190" s="94"/>
      <c r="M190" s="94"/>
      <c r="N190" s="95"/>
      <c r="O190" s="96"/>
      <c r="P190" s="96"/>
      <c r="Q190" s="94"/>
      <c r="R190" s="106"/>
      <c r="S190" s="106"/>
      <c r="T190" s="106"/>
      <c r="U190" s="106"/>
      <c r="V190" s="231"/>
    </row>
    <row r="191" spans="1:22" ht="24.95" customHeight="1">
      <c r="A191" s="91"/>
      <c r="B191" s="92"/>
      <c r="C191" s="93"/>
      <c r="D191" s="94"/>
      <c r="E191" s="94"/>
      <c r="F191" s="94"/>
      <c r="G191" s="94"/>
      <c r="H191" s="94"/>
      <c r="I191" s="94"/>
      <c r="J191" s="96"/>
      <c r="K191" s="96"/>
      <c r="L191" s="94"/>
      <c r="M191" s="94"/>
      <c r="N191" s="95"/>
      <c r="O191" s="96"/>
      <c r="P191" s="96"/>
      <c r="Q191" s="94"/>
      <c r="R191" s="106"/>
      <c r="S191" s="106"/>
      <c r="T191" s="106"/>
      <c r="U191" s="106"/>
      <c r="V191" s="231"/>
    </row>
    <row r="192" spans="1:22" ht="24.95" customHeight="1">
      <c r="A192" s="91"/>
      <c r="B192" s="92"/>
      <c r="C192" s="93"/>
      <c r="D192" s="94"/>
      <c r="E192" s="94"/>
      <c r="F192" s="94"/>
      <c r="G192" s="94"/>
      <c r="H192" s="94"/>
      <c r="I192" s="94"/>
      <c r="J192" s="96"/>
      <c r="K192" s="96"/>
      <c r="L192" s="94"/>
      <c r="M192" s="94"/>
      <c r="N192" s="95"/>
      <c r="O192" s="96"/>
      <c r="P192" s="96"/>
      <c r="Q192" s="94"/>
      <c r="R192" s="106"/>
      <c r="S192" s="106"/>
      <c r="T192" s="106"/>
      <c r="U192" s="106"/>
      <c r="V192" s="231"/>
    </row>
    <row r="193" spans="1:22" ht="24.95" customHeight="1">
      <c r="A193" s="91"/>
      <c r="B193" s="92"/>
      <c r="C193" s="93"/>
      <c r="D193" s="94"/>
      <c r="E193" s="94"/>
      <c r="F193" s="94"/>
      <c r="G193" s="94"/>
      <c r="H193" s="94"/>
      <c r="I193" s="94"/>
      <c r="J193" s="96"/>
      <c r="K193" s="96"/>
      <c r="L193" s="94"/>
      <c r="M193" s="94"/>
      <c r="N193" s="95"/>
      <c r="O193" s="96"/>
      <c r="P193" s="96"/>
      <c r="Q193" s="94"/>
      <c r="R193" s="106"/>
      <c r="S193" s="106"/>
      <c r="T193" s="106"/>
      <c r="U193" s="106"/>
      <c r="V193" s="231"/>
    </row>
    <row r="194" spans="1:22" ht="24.95" customHeight="1">
      <c r="A194" s="91"/>
      <c r="B194" s="92"/>
      <c r="C194" s="93"/>
      <c r="D194" s="94"/>
      <c r="E194" s="94"/>
      <c r="F194" s="94"/>
      <c r="G194" s="94"/>
      <c r="H194" s="94"/>
      <c r="I194" s="94"/>
      <c r="J194" s="96"/>
      <c r="K194" s="96"/>
      <c r="L194" s="94"/>
      <c r="M194" s="94"/>
      <c r="N194" s="95"/>
      <c r="O194" s="96"/>
      <c r="P194" s="96"/>
      <c r="Q194" s="94"/>
      <c r="R194" s="106"/>
      <c r="S194" s="106"/>
      <c r="T194" s="106"/>
      <c r="U194" s="106"/>
      <c r="V194" s="231"/>
    </row>
    <row r="195" spans="1:22" ht="24.95" customHeight="1">
      <c r="A195" s="91"/>
      <c r="B195" s="92"/>
      <c r="C195" s="93"/>
      <c r="D195" s="94"/>
      <c r="E195" s="94"/>
      <c r="F195" s="94"/>
      <c r="G195" s="94"/>
      <c r="H195" s="94"/>
      <c r="I195" s="94"/>
      <c r="J195" s="96"/>
      <c r="K195" s="96"/>
      <c r="L195" s="94"/>
      <c r="M195" s="94"/>
      <c r="N195" s="95"/>
      <c r="O195" s="96"/>
      <c r="P195" s="96"/>
      <c r="Q195" s="94"/>
      <c r="R195" s="106"/>
      <c r="S195" s="106"/>
      <c r="T195" s="106"/>
      <c r="U195" s="106"/>
      <c r="V195" s="231"/>
    </row>
    <row r="196" spans="1:22" ht="24.95" customHeight="1">
      <c r="A196" s="91"/>
      <c r="B196" s="92"/>
      <c r="C196" s="93"/>
      <c r="D196" s="94"/>
      <c r="E196" s="94"/>
      <c r="F196" s="94"/>
      <c r="G196" s="94"/>
      <c r="H196" s="94"/>
      <c r="I196" s="94"/>
      <c r="J196" s="96"/>
      <c r="K196" s="96"/>
      <c r="L196" s="94"/>
      <c r="M196" s="94"/>
      <c r="N196" s="95"/>
      <c r="O196" s="96"/>
      <c r="P196" s="96"/>
      <c r="Q196" s="94"/>
      <c r="R196" s="106"/>
      <c r="S196" s="106"/>
      <c r="T196" s="106"/>
      <c r="U196" s="106"/>
      <c r="V196" s="231"/>
    </row>
    <row r="197" spans="1:22" ht="24.95" customHeight="1">
      <c r="A197" s="91"/>
      <c r="B197" s="92"/>
      <c r="C197" s="93"/>
      <c r="D197" s="94"/>
      <c r="E197" s="94"/>
      <c r="F197" s="94"/>
      <c r="G197" s="94"/>
      <c r="H197" s="94"/>
      <c r="I197" s="94"/>
      <c r="J197" s="96"/>
      <c r="K197" s="96"/>
      <c r="L197" s="94"/>
      <c r="M197" s="94"/>
      <c r="N197" s="95"/>
      <c r="O197" s="96"/>
      <c r="P197" s="96"/>
      <c r="Q197" s="94"/>
      <c r="R197" s="106"/>
      <c r="S197" s="106"/>
      <c r="T197" s="106"/>
      <c r="U197" s="106"/>
      <c r="V197" s="231"/>
    </row>
    <row r="198" spans="1:22" ht="24.95" customHeight="1">
      <c r="A198" s="91"/>
      <c r="B198" s="92"/>
      <c r="C198" s="93"/>
      <c r="D198" s="94"/>
      <c r="E198" s="94"/>
      <c r="F198" s="94"/>
      <c r="G198" s="94"/>
      <c r="H198" s="94"/>
      <c r="I198" s="94"/>
      <c r="J198" s="96"/>
      <c r="K198" s="96"/>
      <c r="L198" s="94"/>
      <c r="M198" s="94"/>
      <c r="N198" s="95"/>
      <c r="O198" s="96"/>
      <c r="P198" s="96"/>
      <c r="Q198" s="94"/>
      <c r="R198" s="106"/>
      <c r="S198" s="106"/>
      <c r="T198" s="106"/>
      <c r="U198" s="106"/>
      <c r="V198" s="231"/>
    </row>
    <row r="199" spans="1:22" ht="24.95" customHeight="1">
      <c r="A199" s="91"/>
      <c r="B199" s="92"/>
      <c r="C199" s="93"/>
      <c r="D199" s="94"/>
      <c r="E199" s="94"/>
      <c r="F199" s="94"/>
      <c r="G199" s="94"/>
      <c r="H199" s="94"/>
      <c r="I199" s="94"/>
      <c r="J199" s="96"/>
      <c r="K199" s="96"/>
      <c r="L199" s="94"/>
      <c r="M199" s="94"/>
      <c r="N199" s="95"/>
      <c r="O199" s="96"/>
      <c r="P199" s="96"/>
      <c r="Q199" s="94"/>
      <c r="R199" s="106"/>
      <c r="S199" s="106"/>
      <c r="T199" s="106"/>
      <c r="U199" s="106"/>
      <c r="V199" s="231"/>
    </row>
    <row r="200" spans="1:22" ht="24.95" customHeight="1">
      <c r="A200" s="91"/>
      <c r="B200" s="92"/>
      <c r="C200" s="93"/>
      <c r="D200" s="94"/>
      <c r="E200" s="94"/>
      <c r="F200" s="94"/>
      <c r="G200" s="94"/>
      <c r="H200" s="94"/>
      <c r="I200" s="94"/>
      <c r="J200" s="96"/>
      <c r="K200" s="96"/>
      <c r="L200" s="94"/>
      <c r="M200" s="94"/>
      <c r="N200" s="95"/>
      <c r="O200" s="96"/>
      <c r="P200" s="96"/>
      <c r="Q200" s="94"/>
      <c r="R200" s="106"/>
      <c r="S200" s="106"/>
      <c r="T200" s="106"/>
      <c r="U200" s="106"/>
      <c r="V200" s="231"/>
    </row>
    <row r="201" spans="1:22" ht="24.95" customHeight="1">
      <c r="A201" s="91"/>
      <c r="B201" s="92"/>
      <c r="C201" s="93"/>
      <c r="D201" s="94"/>
      <c r="E201" s="94"/>
      <c r="F201" s="94"/>
      <c r="G201" s="94"/>
      <c r="H201" s="94"/>
      <c r="I201" s="94"/>
      <c r="J201" s="96"/>
      <c r="K201" s="96"/>
      <c r="L201" s="94"/>
      <c r="M201" s="94"/>
      <c r="N201" s="95"/>
      <c r="O201" s="96"/>
      <c r="P201" s="96"/>
      <c r="Q201" s="94"/>
      <c r="R201" s="106"/>
      <c r="S201" s="106"/>
      <c r="T201" s="106"/>
      <c r="U201" s="106"/>
      <c r="V201" s="231"/>
    </row>
    <row r="202" spans="1:22" ht="24.95" customHeight="1">
      <c r="A202" s="91"/>
      <c r="B202" s="92"/>
      <c r="C202" s="93"/>
      <c r="D202" s="94"/>
      <c r="E202" s="94"/>
      <c r="F202" s="94"/>
      <c r="G202" s="94"/>
      <c r="H202" s="94"/>
      <c r="I202" s="94"/>
      <c r="J202" s="96"/>
      <c r="K202" s="96"/>
      <c r="L202" s="94"/>
      <c r="M202" s="94"/>
      <c r="N202" s="95"/>
      <c r="O202" s="96"/>
      <c r="P202" s="96"/>
      <c r="Q202" s="94"/>
      <c r="R202" s="106"/>
      <c r="S202" s="106"/>
      <c r="T202" s="106"/>
      <c r="U202" s="106"/>
      <c r="V202" s="231"/>
    </row>
    <row r="203" spans="1:22" ht="24.95" customHeight="1">
      <c r="A203" s="91"/>
      <c r="B203" s="92"/>
      <c r="C203" s="93"/>
      <c r="D203" s="94"/>
      <c r="E203" s="94"/>
      <c r="F203" s="94"/>
      <c r="G203" s="94"/>
      <c r="H203" s="94"/>
      <c r="I203" s="94"/>
      <c r="J203" s="96"/>
      <c r="K203" s="96"/>
      <c r="L203" s="94"/>
      <c r="M203" s="94"/>
      <c r="N203" s="95"/>
      <c r="O203" s="96"/>
      <c r="P203" s="96"/>
      <c r="Q203" s="94"/>
      <c r="R203" s="106"/>
      <c r="S203" s="106"/>
      <c r="T203" s="106"/>
      <c r="U203" s="106"/>
      <c r="V203" s="231"/>
    </row>
    <row r="204" spans="1:22" ht="24.95" customHeight="1">
      <c r="A204" s="91"/>
      <c r="B204" s="92"/>
      <c r="C204" s="93"/>
      <c r="D204" s="94"/>
      <c r="E204" s="94"/>
      <c r="F204" s="94"/>
      <c r="G204" s="94"/>
      <c r="H204" s="94"/>
      <c r="I204" s="94"/>
      <c r="J204" s="96"/>
      <c r="K204" s="96"/>
      <c r="L204" s="94"/>
      <c r="M204" s="94"/>
      <c r="N204" s="95"/>
      <c r="O204" s="96"/>
      <c r="P204" s="96"/>
      <c r="Q204" s="94"/>
      <c r="R204" s="106"/>
      <c r="S204" s="106"/>
      <c r="T204" s="106"/>
      <c r="U204" s="106"/>
      <c r="V204" s="231"/>
    </row>
    <row r="205" spans="1:22" ht="24.95" customHeight="1">
      <c r="A205" s="91"/>
      <c r="B205" s="92"/>
      <c r="C205" s="93"/>
      <c r="D205" s="94"/>
      <c r="E205" s="94"/>
      <c r="F205" s="94"/>
      <c r="G205" s="94"/>
      <c r="H205" s="94"/>
      <c r="I205" s="94"/>
      <c r="J205" s="96"/>
      <c r="K205" s="96"/>
      <c r="L205" s="94"/>
      <c r="M205" s="94"/>
      <c r="N205" s="95"/>
      <c r="O205" s="96"/>
      <c r="P205" s="96"/>
      <c r="Q205" s="94"/>
      <c r="R205" s="106"/>
      <c r="S205" s="106"/>
      <c r="T205" s="106"/>
      <c r="U205" s="106"/>
      <c r="V205" s="231"/>
    </row>
    <row r="206" spans="1:22" ht="24.95" customHeight="1">
      <c r="A206" s="91"/>
      <c r="B206" s="92"/>
      <c r="C206" s="93"/>
      <c r="D206" s="94"/>
      <c r="E206" s="94"/>
      <c r="F206" s="94"/>
      <c r="G206" s="94"/>
      <c r="H206" s="94"/>
      <c r="I206" s="94"/>
      <c r="J206" s="96"/>
      <c r="K206" s="96"/>
      <c r="L206" s="94"/>
      <c r="M206" s="94"/>
      <c r="N206" s="95"/>
      <c r="O206" s="96"/>
      <c r="P206" s="96"/>
      <c r="Q206" s="94"/>
      <c r="R206" s="106"/>
      <c r="S206" s="106"/>
      <c r="T206" s="106"/>
      <c r="U206" s="106"/>
      <c r="V206" s="231"/>
    </row>
    <row r="207" spans="1:22" ht="24.95" customHeight="1">
      <c r="A207" s="91"/>
      <c r="B207" s="92"/>
      <c r="C207" s="93"/>
      <c r="D207" s="94"/>
      <c r="E207" s="94"/>
      <c r="F207" s="94"/>
      <c r="G207" s="94"/>
      <c r="H207" s="94"/>
      <c r="I207" s="94"/>
      <c r="J207" s="96"/>
      <c r="K207" s="96"/>
      <c r="L207" s="94"/>
      <c r="M207" s="94"/>
      <c r="N207" s="95"/>
      <c r="O207" s="96"/>
      <c r="P207" s="96"/>
      <c r="Q207" s="94"/>
      <c r="R207" s="106"/>
      <c r="S207" s="106"/>
      <c r="T207" s="106"/>
      <c r="U207" s="106"/>
      <c r="V207" s="231"/>
    </row>
    <row r="208" spans="1:22" ht="24.95" customHeight="1">
      <c r="A208" s="91"/>
      <c r="B208" s="92"/>
      <c r="C208" s="93"/>
      <c r="D208" s="94"/>
      <c r="E208" s="94"/>
      <c r="F208" s="94"/>
      <c r="G208" s="94"/>
      <c r="H208" s="94"/>
      <c r="I208" s="94"/>
      <c r="J208" s="96"/>
      <c r="K208" s="96"/>
      <c r="L208" s="94"/>
      <c r="M208" s="94"/>
      <c r="N208" s="95"/>
      <c r="O208" s="96"/>
      <c r="P208" s="96"/>
      <c r="Q208" s="94"/>
      <c r="R208" s="106"/>
      <c r="S208" s="106"/>
      <c r="T208" s="106"/>
      <c r="U208" s="106"/>
      <c r="V208" s="231"/>
    </row>
    <row r="209" spans="1:22" ht="24.95" customHeight="1">
      <c r="A209" s="91"/>
      <c r="B209" s="92"/>
      <c r="C209" s="93"/>
      <c r="D209" s="94"/>
      <c r="E209" s="94"/>
      <c r="F209" s="94"/>
      <c r="G209" s="94"/>
      <c r="H209" s="94"/>
      <c r="I209" s="94"/>
      <c r="J209" s="96"/>
      <c r="K209" s="96"/>
      <c r="L209" s="94"/>
      <c r="M209" s="94"/>
      <c r="N209" s="95"/>
      <c r="O209" s="96"/>
      <c r="P209" s="96"/>
      <c r="Q209" s="94"/>
      <c r="R209" s="106"/>
      <c r="S209" s="106"/>
      <c r="T209" s="106"/>
      <c r="U209" s="106"/>
      <c r="V209" s="231"/>
    </row>
    <row r="210" spans="1:22" ht="24.95" customHeight="1">
      <c r="A210" s="91"/>
      <c r="B210" s="92"/>
      <c r="C210" s="93"/>
      <c r="D210" s="94"/>
      <c r="E210" s="94"/>
      <c r="F210" s="94"/>
      <c r="G210" s="94"/>
      <c r="H210" s="94"/>
      <c r="I210" s="94"/>
      <c r="J210" s="96"/>
      <c r="K210" s="96"/>
      <c r="L210" s="94"/>
      <c r="M210" s="94"/>
      <c r="N210" s="95"/>
      <c r="O210" s="96"/>
      <c r="P210" s="96"/>
      <c r="Q210" s="94"/>
      <c r="R210" s="106"/>
      <c r="S210" s="106"/>
      <c r="T210" s="106"/>
      <c r="U210" s="106"/>
      <c r="V210" s="231"/>
    </row>
    <row r="211" spans="1:22" ht="24.95" customHeight="1">
      <c r="A211" s="91"/>
      <c r="B211" s="92"/>
      <c r="C211" s="93"/>
      <c r="D211" s="94"/>
      <c r="E211" s="94"/>
      <c r="F211" s="94"/>
      <c r="G211" s="94"/>
      <c r="H211" s="94"/>
      <c r="I211" s="94"/>
      <c r="J211" s="96"/>
      <c r="K211" s="96"/>
      <c r="L211" s="94"/>
      <c r="M211" s="94"/>
      <c r="N211" s="95"/>
      <c r="O211" s="96"/>
      <c r="P211" s="96"/>
      <c r="Q211" s="94"/>
      <c r="R211" s="106"/>
      <c r="S211" s="106"/>
      <c r="T211" s="106"/>
      <c r="U211" s="106"/>
      <c r="V211" s="231"/>
    </row>
    <row r="212" spans="1:22" ht="24.95" customHeight="1">
      <c r="A212" s="91"/>
      <c r="B212" s="92"/>
      <c r="C212" s="93"/>
      <c r="D212" s="94"/>
      <c r="E212" s="94"/>
      <c r="F212" s="94"/>
      <c r="G212" s="94"/>
      <c r="H212" s="94"/>
      <c r="I212" s="94"/>
      <c r="J212" s="96"/>
      <c r="K212" s="96"/>
      <c r="L212" s="94"/>
      <c r="M212" s="94"/>
      <c r="N212" s="95"/>
      <c r="O212" s="96"/>
      <c r="P212" s="96"/>
      <c r="Q212" s="94"/>
      <c r="R212" s="106"/>
      <c r="S212" s="106"/>
      <c r="T212" s="106"/>
      <c r="U212" s="106"/>
      <c r="V212" s="231"/>
    </row>
    <row r="213" spans="1:22" ht="24.95" customHeight="1">
      <c r="A213" s="91"/>
      <c r="B213" s="92"/>
      <c r="C213" s="93"/>
      <c r="D213" s="94"/>
      <c r="E213" s="94"/>
      <c r="F213" s="94"/>
      <c r="G213" s="94"/>
      <c r="H213" s="94"/>
      <c r="I213" s="94"/>
      <c r="J213" s="96"/>
      <c r="K213" s="96"/>
      <c r="L213" s="94"/>
      <c r="M213" s="94"/>
      <c r="N213" s="95"/>
      <c r="O213" s="96"/>
      <c r="P213" s="96"/>
      <c r="Q213" s="94"/>
      <c r="R213" s="106"/>
      <c r="S213" s="106"/>
      <c r="T213" s="106"/>
      <c r="U213" s="106"/>
      <c r="V213" s="231"/>
    </row>
    <row r="214" spans="1:22" ht="24.95" customHeight="1">
      <c r="A214" s="91"/>
      <c r="B214" s="92"/>
      <c r="C214" s="93"/>
      <c r="D214" s="94"/>
      <c r="E214" s="94"/>
      <c r="F214" s="94"/>
      <c r="G214" s="94"/>
      <c r="H214" s="94"/>
      <c r="I214" s="94"/>
      <c r="J214" s="96"/>
      <c r="K214" s="96"/>
      <c r="L214" s="94"/>
      <c r="M214" s="94"/>
      <c r="N214" s="95"/>
      <c r="O214" s="96"/>
      <c r="P214" s="96"/>
      <c r="Q214" s="94"/>
      <c r="R214" s="106"/>
      <c r="S214" s="106"/>
      <c r="T214" s="106"/>
      <c r="U214" s="106"/>
      <c r="V214" s="231"/>
    </row>
    <row r="215" spans="1:22" ht="24.95" customHeight="1">
      <c r="A215" s="91"/>
      <c r="B215" s="92"/>
      <c r="C215" s="93"/>
      <c r="D215" s="94"/>
      <c r="E215" s="94"/>
      <c r="F215" s="94"/>
      <c r="G215" s="94"/>
      <c r="H215" s="94"/>
      <c r="I215" s="94"/>
      <c r="J215" s="96"/>
      <c r="K215" s="96"/>
      <c r="L215" s="94"/>
      <c r="M215" s="94"/>
      <c r="N215" s="95"/>
      <c r="O215" s="96"/>
      <c r="P215" s="96"/>
      <c r="Q215" s="94"/>
      <c r="R215" s="106"/>
      <c r="S215" s="106"/>
      <c r="T215" s="106"/>
      <c r="U215" s="106"/>
      <c r="V215" s="231"/>
    </row>
    <row r="216" spans="1:22" ht="24.95" customHeight="1">
      <c r="A216" s="91"/>
      <c r="B216" s="92"/>
      <c r="C216" s="93"/>
      <c r="D216" s="94"/>
      <c r="E216" s="94"/>
      <c r="F216" s="94"/>
      <c r="G216" s="94"/>
      <c r="H216" s="94"/>
      <c r="I216" s="94"/>
      <c r="J216" s="96"/>
      <c r="K216" s="96"/>
      <c r="L216" s="94"/>
      <c r="M216" s="94"/>
      <c r="N216" s="95"/>
      <c r="O216" s="96"/>
      <c r="P216" s="96"/>
      <c r="Q216" s="94"/>
      <c r="R216" s="106"/>
      <c r="S216" s="106"/>
      <c r="T216" s="106"/>
      <c r="U216" s="106"/>
      <c r="V216" s="231"/>
    </row>
    <row r="217" spans="1:22" ht="24.95" customHeight="1">
      <c r="A217" s="91"/>
      <c r="B217" s="92"/>
      <c r="C217" s="93"/>
      <c r="D217" s="94"/>
      <c r="E217" s="94"/>
      <c r="F217" s="94"/>
      <c r="G217" s="94"/>
      <c r="H217" s="94"/>
      <c r="I217" s="94"/>
      <c r="J217" s="96"/>
      <c r="K217" s="96"/>
      <c r="L217" s="94"/>
      <c r="M217" s="94"/>
      <c r="N217" s="95"/>
      <c r="O217" s="96"/>
      <c r="P217" s="96"/>
      <c r="Q217" s="94"/>
      <c r="R217" s="106"/>
      <c r="S217" s="106"/>
      <c r="T217" s="106"/>
      <c r="U217" s="106"/>
      <c r="V217" s="231"/>
    </row>
    <row r="218" spans="1:22" ht="24.95" customHeight="1">
      <c r="A218" s="91"/>
      <c r="B218" s="92"/>
      <c r="C218" s="93"/>
      <c r="D218" s="94"/>
      <c r="E218" s="94"/>
      <c r="F218" s="94"/>
      <c r="G218" s="94"/>
      <c r="H218" s="94"/>
      <c r="I218" s="94"/>
      <c r="J218" s="96"/>
      <c r="K218" s="96"/>
      <c r="L218" s="94"/>
      <c r="M218" s="94"/>
      <c r="N218" s="95"/>
      <c r="O218" s="96"/>
      <c r="P218" s="96"/>
      <c r="Q218" s="94"/>
      <c r="R218" s="106"/>
      <c r="S218" s="106"/>
      <c r="T218" s="106"/>
      <c r="U218" s="106"/>
      <c r="V218" s="231"/>
    </row>
    <row r="219" spans="1:22" ht="24.95" customHeight="1">
      <c r="A219" s="91"/>
      <c r="B219" s="92"/>
      <c r="C219" s="93"/>
      <c r="D219" s="94"/>
      <c r="E219" s="94"/>
      <c r="F219" s="94"/>
      <c r="G219" s="94"/>
      <c r="H219" s="94"/>
      <c r="I219" s="94"/>
      <c r="J219" s="96"/>
      <c r="K219" s="96"/>
      <c r="L219" s="94"/>
      <c r="M219" s="94"/>
      <c r="N219" s="95"/>
      <c r="O219" s="96"/>
      <c r="P219" s="96"/>
      <c r="Q219" s="94"/>
      <c r="R219" s="106"/>
      <c r="S219" s="106"/>
      <c r="T219" s="106"/>
      <c r="U219" s="106"/>
      <c r="V219" s="231"/>
    </row>
    <row r="220" spans="1:22" ht="24.95" customHeight="1">
      <c r="A220" s="91"/>
      <c r="B220" s="92"/>
      <c r="C220" s="93"/>
      <c r="D220" s="94"/>
      <c r="E220" s="94"/>
      <c r="F220" s="94"/>
      <c r="G220" s="94"/>
      <c r="H220" s="94"/>
      <c r="I220" s="94"/>
      <c r="J220" s="96"/>
      <c r="K220" s="96"/>
      <c r="L220" s="94"/>
      <c r="M220" s="94"/>
      <c r="N220" s="95"/>
      <c r="O220" s="96"/>
      <c r="P220" s="96"/>
      <c r="Q220" s="94"/>
      <c r="R220" s="106"/>
      <c r="S220" s="106"/>
      <c r="T220" s="106"/>
      <c r="U220" s="106"/>
      <c r="V220" s="231"/>
    </row>
    <row r="221" spans="1:22" ht="24.95" customHeight="1">
      <c r="A221" s="91"/>
      <c r="B221" s="92"/>
      <c r="C221" s="93"/>
      <c r="D221" s="94"/>
      <c r="E221" s="94"/>
      <c r="F221" s="94"/>
      <c r="G221" s="94"/>
      <c r="H221" s="94"/>
      <c r="I221" s="94"/>
      <c r="J221" s="96"/>
      <c r="K221" s="96"/>
      <c r="L221" s="94"/>
      <c r="M221" s="94"/>
      <c r="N221" s="95"/>
      <c r="O221" s="96"/>
      <c r="P221" s="96"/>
      <c r="Q221" s="94"/>
      <c r="R221" s="106"/>
      <c r="S221" s="106"/>
      <c r="T221" s="106"/>
      <c r="U221" s="106"/>
      <c r="V221" s="231"/>
    </row>
    <row r="222" spans="1:22" ht="24.95" customHeight="1">
      <c r="A222" s="91"/>
      <c r="B222" s="92"/>
      <c r="C222" s="93"/>
      <c r="D222" s="94"/>
      <c r="E222" s="94"/>
      <c r="F222" s="94"/>
      <c r="G222" s="94"/>
      <c r="H222" s="94"/>
      <c r="I222" s="94"/>
      <c r="J222" s="96"/>
      <c r="K222" s="96"/>
      <c r="L222" s="94"/>
      <c r="M222" s="94"/>
      <c r="N222" s="95"/>
      <c r="O222" s="96"/>
      <c r="P222" s="96"/>
      <c r="Q222" s="94"/>
      <c r="R222" s="106"/>
      <c r="S222" s="106"/>
      <c r="T222" s="106"/>
      <c r="U222" s="106"/>
      <c r="V222" s="231"/>
    </row>
    <row r="223" spans="1:22" ht="24.95" customHeight="1">
      <c r="A223" s="91"/>
      <c r="B223" s="92"/>
      <c r="C223" s="93"/>
      <c r="D223" s="94"/>
      <c r="E223" s="94"/>
      <c r="F223" s="94"/>
      <c r="G223" s="94"/>
      <c r="H223" s="94"/>
      <c r="I223" s="94"/>
      <c r="J223" s="96"/>
      <c r="K223" s="96"/>
      <c r="L223" s="94"/>
      <c r="M223" s="94"/>
      <c r="N223" s="95"/>
      <c r="O223" s="96"/>
      <c r="P223" s="96"/>
      <c r="Q223" s="94"/>
      <c r="R223" s="106"/>
      <c r="S223" s="106"/>
      <c r="T223" s="106"/>
      <c r="U223" s="106"/>
      <c r="V223" s="231"/>
    </row>
    <row r="224" spans="1:22" ht="24.95" customHeight="1">
      <c r="A224" s="91"/>
      <c r="B224" s="92"/>
      <c r="C224" s="93"/>
      <c r="D224" s="94"/>
      <c r="E224" s="94"/>
      <c r="F224" s="94"/>
      <c r="G224" s="94"/>
      <c r="H224" s="94"/>
      <c r="I224" s="94"/>
      <c r="J224" s="96"/>
      <c r="K224" s="96"/>
      <c r="L224" s="94"/>
      <c r="M224" s="94"/>
      <c r="N224" s="95"/>
      <c r="O224" s="96"/>
      <c r="P224" s="96"/>
      <c r="Q224" s="94"/>
      <c r="R224" s="106"/>
      <c r="S224" s="106"/>
      <c r="T224" s="106"/>
      <c r="U224" s="106"/>
      <c r="V224" s="231"/>
    </row>
    <row r="225" spans="1:22" ht="24.95" customHeight="1">
      <c r="A225" s="91"/>
      <c r="B225" s="92"/>
      <c r="C225" s="93"/>
      <c r="D225" s="94"/>
      <c r="E225" s="94"/>
      <c r="F225" s="94"/>
      <c r="G225" s="94"/>
      <c r="H225" s="94"/>
      <c r="I225" s="94"/>
      <c r="J225" s="96"/>
      <c r="K225" s="96"/>
      <c r="L225" s="94"/>
      <c r="M225" s="94"/>
      <c r="N225" s="95"/>
      <c r="O225" s="96"/>
      <c r="P225" s="96"/>
      <c r="Q225" s="94"/>
      <c r="R225" s="106"/>
      <c r="S225" s="106"/>
      <c r="T225" s="106"/>
      <c r="U225" s="106"/>
      <c r="V225" s="231"/>
    </row>
    <row r="226" spans="1:22" ht="24.95" customHeight="1">
      <c r="A226" s="91"/>
      <c r="B226" s="92"/>
      <c r="C226" s="93"/>
      <c r="D226" s="94"/>
      <c r="E226" s="94"/>
      <c r="F226" s="94"/>
      <c r="G226" s="94"/>
      <c r="H226" s="94"/>
      <c r="I226" s="94"/>
      <c r="J226" s="96"/>
      <c r="K226" s="96"/>
      <c r="L226" s="94"/>
      <c r="M226" s="94"/>
      <c r="N226" s="95"/>
      <c r="O226" s="96"/>
      <c r="P226" s="96"/>
      <c r="Q226" s="94"/>
      <c r="R226" s="106"/>
      <c r="S226" s="106"/>
      <c r="T226" s="106"/>
      <c r="U226" s="106"/>
      <c r="V226" s="231"/>
    </row>
    <row r="227" spans="1:22" ht="24.95" customHeight="1">
      <c r="A227" s="91"/>
      <c r="B227" s="92"/>
      <c r="C227" s="93"/>
      <c r="D227" s="94"/>
      <c r="E227" s="94"/>
      <c r="F227" s="94"/>
      <c r="G227" s="94"/>
      <c r="H227" s="94"/>
      <c r="I227" s="94"/>
      <c r="J227" s="96"/>
      <c r="K227" s="96"/>
      <c r="L227" s="94"/>
      <c r="M227" s="94"/>
      <c r="N227" s="95"/>
      <c r="O227" s="96"/>
      <c r="P227" s="96"/>
      <c r="Q227" s="94"/>
      <c r="R227" s="106"/>
      <c r="S227" s="106"/>
      <c r="T227" s="106"/>
      <c r="U227" s="106"/>
      <c r="V227" s="231"/>
    </row>
    <row r="228" spans="1:22" ht="24.95" customHeight="1">
      <c r="A228" s="91"/>
      <c r="B228" s="92"/>
      <c r="C228" s="93"/>
      <c r="D228" s="94"/>
      <c r="E228" s="94"/>
      <c r="F228" s="94"/>
      <c r="G228" s="94"/>
      <c r="H228" s="94"/>
      <c r="I228" s="94"/>
      <c r="J228" s="96"/>
      <c r="K228" s="96"/>
      <c r="L228" s="94"/>
      <c r="M228" s="94"/>
      <c r="N228" s="95"/>
      <c r="O228" s="96"/>
      <c r="P228" s="96"/>
      <c r="Q228" s="94"/>
      <c r="R228" s="106"/>
      <c r="S228" s="106"/>
      <c r="T228" s="106"/>
      <c r="U228" s="106"/>
      <c r="V228" s="231"/>
    </row>
    <row r="229" spans="1:22" ht="24.95" customHeight="1">
      <c r="A229" s="91"/>
      <c r="B229" s="92"/>
      <c r="C229" s="93"/>
      <c r="D229" s="94"/>
      <c r="E229" s="94"/>
      <c r="F229" s="94"/>
      <c r="G229" s="94"/>
      <c r="H229" s="94"/>
      <c r="I229" s="94"/>
      <c r="J229" s="96"/>
      <c r="K229" s="96"/>
      <c r="L229" s="94"/>
      <c r="M229" s="94"/>
      <c r="N229" s="95"/>
      <c r="O229" s="96"/>
      <c r="P229" s="96"/>
      <c r="Q229" s="94"/>
      <c r="R229" s="106"/>
      <c r="S229" s="106"/>
      <c r="T229" s="106"/>
      <c r="U229" s="106"/>
      <c r="V229" s="231"/>
    </row>
    <row r="230" spans="1:22" ht="24.95" customHeight="1">
      <c r="A230" s="91"/>
      <c r="B230" s="92"/>
      <c r="C230" s="93"/>
      <c r="D230" s="94"/>
      <c r="E230" s="94"/>
      <c r="F230" s="94"/>
      <c r="G230" s="94"/>
      <c r="H230" s="94"/>
      <c r="I230" s="94"/>
      <c r="J230" s="96"/>
      <c r="K230" s="96"/>
      <c r="L230" s="94"/>
      <c r="M230" s="94"/>
      <c r="N230" s="95"/>
      <c r="O230" s="96"/>
      <c r="P230" s="96"/>
      <c r="Q230" s="94"/>
      <c r="R230" s="106"/>
      <c r="S230" s="106"/>
      <c r="T230" s="106"/>
      <c r="U230" s="106"/>
      <c r="V230" s="231"/>
    </row>
    <row r="231" spans="1:22" ht="24.95" customHeight="1">
      <c r="A231" s="91"/>
      <c r="B231" s="92"/>
      <c r="C231" s="93"/>
      <c r="D231" s="94"/>
      <c r="E231" s="94"/>
      <c r="F231" s="94"/>
      <c r="G231" s="94"/>
      <c r="H231" s="94"/>
      <c r="I231" s="94"/>
      <c r="J231" s="96"/>
      <c r="K231" s="96"/>
      <c r="L231" s="94"/>
      <c r="M231" s="94"/>
      <c r="N231" s="95"/>
      <c r="O231" s="96"/>
      <c r="P231" s="96"/>
      <c r="Q231" s="94"/>
      <c r="R231" s="106"/>
      <c r="S231" s="106"/>
      <c r="T231" s="106"/>
      <c r="U231" s="106"/>
      <c r="V231" s="231"/>
    </row>
    <row r="232" spans="1:22" ht="24.95" customHeight="1">
      <c r="A232" s="91"/>
      <c r="B232" s="92"/>
      <c r="C232" s="93"/>
      <c r="D232" s="94"/>
      <c r="E232" s="94"/>
      <c r="F232" s="94"/>
      <c r="G232" s="94"/>
      <c r="H232" s="94"/>
      <c r="I232" s="94"/>
      <c r="J232" s="96"/>
      <c r="K232" s="96"/>
      <c r="L232" s="94"/>
      <c r="M232" s="94"/>
      <c r="N232" s="95"/>
      <c r="O232" s="96"/>
      <c r="P232" s="96"/>
      <c r="Q232" s="94"/>
      <c r="R232" s="106"/>
      <c r="S232" s="106"/>
      <c r="T232" s="106"/>
      <c r="U232" s="106"/>
      <c r="V232" s="231"/>
    </row>
    <row r="233" spans="1:22" ht="24.95" customHeight="1">
      <c r="A233" s="91"/>
      <c r="B233" s="92"/>
      <c r="C233" s="93"/>
      <c r="D233" s="94"/>
      <c r="E233" s="94"/>
      <c r="F233" s="94"/>
      <c r="G233" s="94"/>
      <c r="H233" s="94"/>
      <c r="I233" s="94"/>
      <c r="J233" s="96"/>
      <c r="K233" s="96"/>
      <c r="L233" s="94"/>
      <c r="M233" s="94"/>
      <c r="N233" s="95"/>
      <c r="O233" s="96"/>
      <c r="P233" s="96"/>
      <c r="Q233" s="94"/>
      <c r="R233" s="106"/>
      <c r="S233" s="106"/>
      <c r="T233" s="106"/>
      <c r="U233" s="106"/>
      <c r="V233" s="231"/>
    </row>
    <row r="234" spans="1:22" ht="24.95" customHeight="1">
      <c r="A234" s="91"/>
      <c r="B234" s="92"/>
      <c r="C234" s="93"/>
      <c r="D234" s="94"/>
      <c r="E234" s="94"/>
      <c r="F234" s="94"/>
      <c r="G234" s="94"/>
      <c r="H234" s="94"/>
      <c r="I234" s="94"/>
      <c r="J234" s="96"/>
      <c r="K234" s="96"/>
      <c r="L234" s="94"/>
      <c r="M234" s="94"/>
      <c r="N234" s="95"/>
      <c r="O234" s="96"/>
      <c r="P234" s="96"/>
      <c r="Q234" s="94"/>
      <c r="R234" s="106"/>
      <c r="S234" s="106"/>
      <c r="T234" s="106"/>
      <c r="U234" s="106"/>
      <c r="V234" s="231"/>
    </row>
    <row r="235" spans="1:22" ht="24.95" customHeight="1">
      <c r="A235" s="91"/>
      <c r="B235" s="92"/>
      <c r="C235" s="93"/>
      <c r="D235" s="94"/>
      <c r="E235" s="94"/>
      <c r="F235" s="94"/>
      <c r="G235" s="94"/>
      <c r="H235" s="94"/>
      <c r="I235" s="94"/>
      <c r="J235" s="96"/>
      <c r="K235" s="96"/>
      <c r="L235" s="94"/>
      <c r="M235" s="94"/>
      <c r="N235" s="95"/>
      <c r="O235" s="96"/>
      <c r="P235" s="96"/>
      <c r="Q235" s="94"/>
      <c r="R235" s="106"/>
      <c r="S235" s="106"/>
      <c r="T235" s="106"/>
      <c r="U235" s="106"/>
      <c r="V235" s="231"/>
    </row>
    <row r="236" spans="1:22" ht="24.95" customHeight="1">
      <c r="A236" s="91"/>
      <c r="B236" s="92"/>
      <c r="C236" s="93"/>
      <c r="D236" s="94"/>
      <c r="E236" s="94"/>
      <c r="F236" s="94"/>
      <c r="G236" s="94"/>
      <c r="H236" s="94"/>
      <c r="I236" s="94"/>
      <c r="J236" s="96"/>
      <c r="K236" s="96"/>
      <c r="L236" s="94"/>
      <c r="M236" s="94"/>
      <c r="N236" s="95"/>
      <c r="O236" s="96"/>
      <c r="P236" s="96"/>
      <c r="Q236" s="94"/>
      <c r="R236" s="106"/>
      <c r="S236" s="106"/>
      <c r="T236" s="106"/>
      <c r="U236" s="106"/>
      <c r="V236" s="231"/>
    </row>
    <row r="237" spans="1:22" ht="24.95" customHeight="1">
      <c r="A237" s="91"/>
      <c r="B237" s="92"/>
      <c r="C237" s="93"/>
      <c r="D237" s="94"/>
      <c r="E237" s="94"/>
      <c r="F237" s="94"/>
      <c r="G237" s="94"/>
      <c r="H237" s="94"/>
      <c r="I237" s="94"/>
      <c r="J237" s="96"/>
      <c r="K237" s="96"/>
      <c r="L237" s="94"/>
      <c r="M237" s="94"/>
      <c r="N237" s="95"/>
      <c r="O237" s="96"/>
      <c r="P237" s="96"/>
      <c r="Q237" s="94"/>
      <c r="R237" s="106"/>
      <c r="S237" s="106"/>
      <c r="T237" s="106"/>
      <c r="U237" s="106"/>
      <c r="V237" s="231"/>
    </row>
    <row r="238" spans="1:22" ht="24.95" customHeight="1">
      <c r="A238" s="91"/>
      <c r="B238" s="92"/>
      <c r="C238" s="93"/>
      <c r="D238" s="94"/>
      <c r="E238" s="94"/>
      <c r="F238" s="94"/>
      <c r="G238" s="94"/>
      <c r="H238" s="94"/>
      <c r="I238" s="94"/>
      <c r="J238" s="96"/>
      <c r="K238" s="96"/>
      <c r="L238" s="94"/>
      <c r="M238" s="94"/>
      <c r="N238" s="95"/>
      <c r="O238" s="96"/>
      <c r="P238" s="96"/>
      <c r="Q238" s="94"/>
      <c r="R238" s="106"/>
      <c r="S238" s="106"/>
      <c r="T238" s="106"/>
      <c r="U238" s="106"/>
      <c r="V238" s="231"/>
    </row>
    <row r="239" spans="1:22" ht="24.95" customHeight="1">
      <c r="A239" s="91"/>
      <c r="B239" s="92"/>
      <c r="C239" s="93"/>
      <c r="D239" s="94"/>
      <c r="E239" s="94"/>
      <c r="F239" s="94"/>
      <c r="G239" s="94"/>
      <c r="H239" s="94"/>
      <c r="I239" s="94"/>
      <c r="J239" s="96"/>
      <c r="K239" s="96"/>
      <c r="L239" s="94"/>
      <c r="M239" s="94"/>
      <c r="N239" s="95"/>
      <c r="O239" s="96"/>
      <c r="P239" s="96"/>
      <c r="Q239" s="94"/>
      <c r="R239" s="106"/>
      <c r="S239" s="106"/>
      <c r="T239" s="106"/>
      <c r="U239" s="106"/>
      <c r="V239" s="231"/>
    </row>
    <row r="240" spans="1:22" ht="24.95" customHeight="1">
      <c r="A240" s="91"/>
      <c r="B240" s="92"/>
      <c r="C240" s="93"/>
      <c r="D240" s="94"/>
      <c r="E240" s="94"/>
      <c r="F240" s="94"/>
      <c r="G240" s="94"/>
      <c r="H240" s="94"/>
      <c r="I240" s="94"/>
      <c r="J240" s="96"/>
      <c r="K240" s="96"/>
      <c r="L240" s="94"/>
      <c r="M240" s="94"/>
      <c r="N240" s="95"/>
      <c r="O240" s="96"/>
      <c r="P240" s="96"/>
      <c r="Q240" s="94"/>
      <c r="R240" s="106"/>
      <c r="S240" s="106"/>
      <c r="T240" s="106"/>
      <c r="U240" s="106"/>
      <c r="V240" s="231"/>
    </row>
    <row r="241" spans="1:22" ht="24.95" customHeight="1">
      <c r="A241" s="91"/>
      <c r="B241" s="92"/>
      <c r="C241" s="93"/>
      <c r="D241" s="94"/>
      <c r="E241" s="94"/>
      <c r="F241" s="94"/>
      <c r="G241" s="94"/>
      <c r="H241" s="94"/>
      <c r="I241" s="94"/>
      <c r="J241" s="96"/>
      <c r="K241" s="96"/>
      <c r="L241" s="94"/>
      <c r="M241" s="94"/>
      <c r="N241" s="95"/>
      <c r="O241" s="96"/>
      <c r="P241" s="96"/>
      <c r="Q241" s="94"/>
      <c r="R241" s="106"/>
      <c r="S241" s="106"/>
      <c r="T241" s="106"/>
      <c r="U241" s="106"/>
      <c r="V241" s="231"/>
    </row>
    <row r="242" spans="1:22" ht="24.95" customHeight="1">
      <c r="A242" s="91"/>
      <c r="B242" s="92"/>
      <c r="C242" s="93"/>
      <c r="D242" s="94"/>
      <c r="E242" s="94"/>
      <c r="F242" s="94"/>
      <c r="G242" s="94"/>
      <c r="H242" s="94"/>
      <c r="I242" s="94"/>
      <c r="J242" s="96"/>
      <c r="K242" s="96"/>
      <c r="L242" s="94"/>
      <c r="M242" s="94"/>
      <c r="N242" s="95"/>
      <c r="O242" s="96"/>
      <c r="P242" s="96"/>
      <c r="Q242" s="94"/>
      <c r="R242" s="106"/>
      <c r="S242" s="106"/>
      <c r="T242" s="106"/>
      <c r="U242" s="106"/>
      <c r="V242" s="231"/>
    </row>
    <row r="243" spans="1:22" ht="24.95" customHeight="1">
      <c r="A243" s="91"/>
      <c r="B243" s="92"/>
      <c r="C243" s="93"/>
      <c r="D243" s="94"/>
      <c r="E243" s="94"/>
      <c r="F243" s="94"/>
      <c r="G243" s="94"/>
      <c r="H243" s="94"/>
      <c r="I243" s="94"/>
      <c r="J243" s="96"/>
      <c r="K243" s="96"/>
      <c r="L243" s="94"/>
      <c r="M243" s="94"/>
      <c r="N243" s="95"/>
      <c r="O243" s="96"/>
      <c r="P243" s="96"/>
      <c r="Q243" s="94"/>
      <c r="R243" s="106"/>
      <c r="S243" s="106"/>
      <c r="T243" s="106"/>
      <c r="U243" s="106"/>
      <c r="V243" s="231"/>
    </row>
    <row r="244" spans="1:22" ht="24.95" customHeight="1">
      <c r="A244" s="91"/>
      <c r="B244" s="92"/>
      <c r="C244" s="93"/>
      <c r="D244" s="94"/>
      <c r="E244" s="94"/>
      <c r="F244" s="94"/>
      <c r="G244" s="94"/>
      <c r="H244" s="94"/>
      <c r="I244" s="94"/>
      <c r="J244" s="96"/>
      <c r="K244" s="96"/>
      <c r="L244" s="94"/>
      <c r="M244" s="94"/>
      <c r="N244" s="95"/>
      <c r="O244" s="96"/>
      <c r="P244" s="96"/>
      <c r="Q244" s="94"/>
      <c r="R244" s="106"/>
      <c r="S244" s="106"/>
      <c r="T244" s="106"/>
      <c r="U244" s="106"/>
      <c r="V244" s="231"/>
    </row>
    <row r="245" spans="1:22" ht="24.95" customHeight="1">
      <c r="A245" s="91"/>
      <c r="B245" s="92"/>
      <c r="C245" s="93"/>
      <c r="D245" s="94"/>
      <c r="E245" s="94"/>
      <c r="F245" s="94"/>
      <c r="G245" s="94"/>
      <c r="H245" s="94"/>
      <c r="I245" s="94"/>
      <c r="J245" s="96"/>
      <c r="K245" s="96"/>
      <c r="L245" s="94"/>
      <c r="M245" s="94"/>
      <c r="N245" s="95"/>
      <c r="O245" s="96"/>
      <c r="P245" s="96"/>
      <c r="Q245" s="94"/>
      <c r="R245" s="106"/>
      <c r="S245" s="106"/>
      <c r="T245" s="106"/>
      <c r="U245" s="106"/>
      <c r="V245" s="231"/>
    </row>
    <row r="246" spans="1:22" ht="24.95" customHeight="1">
      <c r="A246" s="91"/>
      <c r="B246" s="92"/>
      <c r="C246" s="93"/>
      <c r="D246" s="94"/>
      <c r="E246" s="94"/>
      <c r="F246" s="94"/>
      <c r="G246" s="94"/>
      <c r="H246" s="94"/>
      <c r="I246" s="94"/>
      <c r="J246" s="96"/>
      <c r="K246" s="96"/>
      <c r="L246" s="94"/>
      <c r="M246" s="94"/>
      <c r="N246" s="95"/>
      <c r="O246" s="96"/>
      <c r="P246" s="96"/>
      <c r="Q246" s="94"/>
      <c r="R246" s="106"/>
      <c r="S246" s="106"/>
      <c r="T246" s="106"/>
      <c r="U246" s="106"/>
      <c r="V246" s="231"/>
    </row>
    <row r="247" spans="1:22" ht="24.95" customHeight="1">
      <c r="A247" s="91"/>
      <c r="B247" s="92"/>
      <c r="C247" s="93"/>
      <c r="D247" s="94"/>
      <c r="E247" s="94"/>
      <c r="F247" s="94"/>
      <c r="G247" s="94"/>
      <c r="H247" s="94"/>
      <c r="I247" s="94"/>
      <c r="J247" s="96"/>
      <c r="K247" s="96"/>
      <c r="L247" s="94"/>
      <c r="M247" s="94"/>
      <c r="N247" s="95"/>
      <c r="O247" s="96"/>
      <c r="P247" s="96"/>
      <c r="Q247" s="94"/>
      <c r="R247" s="106"/>
      <c r="S247" s="106"/>
      <c r="T247" s="106"/>
      <c r="U247" s="106"/>
      <c r="V247" s="231"/>
    </row>
    <row r="248" spans="1:22" ht="24.95" customHeight="1">
      <c r="A248" s="91"/>
      <c r="B248" s="92"/>
      <c r="C248" s="93"/>
      <c r="D248" s="94"/>
      <c r="E248" s="94"/>
      <c r="F248" s="94"/>
      <c r="G248" s="94"/>
      <c r="H248" s="94"/>
      <c r="I248" s="94"/>
      <c r="J248" s="96"/>
      <c r="K248" s="96"/>
      <c r="L248" s="94"/>
      <c r="M248" s="94"/>
      <c r="N248" s="95"/>
      <c r="O248" s="96"/>
      <c r="P248" s="96"/>
      <c r="Q248" s="94"/>
      <c r="R248" s="106"/>
      <c r="S248" s="106"/>
      <c r="T248" s="106"/>
      <c r="U248" s="106"/>
      <c r="V248" s="231"/>
    </row>
    <row r="249" spans="1:22" ht="24.95" customHeight="1">
      <c r="A249" s="91"/>
      <c r="B249" s="92"/>
      <c r="C249" s="93"/>
      <c r="D249" s="94"/>
      <c r="E249" s="94"/>
      <c r="F249" s="94"/>
      <c r="G249" s="94"/>
      <c r="H249" s="94"/>
      <c r="I249" s="94"/>
      <c r="J249" s="96"/>
      <c r="K249" s="96"/>
      <c r="L249" s="94"/>
      <c r="M249" s="94"/>
      <c r="N249" s="95"/>
      <c r="O249" s="96"/>
      <c r="P249" s="96"/>
      <c r="Q249" s="94"/>
      <c r="R249" s="106"/>
      <c r="S249" s="106"/>
      <c r="T249" s="106"/>
      <c r="U249" s="106"/>
      <c r="V249" s="231"/>
    </row>
    <row r="250" spans="1:22" ht="24.95" customHeight="1">
      <c r="A250" s="91"/>
      <c r="B250" s="92"/>
      <c r="C250" s="93"/>
      <c r="D250" s="94"/>
      <c r="E250" s="94"/>
      <c r="F250" s="94"/>
      <c r="G250" s="94"/>
      <c r="H250" s="94"/>
      <c r="I250" s="94"/>
      <c r="J250" s="96"/>
      <c r="K250" s="96"/>
      <c r="L250" s="94"/>
      <c r="M250" s="94"/>
      <c r="N250" s="95"/>
      <c r="O250" s="96"/>
      <c r="P250" s="96"/>
      <c r="Q250" s="94"/>
      <c r="R250" s="106"/>
      <c r="S250" s="106"/>
      <c r="T250" s="106"/>
      <c r="U250" s="106"/>
      <c r="V250" s="231"/>
    </row>
    <row r="251" spans="1:22" ht="24.95" customHeight="1">
      <c r="A251" s="91"/>
      <c r="B251" s="92"/>
      <c r="C251" s="93"/>
      <c r="D251" s="94"/>
      <c r="E251" s="94"/>
      <c r="F251" s="94"/>
      <c r="G251" s="94"/>
      <c r="H251" s="94"/>
      <c r="I251" s="94"/>
      <c r="J251" s="96"/>
      <c r="K251" s="96"/>
      <c r="L251" s="94"/>
      <c r="M251" s="94"/>
      <c r="N251" s="95"/>
      <c r="O251" s="96"/>
      <c r="P251" s="96"/>
      <c r="Q251" s="94"/>
      <c r="R251" s="106"/>
      <c r="S251" s="106"/>
      <c r="T251" s="106"/>
      <c r="U251" s="106"/>
      <c r="V251" s="231"/>
    </row>
    <row r="252" spans="1:22" ht="24.95" customHeight="1">
      <c r="A252" s="91"/>
      <c r="B252" s="92"/>
      <c r="C252" s="93"/>
      <c r="D252" s="94"/>
      <c r="E252" s="94"/>
      <c r="F252" s="94"/>
      <c r="G252" s="94"/>
      <c r="H252" s="94"/>
      <c r="I252" s="94"/>
      <c r="J252" s="96"/>
      <c r="K252" s="96"/>
      <c r="L252" s="94"/>
      <c r="M252" s="94"/>
      <c r="N252" s="95"/>
      <c r="O252" s="96"/>
      <c r="P252" s="96"/>
      <c r="Q252" s="94"/>
      <c r="R252" s="106"/>
      <c r="S252" s="106"/>
      <c r="T252" s="106"/>
      <c r="U252" s="106"/>
      <c r="V252" s="231"/>
    </row>
    <row r="253" spans="1:22" ht="24.95" customHeight="1">
      <c r="A253" s="91"/>
      <c r="B253" s="92"/>
      <c r="C253" s="93"/>
      <c r="D253" s="94"/>
      <c r="E253" s="94"/>
      <c r="F253" s="94"/>
      <c r="G253" s="94"/>
      <c r="H253" s="94"/>
      <c r="I253" s="94"/>
      <c r="J253" s="96"/>
      <c r="K253" s="96"/>
      <c r="L253" s="94"/>
      <c r="M253" s="94"/>
      <c r="N253" s="95"/>
      <c r="O253" s="96"/>
      <c r="P253" s="96"/>
      <c r="Q253" s="94"/>
      <c r="R253" s="106"/>
      <c r="S253" s="106"/>
      <c r="T253" s="106"/>
      <c r="U253" s="106"/>
      <c r="V253" s="231"/>
    </row>
    <row r="254" spans="1:22" ht="24.95" customHeight="1">
      <c r="A254" s="91"/>
      <c r="B254" s="92"/>
      <c r="C254" s="93"/>
      <c r="D254" s="94"/>
      <c r="E254" s="94"/>
      <c r="F254" s="94"/>
      <c r="G254" s="94"/>
      <c r="H254" s="94"/>
      <c r="I254" s="94"/>
      <c r="J254" s="96"/>
      <c r="K254" s="96"/>
      <c r="L254" s="94"/>
      <c r="M254" s="94"/>
      <c r="N254" s="95"/>
      <c r="O254" s="96"/>
      <c r="P254" s="96"/>
      <c r="Q254" s="94"/>
      <c r="R254" s="106"/>
      <c r="S254" s="106"/>
      <c r="T254" s="106"/>
      <c r="U254" s="106"/>
      <c r="V254" s="231"/>
    </row>
    <row r="255" spans="1:22" ht="24.95" customHeight="1">
      <c r="A255" s="91"/>
      <c r="B255" s="92"/>
      <c r="C255" s="93"/>
      <c r="D255" s="94"/>
      <c r="E255" s="94"/>
      <c r="F255" s="94"/>
      <c r="G255" s="94"/>
      <c r="H255" s="94"/>
      <c r="I255" s="94"/>
      <c r="J255" s="96"/>
      <c r="K255" s="96"/>
      <c r="L255" s="94"/>
      <c r="M255" s="94"/>
      <c r="N255" s="95"/>
      <c r="O255" s="96"/>
      <c r="P255" s="96"/>
      <c r="Q255" s="94"/>
      <c r="R255" s="106"/>
      <c r="S255" s="106"/>
      <c r="T255" s="106"/>
      <c r="U255" s="106"/>
      <c r="V255" s="231"/>
    </row>
    <row r="256" spans="1:22" ht="24.95" customHeight="1">
      <c r="A256" s="91"/>
      <c r="B256" s="92"/>
      <c r="C256" s="93"/>
      <c r="D256" s="94"/>
      <c r="E256" s="94"/>
      <c r="F256" s="94"/>
      <c r="G256" s="94"/>
      <c r="H256" s="94"/>
      <c r="I256" s="94"/>
      <c r="J256" s="96"/>
      <c r="K256" s="96"/>
      <c r="L256" s="94"/>
      <c r="M256" s="94"/>
      <c r="N256" s="95"/>
      <c r="O256" s="96"/>
      <c r="P256" s="96"/>
      <c r="Q256" s="94"/>
      <c r="R256" s="106"/>
      <c r="S256" s="106"/>
      <c r="T256" s="106"/>
      <c r="U256" s="106"/>
      <c r="V256" s="231"/>
    </row>
    <row r="257" spans="1:22" ht="24.95" customHeight="1">
      <c r="A257" s="91"/>
      <c r="B257" s="92"/>
      <c r="C257" s="93"/>
      <c r="D257" s="94"/>
      <c r="E257" s="94"/>
      <c r="F257" s="94"/>
      <c r="G257" s="94"/>
      <c r="H257" s="94"/>
      <c r="I257" s="94"/>
      <c r="J257" s="96"/>
      <c r="K257" s="96"/>
      <c r="L257" s="94"/>
      <c r="M257" s="94"/>
      <c r="N257" s="95"/>
      <c r="O257" s="96"/>
      <c r="P257" s="96"/>
      <c r="Q257" s="94"/>
      <c r="R257" s="106"/>
      <c r="S257" s="106"/>
      <c r="T257" s="106"/>
      <c r="U257" s="106"/>
      <c r="V257" s="231"/>
    </row>
    <row r="258" spans="1:22" ht="24.95" customHeight="1">
      <c r="A258" s="91"/>
      <c r="B258" s="92"/>
      <c r="C258" s="93"/>
      <c r="D258" s="94"/>
      <c r="E258" s="94"/>
      <c r="F258" s="94"/>
      <c r="G258" s="94"/>
      <c r="H258" s="94"/>
      <c r="I258" s="94"/>
      <c r="J258" s="96"/>
      <c r="K258" s="96"/>
      <c r="L258" s="94"/>
      <c r="M258" s="94"/>
      <c r="N258" s="95"/>
      <c r="O258" s="96"/>
      <c r="P258" s="96"/>
      <c r="Q258" s="94"/>
      <c r="R258" s="106"/>
      <c r="S258" s="106"/>
      <c r="T258" s="106"/>
      <c r="U258" s="106"/>
      <c r="V258" s="231"/>
    </row>
    <row r="259" spans="1:22" ht="24.95" customHeight="1">
      <c r="A259" s="91"/>
      <c r="B259" s="92"/>
      <c r="C259" s="93"/>
      <c r="D259" s="94"/>
      <c r="E259" s="94"/>
      <c r="F259" s="94"/>
      <c r="G259" s="94"/>
      <c r="H259" s="94"/>
      <c r="I259" s="94"/>
      <c r="J259" s="96"/>
      <c r="K259" s="96"/>
      <c r="L259" s="94"/>
      <c r="M259" s="94"/>
      <c r="N259" s="95"/>
      <c r="O259" s="96"/>
      <c r="P259" s="96"/>
      <c r="Q259" s="94"/>
      <c r="R259" s="106"/>
      <c r="S259" s="106"/>
      <c r="T259" s="106"/>
      <c r="U259" s="106"/>
      <c r="V259" s="231"/>
    </row>
    <row r="260" spans="1:22" ht="24.95" customHeight="1">
      <c r="A260" s="91"/>
      <c r="B260" s="92"/>
      <c r="C260" s="93"/>
      <c r="D260" s="94"/>
      <c r="E260" s="94"/>
      <c r="F260" s="94"/>
      <c r="G260" s="94"/>
      <c r="H260" s="94"/>
      <c r="I260" s="94"/>
      <c r="J260" s="96"/>
      <c r="K260" s="96"/>
      <c r="L260" s="94"/>
      <c r="M260" s="94"/>
      <c r="N260" s="95"/>
      <c r="O260" s="96"/>
      <c r="P260" s="96"/>
      <c r="Q260" s="94"/>
      <c r="R260" s="106"/>
      <c r="S260" s="106"/>
      <c r="T260" s="106"/>
      <c r="U260" s="106"/>
      <c r="V260" s="231"/>
    </row>
    <row r="261" spans="1:22" ht="24.95" customHeight="1">
      <c r="A261" s="91"/>
      <c r="B261" s="92"/>
      <c r="C261" s="93"/>
      <c r="D261" s="94"/>
      <c r="E261" s="94"/>
      <c r="F261" s="94"/>
      <c r="G261" s="94"/>
      <c r="H261" s="94"/>
      <c r="I261" s="94"/>
      <c r="J261" s="96"/>
      <c r="K261" s="96"/>
      <c r="L261" s="94"/>
      <c r="M261" s="94"/>
      <c r="N261" s="95"/>
      <c r="O261" s="96"/>
      <c r="P261" s="96"/>
      <c r="Q261" s="94"/>
      <c r="R261" s="106"/>
      <c r="S261" s="106"/>
      <c r="T261" s="106"/>
      <c r="U261" s="106"/>
      <c r="V261" s="231"/>
    </row>
    <row r="262" spans="1:22" ht="24.95" customHeight="1">
      <c r="A262" s="91"/>
      <c r="B262" s="92"/>
      <c r="C262" s="93"/>
      <c r="D262" s="94"/>
      <c r="E262" s="94"/>
      <c r="F262" s="94"/>
      <c r="G262" s="94"/>
      <c r="H262" s="94"/>
      <c r="I262" s="94"/>
      <c r="J262" s="96"/>
      <c r="K262" s="96"/>
      <c r="L262" s="94"/>
      <c r="M262" s="94"/>
      <c r="N262" s="95"/>
      <c r="O262" s="96"/>
      <c r="P262" s="96"/>
      <c r="Q262" s="94"/>
      <c r="R262" s="106"/>
      <c r="S262" s="106"/>
      <c r="T262" s="106"/>
      <c r="U262" s="106"/>
      <c r="V262" s="231"/>
    </row>
    <row r="263" spans="1:22" ht="24.95" customHeight="1">
      <c r="A263" s="91"/>
      <c r="B263" s="92"/>
      <c r="C263" s="93"/>
      <c r="D263" s="94"/>
      <c r="E263" s="94"/>
      <c r="F263" s="94"/>
      <c r="G263" s="94"/>
      <c r="H263" s="94"/>
      <c r="I263" s="94"/>
      <c r="J263" s="96"/>
      <c r="K263" s="96"/>
      <c r="L263" s="94"/>
      <c r="M263" s="94"/>
      <c r="N263" s="95"/>
      <c r="O263" s="96"/>
      <c r="P263" s="96"/>
      <c r="Q263" s="94"/>
      <c r="R263" s="106"/>
      <c r="S263" s="106"/>
      <c r="T263" s="106"/>
      <c r="U263" s="106"/>
      <c r="V263" s="231"/>
    </row>
    <row r="264" spans="1:22" ht="24.95" customHeight="1">
      <c r="A264" s="91"/>
      <c r="B264" s="92"/>
      <c r="C264" s="93"/>
      <c r="D264" s="94"/>
      <c r="E264" s="94"/>
      <c r="F264" s="94"/>
      <c r="G264" s="94"/>
      <c r="H264" s="94"/>
      <c r="I264" s="94"/>
      <c r="J264" s="96"/>
      <c r="K264" s="96"/>
      <c r="L264" s="94"/>
      <c r="M264" s="94"/>
      <c r="N264" s="95"/>
      <c r="O264" s="96"/>
      <c r="P264" s="96"/>
      <c r="Q264" s="94"/>
      <c r="R264" s="106"/>
      <c r="S264" s="106"/>
      <c r="T264" s="106"/>
      <c r="U264" s="106"/>
      <c r="V264" s="231"/>
    </row>
    <row r="265" spans="1:22" ht="24.95" customHeight="1">
      <c r="A265" s="91"/>
      <c r="B265" s="92"/>
      <c r="C265" s="93"/>
      <c r="D265" s="94"/>
      <c r="E265" s="94"/>
      <c r="F265" s="94"/>
      <c r="G265" s="94"/>
      <c r="H265" s="94"/>
      <c r="I265" s="94"/>
      <c r="J265" s="96"/>
      <c r="K265" s="96"/>
      <c r="L265" s="94"/>
      <c r="M265" s="94"/>
      <c r="N265" s="95"/>
      <c r="O265" s="96"/>
      <c r="P265" s="96"/>
      <c r="Q265" s="94"/>
      <c r="R265" s="106"/>
      <c r="S265" s="106"/>
      <c r="T265" s="106"/>
      <c r="U265" s="106"/>
      <c r="V265" s="231"/>
    </row>
    <row r="266" spans="1:22" ht="24.95" customHeight="1">
      <c r="A266" s="91"/>
      <c r="B266" s="92"/>
      <c r="C266" s="93"/>
      <c r="D266" s="94"/>
      <c r="E266" s="94"/>
      <c r="F266" s="94"/>
      <c r="G266" s="94"/>
      <c r="H266" s="94"/>
      <c r="I266" s="94"/>
      <c r="J266" s="96"/>
      <c r="K266" s="96"/>
      <c r="L266" s="94"/>
      <c r="M266" s="94"/>
      <c r="N266" s="95"/>
      <c r="O266" s="96"/>
      <c r="P266" s="96"/>
      <c r="Q266" s="94"/>
      <c r="R266" s="106"/>
      <c r="S266" s="106"/>
      <c r="T266" s="106"/>
      <c r="U266" s="106"/>
      <c r="V266" s="231"/>
    </row>
    <row r="267" spans="1:22" ht="24.95" customHeight="1">
      <c r="A267" s="91"/>
      <c r="B267" s="92"/>
      <c r="C267" s="93"/>
      <c r="D267" s="94"/>
      <c r="E267" s="94"/>
      <c r="F267" s="94"/>
      <c r="G267" s="94"/>
      <c r="H267" s="94"/>
      <c r="I267" s="94"/>
      <c r="J267" s="96"/>
      <c r="K267" s="96"/>
      <c r="L267" s="94"/>
      <c r="M267" s="94"/>
      <c r="N267" s="95"/>
      <c r="O267" s="96"/>
      <c r="P267" s="96"/>
      <c r="Q267" s="94"/>
      <c r="R267" s="106"/>
      <c r="S267" s="106"/>
      <c r="T267" s="106"/>
      <c r="U267" s="106"/>
      <c r="V267" s="231"/>
    </row>
    <row r="268" spans="1:22" ht="24.95" customHeight="1">
      <c r="A268" s="91"/>
      <c r="B268" s="92"/>
      <c r="C268" s="93"/>
      <c r="D268" s="94"/>
      <c r="E268" s="94"/>
      <c r="F268" s="94"/>
      <c r="G268" s="94"/>
      <c r="H268" s="94"/>
      <c r="I268" s="94"/>
      <c r="J268" s="96"/>
      <c r="K268" s="96"/>
      <c r="L268" s="94"/>
      <c r="M268" s="94"/>
      <c r="N268" s="95"/>
      <c r="O268" s="96"/>
      <c r="P268" s="96"/>
      <c r="Q268" s="94"/>
      <c r="R268" s="106"/>
      <c r="S268" s="106"/>
      <c r="T268" s="106"/>
      <c r="U268" s="106"/>
      <c r="V268" s="231"/>
    </row>
    <row r="269" spans="1:22" ht="24.95" customHeight="1">
      <c r="A269" s="91"/>
      <c r="B269" s="92"/>
      <c r="C269" s="93"/>
      <c r="D269" s="94"/>
      <c r="E269" s="94"/>
      <c r="F269" s="94"/>
      <c r="G269" s="94"/>
      <c r="H269" s="94"/>
      <c r="I269" s="94"/>
      <c r="J269" s="96"/>
      <c r="K269" s="96"/>
      <c r="L269" s="94"/>
      <c r="M269" s="94"/>
      <c r="N269" s="95"/>
      <c r="O269" s="96"/>
      <c r="P269" s="96"/>
      <c r="Q269" s="94"/>
      <c r="R269" s="106"/>
      <c r="S269" s="106"/>
      <c r="T269" s="106"/>
      <c r="U269" s="106"/>
      <c r="V269" s="231"/>
    </row>
    <row r="270" spans="1:22" ht="24.95" customHeight="1">
      <c r="A270" s="91"/>
      <c r="B270" s="92"/>
      <c r="C270" s="93"/>
      <c r="D270" s="94"/>
      <c r="E270" s="94"/>
      <c r="F270" s="94"/>
      <c r="G270" s="94"/>
      <c r="H270" s="94"/>
      <c r="I270" s="94"/>
      <c r="J270" s="96"/>
      <c r="K270" s="96"/>
      <c r="L270" s="94"/>
      <c r="M270" s="94"/>
      <c r="N270" s="95"/>
      <c r="O270" s="96"/>
      <c r="P270" s="96"/>
      <c r="Q270" s="94"/>
      <c r="R270" s="106"/>
      <c r="S270" s="106"/>
      <c r="T270" s="106"/>
      <c r="U270" s="106"/>
      <c r="V270" s="231"/>
    </row>
    <row r="271" spans="1:22" ht="24.95" customHeight="1">
      <c r="A271" s="91"/>
      <c r="B271" s="92"/>
      <c r="C271" s="93"/>
      <c r="D271" s="94"/>
      <c r="E271" s="94"/>
      <c r="F271" s="94"/>
      <c r="G271" s="94"/>
      <c r="H271" s="94"/>
      <c r="I271" s="94"/>
      <c r="J271" s="96"/>
      <c r="K271" s="96"/>
      <c r="L271" s="94"/>
      <c r="M271" s="94"/>
      <c r="N271" s="95"/>
      <c r="O271" s="96"/>
      <c r="P271" s="96"/>
      <c r="Q271" s="94"/>
      <c r="R271" s="106"/>
      <c r="S271" s="106"/>
      <c r="T271" s="106"/>
      <c r="U271" s="106"/>
      <c r="V271" s="231"/>
    </row>
    <row r="272" spans="1:22" ht="24.95" customHeight="1">
      <c r="A272" s="91"/>
      <c r="B272" s="92"/>
      <c r="C272" s="93"/>
      <c r="D272" s="94"/>
      <c r="E272" s="94"/>
      <c r="F272" s="94"/>
      <c r="G272" s="94"/>
      <c r="H272" s="94"/>
      <c r="I272" s="94"/>
      <c r="J272" s="96"/>
      <c r="K272" s="96"/>
      <c r="L272" s="94"/>
      <c r="M272" s="94"/>
      <c r="N272" s="95"/>
      <c r="O272" s="96"/>
      <c r="P272" s="96"/>
      <c r="Q272" s="94"/>
      <c r="R272" s="106"/>
      <c r="S272" s="106"/>
      <c r="T272" s="106"/>
      <c r="U272" s="106"/>
      <c r="V272" s="231"/>
    </row>
    <row r="273" spans="1:22" ht="24.95" customHeight="1">
      <c r="A273" s="91"/>
      <c r="B273" s="92"/>
      <c r="C273" s="93"/>
      <c r="D273" s="94"/>
      <c r="E273" s="94"/>
      <c r="F273" s="94"/>
      <c r="G273" s="94"/>
      <c r="H273" s="94"/>
      <c r="I273" s="94"/>
      <c r="J273" s="96"/>
      <c r="K273" s="96"/>
      <c r="L273" s="94"/>
      <c r="M273" s="94"/>
      <c r="N273" s="95"/>
      <c r="O273" s="96"/>
      <c r="P273" s="96"/>
      <c r="Q273" s="94"/>
      <c r="R273" s="106"/>
      <c r="S273" s="106"/>
      <c r="T273" s="106"/>
      <c r="U273" s="106"/>
      <c r="V273" s="231"/>
    </row>
    <row r="274" spans="1:22" ht="24.95" customHeight="1">
      <c r="A274" s="91"/>
      <c r="B274" s="92"/>
      <c r="C274" s="93"/>
      <c r="D274" s="94"/>
      <c r="E274" s="94"/>
      <c r="F274" s="94"/>
      <c r="G274" s="94"/>
      <c r="H274" s="94"/>
      <c r="I274" s="94"/>
      <c r="J274" s="96"/>
      <c r="K274" s="96"/>
      <c r="L274" s="94"/>
      <c r="M274" s="94"/>
      <c r="N274" s="95"/>
      <c r="O274" s="96"/>
      <c r="P274" s="96"/>
      <c r="Q274" s="94"/>
      <c r="R274" s="106"/>
      <c r="S274" s="106"/>
      <c r="T274" s="106"/>
      <c r="U274" s="106"/>
      <c r="V274" s="231"/>
    </row>
    <row r="275" spans="1:22" ht="24.95" customHeight="1">
      <c r="A275" s="91"/>
      <c r="B275" s="92"/>
      <c r="C275" s="93"/>
      <c r="D275" s="94"/>
      <c r="E275" s="94"/>
      <c r="F275" s="94"/>
      <c r="G275" s="94"/>
      <c r="H275" s="94"/>
      <c r="I275" s="94"/>
      <c r="J275" s="96"/>
      <c r="K275" s="96"/>
      <c r="L275" s="94"/>
      <c r="M275" s="94"/>
      <c r="N275" s="95"/>
      <c r="O275" s="96"/>
      <c r="P275" s="96"/>
      <c r="Q275" s="94"/>
      <c r="R275" s="106"/>
      <c r="S275" s="106"/>
      <c r="T275" s="106"/>
      <c r="U275" s="106"/>
      <c r="V275" s="231"/>
    </row>
    <row r="276" spans="1:22" ht="24.95" customHeight="1">
      <c r="A276" s="91"/>
      <c r="B276" s="92"/>
      <c r="C276" s="93"/>
      <c r="D276" s="94"/>
      <c r="E276" s="94"/>
      <c r="F276" s="94"/>
      <c r="G276" s="94"/>
      <c r="H276" s="94"/>
      <c r="I276" s="94"/>
      <c r="J276" s="96"/>
      <c r="K276" s="96"/>
      <c r="L276" s="94"/>
      <c r="M276" s="94"/>
      <c r="N276" s="95"/>
      <c r="O276" s="96"/>
      <c r="P276" s="96"/>
      <c r="Q276" s="94"/>
      <c r="R276" s="106"/>
      <c r="S276" s="106"/>
      <c r="T276" s="106"/>
      <c r="U276" s="106"/>
      <c r="V276" s="231"/>
    </row>
    <row r="277" spans="1:22" ht="24.95" customHeight="1">
      <c r="A277" s="91"/>
      <c r="B277" s="92"/>
      <c r="C277" s="93"/>
      <c r="D277" s="94"/>
      <c r="E277" s="94"/>
      <c r="F277" s="94"/>
      <c r="G277" s="94"/>
      <c r="H277" s="94"/>
      <c r="I277" s="94"/>
      <c r="J277" s="96"/>
      <c r="K277" s="96"/>
      <c r="L277" s="94"/>
      <c r="M277" s="94"/>
      <c r="N277" s="95"/>
      <c r="O277" s="96"/>
      <c r="P277" s="96"/>
      <c r="Q277" s="94"/>
      <c r="R277" s="106"/>
      <c r="S277" s="106"/>
      <c r="T277" s="106"/>
      <c r="U277" s="106"/>
      <c r="V277" s="231"/>
    </row>
    <row r="278" spans="1:22" ht="24.95" customHeight="1">
      <c r="A278" s="91"/>
      <c r="B278" s="92"/>
      <c r="C278" s="93"/>
      <c r="D278" s="94"/>
      <c r="E278" s="94"/>
      <c r="F278" s="94"/>
      <c r="G278" s="94"/>
      <c r="H278" s="94"/>
      <c r="I278" s="94"/>
      <c r="J278" s="96"/>
      <c r="K278" s="96"/>
      <c r="L278" s="94"/>
      <c r="M278" s="94"/>
      <c r="N278" s="95"/>
      <c r="O278" s="96"/>
      <c r="P278" s="96"/>
      <c r="Q278" s="94"/>
      <c r="R278" s="106"/>
      <c r="S278" s="106"/>
      <c r="T278" s="106"/>
      <c r="U278" s="106"/>
      <c r="V278" s="231"/>
    </row>
    <row r="279" spans="1:22" ht="24.95" customHeight="1">
      <c r="A279" s="91"/>
      <c r="B279" s="92"/>
      <c r="C279" s="93"/>
      <c r="D279" s="94"/>
      <c r="E279" s="94"/>
      <c r="F279" s="94"/>
      <c r="G279" s="94"/>
      <c r="H279" s="94"/>
      <c r="I279" s="94"/>
      <c r="J279" s="96"/>
      <c r="K279" s="96"/>
      <c r="L279" s="94"/>
      <c r="M279" s="94"/>
      <c r="N279" s="95"/>
      <c r="O279" s="96"/>
      <c r="P279" s="96"/>
      <c r="Q279" s="94"/>
      <c r="R279" s="106"/>
      <c r="S279" s="106"/>
      <c r="T279" s="106"/>
      <c r="U279" s="106"/>
      <c r="V279" s="231"/>
    </row>
    <row r="280" spans="1:22" ht="24.95" customHeight="1">
      <c r="A280" s="91"/>
      <c r="B280" s="92"/>
      <c r="C280" s="93"/>
      <c r="D280" s="94"/>
      <c r="E280" s="94"/>
      <c r="F280" s="94"/>
      <c r="G280" s="94"/>
      <c r="H280" s="94"/>
      <c r="I280" s="94"/>
      <c r="J280" s="96"/>
      <c r="K280" s="96"/>
      <c r="L280" s="94"/>
      <c r="M280" s="94"/>
      <c r="N280" s="95"/>
      <c r="O280" s="96"/>
      <c r="P280" s="96"/>
      <c r="Q280" s="94"/>
      <c r="R280" s="106"/>
      <c r="S280" s="106"/>
      <c r="T280" s="106"/>
      <c r="U280" s="106"/>
      <c r="V280" s="231"/>
    </row>
    <row r="281" spans="1:22" ht="24.95" customHeight="1">
      <c r="A281" s="91"/>
      <c r="B281" s="92"/>
      <c r="C281" s="93"/>
      <c r="D281" s="94"/>
      <c r="E281" s="94"/>
      <c r="F281" s="94"/>
      <c r="G281" s="94"/>
      <c r="H281" s="94"/>
      <c r="I281" s="94"/>
      <c r="J281" s="96"/>
      <c r="K281" s="96"/>
      <c r="L281" s="94"/>
      <c r="M281" s="94"/>
      <c r="N281" s="95"/>
      <c r="O281" s="96"/>
      <c r="P281" s="96"/>
      <c r="Q281" s="94"/>
      <c r="R281" s="106"/>
      <c r="S281" s="106"/>
      <c r="T281" s="106"/>
      <c r="U281" s="106"/>
      <c r="V281" s="231"/>
    </row>
    <row r="282" spans="1:22" ht="24.95" customHeight="1">
      <c r="A282" s="91"/>
      <c r="B282" s="92"/>
      <c r="C282" s="93"/>
      <c r="D282" s="94"/>
      <c r="E282" s="94"/>
      <c r="F282" s="94"/>
      <c r="G282" s="94"/>
      <c r="H282" s="94"/>
      <c r="I282" s="94"/>
      <c r="J282" s="96"/>
      <c r="K282" s="96"/>
      <c r="L282" s="94"/>
      <c r="M282" s="94"/>
      <c r="N282" s="95"/>
      <c r="O282" s="96"/>
      <c r="P282" s="96"/>
      <c r="Q282" s="94"/>
      <c r="R282" s="106"/>
      <c r="S282" s="106"/>
      <c r="T282" s="106"/>
      <c r="U282" s="106"/>
      <c r="V282" s="231"/>
    </row>
    <row r="283" spans="1:22" ht="24.95" customHeight="1">
      <c r="A283" s="91"/>
      <c r="B283" s="92"/>
      <c r="C283" s="93"/>
      <c r="D283" s="94"/>
      <c r="E283" s="94"/>
      <c r="F283" s="94"/>
      <c r="G283" s="94"/>
      <c r="H283" s="94"/>
      <c r="I283" s="94"/>
      <c r="J283" s="96"/>
      <c r="K283" s="96"/>
      <c r="L283" s="94"/>
      <c r="M283" s="94"/>
      <c r="N283" s="95"/>
      <c r="O283" s="96"/>
      <c r="P283" s="96"/>
      <c r="Q283" s="94"/>
      <c r="R283" s="106"/>
      <c r="S283" s="106"/>
      <c r="T283" s="106"/>
      <c r="U283" s="106"/>
      <c r="V283" s="231"/>
    </row>
    <row r="284" spans="1:22" ht="24.95" customHeight="1">
      <c r="A284" s="91"/>
      <c r="B284" s="92"/>
      <c r="C284" s="93"/>
      <c r="D284" s="94"/>
      <c r="E284" s="94"/>
      <c r="F284" s="94"/>
      <c r="G284" s="94"/>
      <c r="H284" s="94"/>
      <c r="I284" s="94"/>
      <c r="J284" s="96"/>
      <c r="K284" s="96"/>
      <c r="L284" s="94"/>
      <c r="M284" s="94"/>
      <c r="N284" s="95"/>
      <c r="O284" s="96"/>
      <c r="P284" s="96"/>
      <c r="Q284" s="94"/>
      <c r="R284" s="106"/>
      <c r="S284" s="106"/>
      <c r="T284" s="106"/>
      <c r="U284" s="106"/>
      <c r="V284" s="231"/>
    </row>
    <row r="285" spans="1:22" ht="24.95" customHeight="1">
      <c r="A285" s="91"/>
      <c r="B285" s="92"/>
      <c r="C285" s="93"/>
      <c r="D285" s="94"/>
      <c r="E285" s="94"/>
      <c r="F285" s="94"/>
      <c r="G285" s="94"/>
      <c r="H285" s="94"/>
      <c r="I285" s="94"/>
      <c r="J285" s="96"/>
      <c r="K285" s="96"/>
      <c r="L285" s="94"/>
      <c r="M285" s="94"/>
      <c r="N285" s="95"/>
      <c r="O285" s="96"/>
      <c r="P285" s="96"/>
      <c r="Q285" s="94"/>
      <c r="R285" s="106"/>
      <c r="S285" s="106"/>
      <c r="T285" s="106"/>
      <c r="U285" s="106"/>
      <c r="V285" s="231"/>
    </row>
    <row r="286" spans="1:22" ht="24.95" customHeight="1">
      <c r="A286" s="91"/>
      <c r="B286" s="92"/>
      <c r="C286" s="93"/>
      <c r="D286" s="94"/>
      <c r="E286" s="94"/>
      <c r="F286" s="94"/>
      <c r="G286" s="94"/>
      <c r="H286" s="94"/>
      <c r="I286" s="94"/>
      <c r="J286" s="96"/>
      <c r="K286" s="96"/>
      <c r="L286" s="94"/>
      <c r="M286" s="94"/>
      <c r="N286" s="95"/>
      <c r="O286" s="96"/>
      <c r="P286" s="96"/>
      <c r="Q286" s="94"/>
      <c r="R286" s="106"/>
      <c r="S286" s="106"/>
      <c r="T286" s="106"/>
      <c r="U286" s="106"/>
      <c r="V286" s="231"/>
    </row>
    <row r="287" spans="1:22" ht="24.95" customHeight="1">
      <c r="A287" s="91"/>
      <c r="B287" s="92"/>
      <c r="C287" s="93"/>
      <c r="D287" s="94"/>
      <c r="E287" s="94"/>
      <c r="F287" s="94"/>
      <c r="G287" s="94"/>
      <c r="H287" s="94"/>
      <c r="I287" s="94"/>
      <c r="J287" s="96"/>
      <c r="K287" s="96"/>
      <c r="L287" s="94"/>
      <c r="M287" s="94"/>
      <c r="N287" s="95"/>
      <c r="O287" s="96"/>
      <c r="P287" s="96"/>
      <c r="Q287" s="94"/>
      <c r="R287" s="106"/>
      <c r="S287" s="106"/>
      <c r="T287" s="106"/>
      <c r="U287" s="106"/>
      <c r="V287" s="231"/>
    </row>
    <row r="288" spans="1:22" ht="24.95" customHeight="1">
      <c r="A288" s="91"/>
      <c r="B288" s="92"/>
      <c r="C288" s="93"/>
      <c r="D288" s="94"/>
      <c r="E288" s="94"/>
      <c r="F288" s="94"/>
      <c r="G288" s="94"/>
      <c r="H288" s="94"/>
      <c r="I288" s="94"/>
      <c r="J288" s="96"/>
      <c r="K288" s="96"/>
      <c r="L288" s="94"/>
      <c r="M288" s="94"/>
      <c r="N288" s="95"/>
      <c r="O288" s="96"/>
      <c r="P288" s="96"/>
      <c r="Q288" s="94"/>
      <c r="R288" s="106"/>
      <c r="S288" s="106"/>
      <c r="T288" s="106"/>
      <c r="U288" s="106"/>
      <c r="V288" s="231"/>
    </row>
    <row r="289" spans="1:22" ht="24.95" customHeight="1">
      <c r="A289" s="91"/>
      <c r="B289" s="92"/>
      <c r="C289" s="93"/>
      <c r="D289" s="94"/>
      <c r="E289" s="94"/>
      <c r="F289" s="94"/>
      <c r="G289" s="94"/>
      <c r="H289" s="94"/>
      <c r="I289" s="94"/>
      <c r="J289" s="96"/>
      <c r="K289" s="96"/>
      <c r="L289" s="94"/>
      <c r="M289" s="94"/>
      <c r="N289" s="95"/>
      <c r="O289" s="96"/>
      <c r="P289" s="96"/>
      <c r="Q289" s="94"/>
      <c r="R289" s="106"/>
      <c r="S289" s="106"/>
      <c r="T289" s="106"/>
      <c r="U289" s="106"/>
      <c r="V289" s="231"/>
    </row>
    <row r="290" spans="1:22" ht="24.95" customHeight="1">
      <c r="A290" s="91"/>
      <c r="B290" s="92"/>
      <c r="C290" s="93"/>
      <c r="D290" s="94"/>
      <c r="E290" s="94"/>
      <c r="F290" s="94"/>
      <c r="G290" s="94"/>
      <c r="H290" s="94"/>
      <c r="I290" s="94"/>
      <c r="J290" s="96"/>
      <c r="K290" s="96"/>
      <c r="L290" s="94"/>
      <c r="M290" s="94"/>
      <c r="N290" s="95"/>
      <c r="O290" s="96"/>
      <c r="P290" s="96"/>
      <c r="Q290" s="94"/>
      <c r="R290" s="106"/>
      <c r="S290" s="106"/>
      <c r="T290" s="106"/>
      <c r="U290" s="106"/>
      <c r="V290" s="231"/>
    </row>
    <row r="291" spans="1:22" ht="24.95" customHeight="1">
      <c r="A291" s="91"/>
      <c r="B291" s="92"/>
      <c r="C291" s="93"/>
      <c r="D291" s="94"/>
      <c r="E291" s="94"/>
      <c r="F291" s="94"/>
      <c r="G291" s="94"/>
      <c r="H291" s="94"/>
      <c r="I291" s="94"/>
      <c r="J291" s="96"/>
      <c r="K291" s="96"/>
      <c r="L291" s="94"/>
      <c r="M291" s="94"/>
      <c r="N291" s="95"/>
      <c r="O291" s="96"/>
      <c r="P291" s="96"/>
      <c r="Q291" s="94"/>
      <c r="R291" s="106"/>
      <c r="S291" s="106"/>
      <c r="T291" s="106"/>
      <c r="U291" s="106"/>
      <c r="V291" s="231"/>
    </row>
    <row r="292" spans="1:22" ht="24.95" customHeight="1">
      <c r="A292" s="91"/>
      <c r="B292" s="92"/>
      <c r="C292" s="93"/>
      <c r="D292" s="94"/>
      <c r="E292" s="94"/>
      <c r="F292" s="94"/>
      <c r="G292" s="94"/>
      <c r="H292" s="94"/>
      <c r="I292" s="94"/>
      <c r="J292" s="96"/>
      <c r="K292" s="96"/>
      <c r="L292" s="94"/>
      <c r="M292" s="94"/>
      <c r="N292" s="95"/>
      <c r="O292" s="96"/>
      <c r="P292" s="96"/>
      <c r="Q292" s="94"/>
      <c r="R292" s="106"/>
      <c r="S292" s="106"/>
      <c r="T292" s="106"/>
      <c r="U292" s="106"/>
      <c r="V292" s="231"/>
    </row>
    <row r="293" spans="1:22" ht="24.95" customHeight="1">
      <c r="A293" s="91"/>
      <c r="B293" s="92"/>
      <c r="C293" s="93"/>
      <c r="D293" s="94"/>
      <c r="E293" s="94"/>
      <c r="F293" s="94"/>
      <c r="G293" s="94"/>
      <c r="H293" s="94"/>
      <c r="I293" s="94"/>
      <c r="J293" s="96"/>
      <c r="K293" s="96"/>
      <c r="L293" s="94"/>
      <c r="M293" s="94"/>
      <c r="N293" s="95"/>
      <c r="O293" s="96"/>
      <c r="P293" s="96"/>
      <c r="Q293" s="94"/>
      <c r="R293" s="106"/>
      <c r="S293" s="106"/>
      <c r="T293" s="106"/>
      <c r="U293" s="106"/>
      <c r="V293" s="231"/>
    </row>
    <row r="294" spans="1:22" ht="24.95" customHeight="1">
      <c r="A294" s="91"/>
      <c r="B294" s="92"/>
      <c r="C294" s="93"/>
      <c r="D294" s="94"/>
      <c r="E294" s="94"/>
      <c r="F294" s="94"/>
      <c r="G294" s="94"/>
      <c r="H294" s="94"/>
      <c r="I294" s="94"/>
      <c r="J294" s="96"/>
      <c r="K294" s="96"/>
      <c r="L294" s="94"/>
      <c r="M294" s="94"/>
      <c r="N294" s="95"/>
      <c r="O294" s="96"/>
      <c r="P294" s="96"/>
      <c r="Q294" s="94"/>
      <c r="R294" s="106"/>
      <c r="S294" s="106"/>
      <c r="T294" s="106"/>
      <c r="U294" s="106"/>
      <c r="V294" s="231"/>
    </row>
    <row r="295" spans="1:22" ht="24.95" customHeight="1">
      <c r="A295" s="91"/>
      <c r="B295" s="92"/>
      <c r="C295" s="93"/>
      <c r="D295" s="94"/>
      <c r="E295" s="94"/>
      <c r="F295" s="94"/>
      <c r="G295" s="94"/>
      <c r="H295" s="94"/>
      <c r="I295" s="94"/>
      <c r="J295" s="96"/>
      <c r="K295" s="96"/>
      <c r="L295" s="94"/>
      <c r="M295" s="94"/>
      <c r="N295" s="95"/>
      <c r="O295" s="96"/>
      <c r="P295" s="96"/>
      <c r="Q295" s="94"/>
      <c r="R295" s="106"/>
      <c r="S295" s="106"/>
      <c r="T295" s="106"/>
      <c r="U295" s="106"/>
      <c r="V295" s="231"/>
    </row>
    <row r="296" spans="1:22" ht="24.95" customHeight="1">
      <c r="A296" s="91"/>
      <c r="B296" s="92"/>
      <c r="C296" s="93"/>
      <c r="D296" s="94"/>
      <c r="E296" s="94"/>
      <c r="F296" s="94"/>
      <c r="G296" s="94"/>
      <c r="H296" s="94"/>
      <c r="I296" s="94"/>
      <c r="J296" s="96"/>
      <c r="K296" s="96"/>
      <c r="L296" s="94"/>
      <c r="M296" s="94"/>
      <c r="N296" s="95"/>
      <c r="O296" s="96"/>
      <c r="P296" s="96"/>
      <c r="Q296" s="94"/>
      <c r="R296" s="106"/>
      <c r="S296" s="106"/>
      <c r="T296" s="106"/>
      <c r="U296" s="106"/>
      <c r="V296" s="231"/>
    </row>
    <row r="297" spans="1:22" ht="24.95" customHeight="1">
      <c r="A297" s="91"/>
      <c r="B297" s="92"/>
      <c r="C297" s="93"/>
      <c r="D297" s="94"/>
      <c r="E297" s="94"/>
      <c r="F297" s="94"/>
      <c r="G297" s="94"/>
      <c r="H297" s="94"/>
      <c r="I297" s="94"/>
      <c r="J297" s="96"/>
      <c r="K297" s="96"/>
      <c r="L297" s="94"/>
      <c r="M297" s="94"/>
      <c r="N297" s="95"/>
      <c r="O297" s="96"/>
      <c r="P297" s="96"/>
      <c r="Q297" s="94"/>
      <c r="R297" s="106"/>
      <c r="S297" s="106"/>
      <c r="T297" s="106"/>
      <c r="U297" s="106"/>
      <c r="V297" s="231"/>
    </row>
    <row r="298" spans="1:22" ht="24.95" customHeight="1">
      <c r="A298" s="91"/>
      <c r="B298" s="92"/>
      <c r="C298" s="93"/>
      <c r="D298" s="94"/>
      <c r="E298" s="94"/>
      <c r="F298" s="94"/>
      <c r="G298" s="94"/>
      <c r="H298" s="94"/>
      <c r="I298" s="94"/>
      <c r="J298" s="96"/>
      <c r="K298" s="96"/>
      <c r="L298" s="94"/>
      <c r="M298" s="94"/>
      <c r="N298" s="95"/>
      <c r="O298" s="96"/>
      <c r="P298" s="96"/>
      <c r="Q298" s="94"/>
      <c r="R298" s="106"/>
      <c r="S298" s="106"/>
      <c r="T298" s="106"/>
      <c r="U298" s="106"/>
      <c r="V298" s="231"/>
    </row>
    <row r="299" spans="1:22" ht="24.95" customHeight="1">
      <c r="A299" s="91"/>
      <c r="B299" s="92"/>
      <c r="C299" s="93"/>
      <c r="D299" s="94"/>
      <c r="E299" s="94"/>
      <c r="F299" s="94"/>
      <c r="G299" s="94"/>
      <c r="H299" s="94"/>
      <c r="I299" s="94"/>
      <c r="J299" s="96"/>
      <c r="K299" s="96"/>
      <c r="L299" s="94"/>
      <c r="M299" s="94"/>
      <c r="N299" s="95"/>
      <c r="O299" s="96"/>
      <c r="P299" s="96"/>
      <c r="Q299" s="94"/>
      <c r="R299" s="106"/>
      <c r="S299" s="106"/>
      <c r="T299" s="106"/>
      <c r="U299" s="106"/>
      <c r="V299" s="231"/>
    </row>
    <row r="300" spans="1:22" ht="24.95" customHeight="1">
      <c r="A300" s="91"/>
      <c r="B300" s="92"/>
      <c r="C300" s="93"/>
      <c r="D300" s="94"/>
      <c r="E300" s="94"/>
      <c r="F300" s="94"/>
      <c r="G300" s="94"/>
      <c r="H300" s="94"/>
      <c r="I300" s="94"/>
      <c r="J300" s="96"/>
      <c r="K300" s="96"/>
      <c r="L300" s="94"/>
      <c r="M300" s="94"/>
      <c r="N300" s="95"/>
      <c r="O300" s="96"/>
      <c r="P300" s="96"/>
      <c r="Q300" s="94"/>
      <c r="R300" s="106"/>
      <c r="S300" s="106"/>
      <c r="T300" s="106"/>
      <c r="U300" s="106"/>
      <c r="V300" s="231"/>
    </row>
    <row r="301" spans="1:22" ht="24.95" customHeight="1">
      <c r="A301" s="91"/>
      <c r="B301" s="92"/>
      <c r="C301" s="93"/>
      <c r="D301" s="94"/>
      <c r="E301" s="94"/>
      <c r="F301" s="94"/>
      <c r="G301" s="94"/>
      <c r="H301" s="94"/>
      <c r="I301" s="94"/>
      <c r="J301" s="96"/>
      <c r="K301" s="96"/>
      <c r="L301" s="94"/>
      <c r="M301" s="94"/>
      <c r="N301" s="95"/>
      <c r="O301" s="96"/>
      <c r="P301" s="96"/>
      <c r="Q301" s="94"/>
      <c r="R301" s="106"/>
      <c r="S301" s="106"/>
      <c r="T301" s="106"/>
      <c r="U301" s="106"/>
      <c r="V301" s="231"/>
    </row>
    <row r="302" spans="1:22" ht="24.95" customHeight="1">
      <c r="A302" s="91"/>
      <c r="B302" s="92"/>
      <c r="C302" s="93"/>
      <c r="D302" s="94"/>
      <c r="E302" s="94"/>
      <c r="F302" s="94"/>
      <c r="G302" s="94"/>
      <c r="H302" s="94"/>
      <c r="I302" s="94"/>
      <c r="J302" s="96"/>
      <c r="K302" s="96"/>
      <c r="L302" s="94"/>
      <c r="M302" s="94"/>
      <c r="N302" s="95"/>
      <c r="O302" s="96"/>
      <c r="P302" s="96"/>
      <c r="Q302" s="94"/>
      <c r="R302" s="106"/>
      <c r="S302" s="106"/>
      <c r="T302" s="106"/>
      <c r="U302" s="106"/>
      <c r="V302" s="231"/>
    </row>
    <row r="303" spans="1:22" ht="24.95" customHeight="1">
      <c r="A303" s="91"/>
      <c r="B303" s="92"/>
      <c r="C303" s="93"/>
      <c r="D303" s="94"/>
      <c r="E303" s="94"/>
      <c r="F303" s="94"/>
      <c r="G303" s="94"/>
      <c r="H303" s="94"/>
      <c r="I303" s="94"/>
      <c r="J303" s="96"/>
      <c r="K303" s="96"/>
      <c r="L303" s="94"/>
      <c r="M303" s="94"/>
      <c r="N303" s="95"/>
      <c r="O303" s="96"/>
      <c r="P303" s="96"/>
      <c r="Q303" s="94"/>
      <c r="R303" s="106"/>
      <c r="S303" s="106"/>
      <c r="T303" s="106"/>
      <c r="U303" s="106"/>
      <c r="V303" s="231"/>
    </row>
    <row r="304" spans="1:22" ht="24.95" customHeight="1">
      <c r="A304" s="91"/>
      <c r="B304" s="92"/>
      <c r="C304" s="93"/>
      <c r="D304" s="94"/>
      <c r="E304" s="94"/>
      <c r="F304" s="94"/>
      <c r="G304" s="94"/>
      <c r="H304" s="94"/>
      <c r="I304" s="94"/>
      <c r="J304" s="96"/>
      <c r="K304" s="96"/>
      <c r="L304" s="94"/>
      <c r="M304" s="94"/>
      <c r="N304" s="95"/>
      <c r="O304" s="96"/>
      <c r="P304" s="96"/>
      <c r="Q304" s="94"/>
      <c r="R304" s="106"/>
      <c r="S304" s="106"/>
      <c r="T304" s="106"/>
      <c r="U304" s="106"/>
      <c r="V304" s="231"/>
    </row>
    <row r="305" spans="1:22" ht="24.95" customHeight="1">
      <c r="A305" s="91"/>
      <c r="B305" s="92"/>
      <c r="C305" s="93"/>
      <c r="D305" s="94"/>
      <c r="E305" s="94"/>
      <c r="F305" s="94"/>
      <c r="G305" s="94"/>
      <c r="H305" s="94"/>
      <c r="I305" s="94"/>
      <c r="J305" s="96"/>
      <c r="K305" s="96"/>
      <c r="L305" s="94"/>
      <c r="M305" s="94"/>
      <c r="N305" s="95"/>
      <c r="O305" s="96"/>
      <c r="P305" s="96"/>
      <c r="Q305" s="94"/>
      <c r="R305" s="106"/>
      <c r="S305" s="106"/>
      <c r="T305" s="106"/>
      <c r="U305" s="106"/>
      <c r="V305" s="231"/>
    </row>
    <row r="306" spans="1:22" ht="24.95" customHeight="1">
      <c r="A306" s="91"/>
      <c r="B306" s="92"/>
      <c r="C306" s="93"/>
      <c r="D306" s="94"/>
      <c r="E306" s="94"/>
      <c r="F306" s="94"/>
      <c r="G306" s="94"/>
      <c r="H306" s="94"/>
      <c r="I306" s="94"/>
      <c r="J306" s="96"/>
      <c r="K306" s="96"/>
      <c r="L306" s="94"/>
      <c r="M306" s="94"/>
      <c r="N306" s="95"/>
      <c r="O306" s="96"/>
      <c r="P306" s="96"/>
      <c r="Q306" s="94"/>
      <c r="R306" s="106"/>
      <c r="S306" s="106"/>
      <c r="T306" s="106"/>
      <c r="U306" s="106"/>
      <c r="V306" s="231"/>
    </row>
  </sheetData>
  <mergeCells count="17">
    <mergeCell ref="M4:N4"/>
    <mergeCell ref="T3:V3"/>
    <mergeCell ref="O4:Q4"/>
    <mergeCell ref="A1:R1"/>
    <mergeCell ref="A2:R2"/>
    <mergeCell ref="D3:G3"/>
    <mergeCell ref="H3:L3"/>
    <mergeCell ref="M3:Q3"/>
    <mergeCell ref="T4:V4"/>
    <mergeCell ref="A3:A5"/>
    <mergeCell ref="B3:B5"/>
    <mergeCell ref="C3:C5"/>
    <mergeCell ref="R3:R5"/>
    <mergeCell ref="D4:E4"/>
    <mergeCell ref="F4:G4"/>
    <mergeCell ref="H4:I4"/>
    <mergeCell ref="J4:L4"/>
  </mergeCells>
  <phoneticPr fontId="76" type="noConversion"/>
  <pageMargins left="0.75" right="0.75" top="1" bottom="1" header="0.5" footer="0.5"/>
  <pageSetup paperSize="9" scale="70" orientation="landscape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2297-12D2-41DC-861B-9D9D25D5B95D}">
  <dimension ref="A1:V296"/>
  <sheetViews>
    <sheetView zoomScale="115" zoomScaleSheetLayoutView="110" workbookViewId="0">
      <selection activeCell="O23" sqref="O23"/>
    </sheetView>
  </sheetViews>
  <sheetFormatPr defaultColWidth="8.75" defaultRowHeight="14.25"/>
  <cols>
    <col min="1" max="1" width="5.625" customWidth="1"/>
    <col min="2" max="2" width="13.375" customWidth="1"/>
    <col min="3" max="3" width="5.625" customWidth="1"/>
    <col min="4" max="5" width="8.875" customWidth="1"/>
    <col min="6" max="9" width="7.625" customWidth="1"/>
    <col min="10" max="10" width="9" style="61" customWidth="1"/>
    <col min="11" max="11" width="5.875" customWidth="1"/>
    <col min="12" max="12" width="7.625" customWidth="1"/>
    <col min="13" max="14" width="6.125" customWidth="1"/>
    <col min="15" max="15" width="9.25" style="61" customWidth="1"/>
    <col min="16" max="17" width="7.625" customWidth="1"/>
    <col min="19" max="19" width="9.25" style="61" bestFit="1" customWidth="1"/>
  </cols>
  <sheetData>
    <row r="1" spans="1:22" ht="23.1" customHeight="1">
      <c r="A1" s="425" t="s">
        <v>1198</v>
      </c>
      <c r="B1" s="425"/>
      <c r="C1" s="425"/>
      <c r="D1" s="425"/>
      <c r="E1" s="425"/>
      <c r="F1" s="425"/>
      <c r="G1" s="425"/>
      <c r="H1" s="425"/>
      <c r="I1" s="425"/>
      <c r="J1" s="426"/>
      <c r="K1" s="425"/>
      <c r="L1" s="425"/>
      <c r="M1" s="425"/>
      <c r="N1" s="425"/>
      <c r="O1" s="426"/>
      <c r="P1" s="425"/>
      <c r="Q1" s="111"/>
      <c r="S1" s="208"/>
      <c r="T1" s="134"/>
      <c r="U1" s="134"/>
      <c r="V1" s="106"/>
    </row>
    <row r="2" spans="1:22" s="59" customFormat="1" ht="23.1" customHeight="1">
      <c r="A2" s="428" t="s">
        <v>1051</v>
      </c>
      <c r="B2" s="428"/>
      <c r="C2" s="428"/>
      <c r="D2" s="428"/>
      <c r="E2" s="428"/>
      <c r="F2" s="428"/>
      <c r="G2" s="428"/>
      <c r="H2" s="428"/>
      <c r="I2" s="428"/>
      <c r="J2" s="429"/>
      <c r="K2" s="428"/>
      <c r="L2" s="428"/>
      <c r="M2" s="428"/>
      <c r="N2" s="428"/>
      <c r="O2" s="429"/>
      <c r="P2" s="428"/>
      <c r="Q2" s="209"/>
      <c r="S2" s="210"/>
      <c r="T2" s="135"/>
      <c r="U2" s="135"/>
      <c r="V2" s="139"/>
    </row>
    <row r="3" spans="1:22" s="59" customFormat="1" ht="23.1" customHeight="1">
      <c r="A3" s="453" t="s">
        <v>32</v>
      </c>
      <c r="B3" s="454" t="s">
        <v>90</v>
      </c>
      <c r="C3" s="457" t="s">
        <v>34</v>
      </c>
      <c r="D3" s="453" t="s">
        <v>92</v>
      </c>
      <c r="E3" s="453"/>
      <c r="F3" s="453" t="s">
        <v>36</v>
      </c>
      <c r="G3" s="453"/>
      <c r="H3" s="453"/>
      <c r="I3" s="453"/>
      <c r="J3" s="430"/>
      <c r="K3" s="453" t="s">
        <v>37</v>
      </c>
      <c r="L3" s="453"/>
      <c r="M3" s="453"/>
      <c r="N3" s="453"/>
      <c r="O3" s="430"/>
      <c r="P3" s="447" t="s">
        <v>38</v>
      </c>
      <c r="Q3" s="211"/>
      <c r="S3" s="100" t="s">
        <v>1199</v>
      </c>
      <c r="T3" s="135"/>
      <c r="U3" s="135"/>
      <c r="V3" s="139"/>
    </row>
    <row r="4" spans="1:22" s="59" customFormat="1" ht="23.1" customHeight="1">
      <c r="A4" s="420"/>
      <c r="B4" s="420"/>
      <c r="C4" s="420"/>
      <c r="D4" s="430" t="s">
        <v>94</v>
      </c>
      <c r="E4" s="430"/>
      <c r="F4" s="430" t="s">
        <v>42</v>
      </c>
      <c r="G4" s="430"/>
      <c r="H4" s="457" t="s">
        <v>43</v>
      </c>
      <c r="I4" s="457"/>
      <c r="J4" s="430"/>
      <c r="K4" s="430" t="s">
        <v>42</v>
      </c>
      <c r="L4" s="430"/>
      <c r="M4" s="457" t="s">
        <v>43</v>
      </c>
      <c r="N4" s="457"/>
      <c r="O4" s="430"/>
      <c r="P4" s="447"/>
      <c r="Q4" s="211"/>
      <c r="S4" s="100" t="s">
        <v>43</v>
      </c>
      <c r="T4" s="135"/>
      <c r="U4" s="135"/>
      <c r="V4" s="139"/>
    </row>
    <row r="5" spans="1:22" s="59" customFormat="1" ht="23.1" customHeight="1">
      <c r="A5" s="420"/>
      <c r="B5" s="420"/>
      <c r="C5" s="420"/>
      <c r="D5" s="114" t="s">
        <v>1053</v>
      </c>
      <c r="E5" s="116" t="s">
        <v>97</v>
      </c>
      <c r="F5" s="114" t="s">
        <v>1053</v>
      </c>
      <c r="G5" s="116" t="s">
        <v>97</v>
      </c>
      <c r="H5" s="114" t="s">
        <v>95</v>
      </c>
      <c r="I5" s="112" t="s">
        <v>96</v>
      </c>
      <c r="J5" s="114" t="s">
        <v>97</v>
      </c>
      <c r="K5" s="114" t="s">
        <v>1053</v>
      </c>
      <c r="L5" s="116" t="s">
        <v>97</v>
      </c>
      <c r="M5" s="114" t="s">
        <v>95</v>
      </c>
      <c r="N5" s="112" t="s">
        <v>96</v>
      </c>
      <c r="O5" s="114" t="s">
        <v>97</v>
      </c>
      <c r="P5" s="447"/>
      <c r="Q5" s="211"/>
      <c r="S5" s="100" t="s">
        <v>97</v>
      </c>
      <c r="T5" s="135"/>
      <c r="U5" s="135"/>
      <c r="V5" s="139"/>
    </row>
    <row r="6" spans="1:22" s="59" customFormat="1" ht="24" customHeight="1">
      <c r="A6" s="166">
        <v>1</v>
      </c>
      <c r="B6" s="194" t="s">
        <v>1200</v>
      </c>
      <c r="C6" s="195" t="s">
        <v>47</v>
      </c>
      <c r="D6" s="120"/>
      <c r="E6" s="120">
        <v>451279.3</v>
      </c>
      <c r="F6" s="119"/>
      <c r="G6" s="120"/>
      <c r="H6" s="120"/>
      <c r="I6" s="120"/>
      <c r="J6" s="205"/>
      <c r="K6" s="119"/>
      <c r="L6" s="120"/>
      <c r="M6" s="120"/>
      <c r="N6" s="120"/>
      <c r="O6" s="206">
        <f>233352.68/1.03</f>
        <v>226556</v>
      </c>
      <c r="P6" s="137"/>
      <c r="Q6" s="212"/>
      <c r="S6" s="213"/>
      <c r="T6" s="135"/>
      <c r="U6" s="135"/>
      <c r="V6" s="139"/>
    </row>
    <row r="7" spans="1:22" s="59" customFormat="1" ht="23.1" customHeight="1">
      <c r="A7" s="166">
        <v>2</v>
      </c>
      <c r="B7" s="196" t="s">
        <v>1201</v>
      </c>
      <c r="C7" s="197" t="s">
        <v>47</v>
      </c>
      <c r="D7" s="120"/>
      <c r="E7" s="120">
        <v>270767.58</v>
      </c>
      <c r="F7" s="123"/>
      <c r="G7" s="120"/>
      <c r="H7" s="123"/>
      <c r="I7" s="123"/>
      <c r="J7" s="207"/>
      <c r="K7" s="123"/>
      <c r="L7" s="120"/>
      <c r="M7" s="123"/>
      <c r="N7" s="123"/>
      <c r="O7" s="206">
        <f>21842.1/1.06</f>
        <v>20605.75471698113</v>
      </c>
      <c r="P7" s="123"/>
      <c r="Q7" s="214"/>
      <c r="S7" s="213">
        <v>21842.1</v>
      </c>
      <c r="T7" s="135"/>
      <c r="U7" s="135"/>
      <c r="V7" s="139"/>
    </row>
    <row r="8" spans="1:22" s="59" customFormat="1" ht="23.1" customHeight="1">
      <c r="A8" s="166">
        <v>3</v>
      </c>
      <c r="B8" s="196" t="s">
        <v>1202</v>
      </c>
      <c r="C8" s="197" t="s">
        <v>47</v>
      </c>
      <c r="D8" s="120"/>
      <c r="E8" s="120"/>
      <c r="F8" s="123"/>
      <c r="G8" s="120"/>
      <c r="H8" s="123"/>
      <c r="I8" s="123"/>
      <c r="J8" s="207"/>
      <c r="K8" s="123"/>
      <c r="L8" s="120"/>
      <c r="M8" s="123"/>
      <c r="N8" s="123"/>
      <c r="O8" s="206">
        <f>(6600+24140+30520+21240+38620+20900)/1.06</f>
        <v>133981.13207547169</v>
      </c>
      <c r="P8" s="123"/>
      <c r="Q8" s="214"/>
      <c r="S8" s="213">
        <v>121120</v>
      </c>
      <c r="T8" s="135"/>
      <c r="U8" s="135"/>
      <c r="V8" s="139"/>
    </row>
    <row r="9" spans="1:22" s="59" customFormat="1" ht="23.1" customHeight="1">
      <c r="A9" s="166">
        <v>4</v>
      </c>
      <c r="B9" s="198" t="s">
        <v>1203</v>
      </c>
      <c r="C9" s="197" t="s">
        <v>47</v>
      </c>
      <c r="D9" s="120"/>
      <c r="E9" s="120">
        <v>225639.65</v>
      </c>
      <c r="F9" s="123"/>
      <c r="G9" s="120"/>
      <c r="H9" s="123"/>
      <c r="I9" s="123"/>
      <c r="J9" s="207"/>
      <c r="K9" s="123"/>
      <c r="L9" s="120"/>
      <c r="M9" s="123"/>
      <c r="N9" s="123"/>
      <c r="O9" s="206">
        <f>176127.46/1.13</f>
        <v>155865.00884955752</v>
      </c>
      <c r="P9" s="123"/>
      <c r="Q9" s="214"/>
      <c r="S9" s="213">
        <v>176127.46</v>
      </c>
      <c r="T9" s="135"/>
      <c r="U9" s="135"/>
      <c r="V9" s="139"/>
    </row>
    <row r="10" spans="1:22" s="59" customFormat="1" ht="23.1" customHeight="1">
      <c r="A10" s="166">
        <v>5</v>
      </c>
      <c r="B10" s="196" t="s">
        <v>1204</v>
      </c>
      <c r="C10" s="197" t="s">
        <v>47</v>
      </c>
      <c r="D10" s="120"/>
      <c r="E10" s="120">
        <v>135383.79</v>
      </c>
      <c r="F10" s="123"/>
      <c r="G10" s="120"/>
      <c r="H10" s="123"/>
      <c r="I10" s="123"/>
      <c r="J10" s="207">
        <f t="shared" ref="J10:J20" si="0">+O10-S10</f>
        <v>0</v>
      </c>
      <c r="K10" s="123"/>
      <c r="L10" s="120"/>
      <c r="M10" s="123"/>
      <c r="N10" s="123"/>
      <c r="O10" s="206"/>
      <c r="P10" s="123"/>
      <c r="Q10" s="214"/>
      <c r="S10" s="213"/>
      <c r="T10" s="135"/>
      <c r="U10" s="135"/>
      <c r="V10" s="139"/>
    </row>
    <row r="11" spans="1:22" s="59" customFormat="1" ht="23.1" customHeight="1">
      <c r="A11" s="166">
        <v>6</v>
      </c>
      <c r="B11" s="194" t="s">
        <v>1205</v>
      </c>
      <c r="C11" s="195" t="s">
        <v>47</v>
      </c>
      <c r="D11" s="120"/>
      <c r="E11" s="120">
        <v>225639.65</v>
      </c>
      <c r="F11" s="123"/>
      <c r="G11" s="120"/>
      <c r="H11" s="123"/>
      <c r="I11" s="123"/>
      <c r="J11" s="207">
        <f t="shared" si="0"/>
        <v>0</v>
      </c>
      <c r="K11" s="123"/>
      <c r="L11" s="120"/>
      <c r="M11" s="123"/>
      <c r="N11" s="123"/>
      <c r="O11" s="206"/>
      <c r="P11" s="123"/>
      <c r="Q11" s="214"/>
      <c r="S11" s="213"/>
      <c r="T11" s="135"/>
      <c r="U11" s="135"/>
      <c r="V11" s="139"/>
    </row>
    <row r="12" spans="1:22" s="59" customFormat="1" ht="23.1" customHeight="1">
      <c r="A12" s="166">
        <v>7</v>
      </c>
      <c r="B12" s="194" t="s">
        <v>1206</v>
      </c>
      <c r="C12" s="195" t="s">
        <v>47</v>
      </c>
      <c r="D12" s="120"/>
      <c r="E12" s="120">
        <v>108000</v>
      </c>
      <c r="F12" s="123"/>
      <c r="G12" s="120"/>
      <c r="H12" s="120"/>
      <c r="I12" s="123"/>
      <c r="J12" s="207">
        <f t="shared" si="0"/>
        <v>0</v>
      </c>
      <c r="K12" s="123"/>
      <c r="L12" s="120"/>
      <c r="M12" s="120"/>
      <c r="N12" s="123"/>
      <c r="O12" s="206"/>
      <c r="P12" s="123"/>
      <c r="Q12" s="214"/>
      <c r="S12" s="213"/>
      <c r="T12" s="135"/>
      <c r="U12" s="135"/>
      <c r="V12" s="139"/>
    </row>
    <row r="13" spans="1:22" s="59" customFormat="1" ht="23.1" customHeight="1">
      <c r="A13" s="166">
        <v>8</v>
      </c>
      <c r="B13" s="194" t="s">
        <v>1207</v>
      </c>
      <c r="C13" s="195" t="s">
        <v>47</v>
      </c>
      <c r="D13" s="120"/>
      <c r="E13" s="120">
        <v>50000</v>
      </c>
      <c r="F13" s="123"/>
      <c r="G13" s="120"/>
      <c r="H13" s="120"/>
      <c r="I13" s="123"/>
      <c r="J13" s="207">
        <f t="shared" si="0"/>
        <v>0</v>
      </c>
      <c r="K13" s="123"/>
      <c r="L13" s="120"/>
      <c r="M13" s="120"/>
      <c r="N13" s="123"/>
      <c r="O13" s="206"/>
      <c r="P13" s="123"/>
      <c r="Q13" s="214"/>
      <c r="S13" s="213"/>
      <c r="T13" s="135"/>
      <c r="U13" s="135"/>
      <c r="V13" s="139"/>
    </row>
    <row r="14" spans="1:22" s="59" customFormat="1" ht="23.1" customHeight="1">
      <c r="A14" s="166">
        <v>9</v>
      </c>
      <c r="B14" s="196" t="s">
        <v>1208</v>
      </c>
      <c r="C14" s="195" t="s">
        <v>47</v>
      </c>
      <c r="D14" s="120"/>
      <c r="E14" s="120">
        <v>90000</v>
      </c>
      <c r="F14" s="123"/>
      <c r="G14" s="120"/>
      <c r="H14" s="120"/>
      <c r="I14" s="123"/>
      <c r="J14" s="207">
        <f t="shared" si="0"/>
        <v>0</v>
      </c>
      <c r="K14" s="123"/>
      <c r="L14" s="120"/>
      <c r="M14" s="120"/>
      <c r="N14" s="123"/>
      <c r="O14" s="206"/>
      <c r="P14" s="123"/>
      <c r="Q14" s="214"/>
      <c r="S14" s="213"/>
      <c r="T14" s="135"/>
      <c r="U14" s="135"/>
      <c r="V14" s="139"/>
    </row>
    <row r="15" spans="1:22" s="59" customFormat="1" ht="23.1" customHeight="1">
      <c r="A15" s="166">
        <v>10</v>
      </c>
      <c r="B15" s="194" t="s">
        <v>1209</v>
      </c>
      <c r="C15" s="195" t="s">
        <v>47</v>
      </c>
      <c r="D15" s="120"/>
      <c r="E15" s="120">
        <v>100000</v>
      </c>
      <c r="F15" s="123"/>
      <c r="G15" s="120"/>
      <c r="H15" s="123"/>
      <c r="I15" s="123"/>
      <c r="J15" s="207">
        <f t="shared" si="0"/>
        <v>0</v>
      </c>
      <c r="K15" s="123"/>
      <c r="L15" s="120"/>
      <c r="M15" s="123"/>
      <c r="N15" s="123"/>
      <c r="O15" s="206"/>
      <c r="P15" s="123"/>
      <c r="Q15" s="214"/>
      <c r="S15" s="213"/>
      <c r="T15" s="135"/>
      <c r="U15" s="135"/>
      <c r="V15" s="135"/>
    </row>
    <row r="16" spans="1:22" s="59" customFormat="1" ht="23.1" customHeight="1">
      <c r="A16" s="166">
        <v>11</v>
      </c>
      <c r="B16" s="198" t="s">
        <v>1210</v>
      </c>
      <c r="C16" s="195" t="s">
        <v>47</v>
      </c>
      <c r="D16" s="120"/>
      <c r="E16" s="120"/>
      <c r="F16" s="123"/>
      <c r="G16" s="120"/>
      <c r="H16" s="123"/>
      <c r="I16" s="123"/>
      <c r="J16" s="207"/>
      <c r="K16" s="123"/>
      <c r="L16" s="120"/>
      <c r="M16" s="123"/>
      <c r="N16" s="123"/>
      <c r="O16" s="206">
        <f>70000/1.03</f>
        <v>67961.165048543684</v>
      </c>
      <c r="P16" s="123"/>
      <c r="Q16" s="214"/>
      <c r="S16" s="213">
        <v>70000</v>
      </c>
      <c r="T16" s="135"/>
      <c r="U16" s="135"/>
      <c r="V16" s="135"/>
    </row>
    <row r="17" spans="1:22" s="59" customFormat="1" ht="23.1" customHeight="1">
      <c r="A17" s="166">
        <v>12</v>
      </c>
      <c r="B17" s="198" t="s">
        <v>1211</v>
      </c>
      <c r="C17" s="195" t="s">
        <v>47</v>
      </c>
      <c r="D17" s="120"/>
      <c r="E17" s="120"/>
      <c r="F17" s="123"/>
      <c r="G17" s="120"/>
      <c r="H17" s="123"/>
      <c r="I17" s="123"/>
      <c r="J17" s="207"/>
      <c r="K17" s="123"/>
      <c r="L17" s="120"/>
      <c r="M17" s="123"/>
      <c r="N17" s="123"/>
      <c r="O17" s="206">
        <f>310000/1.09</f>
        <v>284403.66972477065</v>
      </c>
      <c r="P17" s="123"/>
      <c r="Q17" s="214"/>
      <c r="S17" s="213">
        <v>310000</v>
      </c>
      <c r="T17" s="135"/>
      <c r="U17" s="135"/>
      <c r="V17" s="135"/>
    </row>
    <row r="18" spans="1:22" s="59" customFormat="1" ht="23.1" customHeight="1">
      <c r="A18" s="166">
        <v>13</v>
      </c>
      <c r="B18" s="198" t="s">
        <v>1212</v>
      </c>
      <c r="C18" s="195" t="s">
        <v>47</v>
      </c>
      <c r="D18" s="120"/>
      <c r="E18" s="120"/>
      <c r="F18" s="123"/>
      <c r="G18" s="120"/>
      <c r="H18" s="123"/>
      <c r="I18" s="123"/>
      <c r="J18" s="207"/>
      <c r="K18" s="123"/>
      <c r="L18" s="120"/>
      <c r="M18" s="123"/>
      <c r="N18" s="123"/>
      <c r="O18" s="206">
        <f>(8880+9380)/1.06</f>
        <v>17226.415094339623</v>
      </c>
      <c r="P18" s="123"/>
      <c r="Q18" s="214"/>
      <c r="S18" s="213">
        <v>18260</v>
      </c>
      <c r="T18" s="135"/>
      <c r="U18" s="135"/>
      <c r="V18" s="135"/>
    </row>
    <row r="19" spans="1:22" s="59" customFormat="1" ht="23.1" customHeight="1">
      <c r="A19" s="166">
        <v>14</v>
      </c>
      <c r="B19" s="198" t="s">
        <v>1213</v>
      </c>
      <c r="C19" s="195" t="s">
        <v>47</v>
      </c>
      <c r="D19" s="120"/>
      <c r="E19" s="120"/>
      <c r="F19" s="123"/>
      <c r="G19" s="120"/>
      <c r="H19" s="123"/>
      <c r="I19" s="123"/>
      <c r="J19" s="207"/>
      <c r="K19" s="123"/>
      <c r="L19" s="120"/>
      <c r="M19" s="123"/>
      <c r="N19" s="123"/>
      <c r="O19" s="206">
        <f>183250/1.06</f>
        <v>172877.35849056602</v>
      </c>
      <c r="P19" s="123"/>
      <c r="Q19" s="214"/>
      <c r="S19" s="213">
        <v>183250</v>
      </c>
      <c r="T19" s="135"/>
      <c r="U19" s="135"/>
      <c r="V19" s="135"/>
    </row>
    <row r="20" spans="1:22" s="59" customFormat="1" ht="23.1" customHeight="1">
      <c r="A20" s="166">
        <v>15</v>
      </c>
      <c r="B20" s="198" t="s">
        <v>1214</v>
      </c>
      <c r="C20" s="195" t="s">
        <v>47</v>
      </c>
      <c r="D20" s="120"/>
      <c r="E20" s="120"/>
      <c r="F20" s="123"/>
      <c r="G20" s="120"/>
      <c r="H20" s="123"/>
      <c r="I20" s="123"/>
      <c r="J20" s="207">
        <f t="shared" si="0"/>
        <v>8867.93</v>
      </c>
      <c r="K20" s="123"/>
      <c r="L20" s="120"/>
      <c r="M20" s="123"/>
      <c r="N20" s="123"/>
      <c r="O20" s="206">
        <v>8867.93</v>
      </c>
      <c r="P20" s="123"/>
      <c r="Q20" s="214"/>
      <c r="S20" s="213"/>
      <c r="T20" s="135"/>
      <c r="U20" s="135"/>
      <c r="V20" s="135"/>
    </row>
    <row r="21" spans="1:22" s="59" customFormat="1" ht="23.1" customHeight="1">
      <c r="A21" s="166">
        <v>16</v>
      </c>
      <c r="B21" s="199" t="s">
        <v>1215</v>
      </c>
      <c r="C21" s="200"/>
      <c r="D21" s="120"/>
      <c r="E21" s="120"/>
      <c r="F21" s="123"/>
      <c r="G21" s="120"/>
      <c r="H21" s="123"/>
      <c r="I21" s="123"/>
      <c r="J21" s="207"/>
      <c r="K21" s="123"/>
      <c r="L21" s="120"/>
      <c r="M21" s="123"/>
      <c r="N21" s="123"/>
      <c r="O21" s="207"/>
      <c r="P21" s="123"/>
      <c r="Q21" s="214"/>
      <c r="S21" s="100"/>
      <c r="T21" s="135"/>
      <c r="U21" s="135"/>
      <c r="V21" s="135"/>
    </row>
    <row r="22" spans="1:22" s="59" customFormat="1" ht="23.1" customHeight="1">
      <c r="A22" s="201"/>
      <c r="B22" s="202" t="s">
        <v>63</v>
      </c>
      <c r="C22" s="203"/>
      <c r="D22" s="120"/>
      <c r="E22" s="120">
        <f>SUM(E6:E21)</f>
        <v>1656709.97</v>
      </c>
      <c r="F22" s="123"/>
      <c r="G22" s="123">
        <f>SUM(G6:G21)</f>
        <v>0</v>
      </c>
      <c r="H22" s="123"/>
      <c r="I22" s="123"/>
      <c r="J22" s="207">
        <f>SUM(J6:J21)</f>
        <v>8867.93</v>
      </c>
      <c r="K22" s="123"/>
      <c r="L22" s="123">
        <f>SUM(L6:L21)</f>
        <v>0</v>
      </c>
      <c r="M22" s="123"/>
      <c r="N22" s="123"/>
      <c r="O22" s="207">
        <f>SUM(O6:O21)</f>
        <v>1088344.4340002302</v>
      </c>
      <c r="P22" s="123"/>
      <c r="Q22" s="214"/>
      <c r="S22" s="100">
        <v>900599.56</v>
      </c>
      <c r="T22" s="135"/>
      <c r="U22" s="135"/>
      <c r="V22" s="135"/>
    </row>
    <row r="23" spans="1:22">
      <c r="A23" s="128"/>
      <c r="B23" s="129"/>
      <c r="C23" s="130"/>
      <c r="D23" s="132"/>
      <c r="E23" s="132"/>
      <c r="F23" s="131"/>
      <c r="G23" s="132"/>
      <c r="H23" s="133"/>
      <c r="I23" s="133"/>
      <c r="J23" s="131"/>
      <c r="K23" s="131"/>
      <c r="L23" s="132"/>
      <c r="M23" s="133"/>
      <c r="N23" s="133"/>
      <c r="O23" s="131"/>
      <c r="P23" s="138"/>
      <c r="Q23" s="138"/>
      <c r="S23" s="105"/>
      <c r="T23" s="106"/>
      <c r="U23" s="106"/>
      <c r="V23" s="106"/>
    </row>
    <row r="24" spans="1:22">
      <c r="A24" s="91"/>
      <c r="B24" s="92"/>
      <c r="C24" s="93"/>
      <c r="D24" s="95"/>
      <c r="E24" s="95"/>
      <c r="F24" s="94"/>
      <c r="G24" s="95"/>
      <c r="H24" s="96"/>
      <c r="I24" s="96"/>
      <c r="J24" s="94"/>
      <c r="K24" s="94"/>
      <c r="L24" s="95"/>
      <c r="M24" s="96"/>
      <c r="N24" s="96"/>
      <c r="O24" s="94"/>
      <c r="P24" s="104"/>
      <c r="Q24" s="104"/>
      <c r="S24" s="105"/>
      <c r="T24" s="106"/>
      <c r="U24" s="106"/>
      <c r="V24" s="106"/>
    </row>
    <row r="25" spans="1:22">
      <c r="A25" s="91"/>
      <c r="B25" s="92"/>
      <c r="C25" s="93"/>
      <c r="D25" s="95"/>
      <c r="E25" s="95"/>
      <c r="F25" s="94"/>
      <c r="G25" s="95"/>
      <c r="H25" s="96"/>
      <c r="I25" s="96"/>
      <c r="J25" s="94"/>
      <c r="K25" s="94"/>
      <c r="L25" s="95"/>
      <c r="M25" s="96"/>
      <c r="N25" s="96"/>
      <c r="O25" s="94"/>
      <c r="P25" s="104"/>
      <c r="Q25" s="104"/>
      <c r="S25" s="105"/>
      <c r="T25" s="106"/>
      <c r="U25" s="106"/>
      <c r="V25" s="106"/>
    </row>
    <row r="26" spans="1:22">
      <c r="A26" s="91"/>
      <c r="B26" s="92"/>
      <c r="C26" s="93"/>
      <c r="D26" s="95"/>
      <c r="E26" s="95"/>
      <c r="F26" s="94"/>
      <c r="G26" s="95"/>
      <c r="H26" s="96"/>
      <c r="I26" s="96"/>
      <c r="J26" s="94"/>
      <c r="K26" s="94"/>
      <c r="L26" s="95"/>
      <c r="M26" s="96"/>
      <c r="N26" s="96"/>
      <c r="O26" s="94"/>
      <c r="P26" s="104"/>
      <c r="Q26" s="104"/>
      <c r="S26" s="105"/>
      <c r="T26" s="106"/>
      <c r="U26" s="106"/>
      <c r="V26" s="106"/>
    </row>
    <row r="27" spans="1:22">
      <c r="A27" s="91"/>
      <c r="B27" s="92"/>
      <c r="C27" s="93"/>
      <c r="D27" s="95"/>
      <c r="E27" s="95"/>
      <c r="F27" s="94"/>
      <c r="G27" s="95"/>
      <c r="H27" s="96"/>
      <c r="I27" s="96"/>
      <c r="J27" s="94"/>
      <c r="K27" s="94"/>
      <c r="L27" s="95"/>
      <c r="M27" s="96"/>
      <c r="N27" s="96"/>
      <c r="O27" s="94"/>
      <c r="P27" s="104"/>
      <c r="Q27" s="104"/>
      <c r="S27" s="105"/>
      <c r="T27" s="106"/>
      <c r="U27" s="106"/>
      <c r="V27" s="106"/>
    </row>
    <row r="28" spans="1:22">
      <c r="A28" s="91"/>
      <c r="B28" s="92"/>
      <c r="C28" s="93"/>
      <c r="D28" s="95"/>
      <c r="E28" s="95"/>
      <c r="F28" s="94"/>
      <c r="G28" s="95"/>
      <c r="H28" s="96"/>
      <c r="I28" s="96"/>
      <c r="J28" s="94"/>
      <c r="K28" s="94"/>
      <c r="L28" s="95"/>
      <c r="M28" s="96"/>
      <c r="N28" s="96"/>
      <c r="O28" s="94"/>
      <c r="P28" s="104"/>
      <c r="Q28" s="104"/>
      <c r="S28" s="105"/>
      <c r="T28" s="106"/>
      <c r="U28" s="106"/>
      <c r="V28" s="106"/>
    </row>
    <row r="29" spans="1:22">
      <c r="A29" s="91"/>
      <c r="B29" s="92"/>
      <c r="C29" s="93"/>
      <c r="D29" s="95"/>
      <c r="E29" s="95"/>
      <c r="F29" s="94"/>
      <c r="G29" s="95"/>
      <c r="H29" s="96"/>
      <c r="I29" s="96"/>
      <c r="J29" s="94"/>
      <c r="K29" s="94"/>
      <c r="L29" s="95"/>
      <c r="M29" s="96"/>
      <c r="N29" s="96"/>
      <c r="O29" s="94"/>
      <c r="P29" s="104"/>
      <c r="Q29" s="104"/>
      <c r="S29" s="105"/>
      <c r="T29" s="106"/>
      <c r="U29" s="106"/>
      <c r="V29" s="106"/>
    </row>
    <row r="30" spans="1:22">
      <c r="A30" s="91"/>
      <c r="B30" s="92"/>
      <c r="C30" s="93"/>
      <c r="D30" s="95"/>
      <c r="E30" s="95"/>
      <c r="F30" s="94"/>
      <c r="G30" s="95"/>
      <c r="H30" s="96"/>
      <c r="I30" s="96"/>
      <c r="J30" s="94"/>
      <c r="K30" s="94"/>
      <c r="L30" s="95"/>
      <c r="M30" s="96"/>
      <c r="N30" s="96"/>
      <c r="O30" s="94"/>
      <c r="P30" s="104"/>
      <c r="Q30" s="104"/>
      <c r="S30" s="105"/>
      <c r="T30" s="106"/>
      <c r="U30" s="106"/>
      <c r="V30" s="106"/>
    </row>
    <row r="31" spans="1:22">
      <c r="A31" s="91"/>
      <c r="B31" s="92"/>
      <c r="C31" s="93"/>
      <c r="D31" s="95"/>
      <c r="E31" s="95"/>
      <c r="F31" s="94"/>
      <c r="G31" s="95"/>
      <c r="H31" s="96"/>
      <c r="I31" s="96"/>
      <c r="J31" s="94"/>
      <c r="K31" s="94"/>
      <c r="L31" s="95"/>
      <c r="M31" s="96"/>
      <c r="N31" s="96"/>
      <c r="O31" s="94"/>
      <c r="P31" s="104"/>
      <c r="Q31" s="104"/>
      <c r="S31" s="105"/>
      <c r="T31" s="106"/>
      <c r="U31" s="106"/>
      <c r="V31" s="106"/>
    </row>
    <row r="32" spans="1:22">
      <c r="A32" s="91"/>
      <c r="B32" s="92"/>
      <c r="C32" s="93"/>
      <c r="D32" s="95"/>
      <c r="E32" s="95"/>
      <c r="F32" s="94"/>
      <c r="G32" s="95"/>
      <c r="H32" s="96"/>
      <c r="I32" s="96"/>
      <c r="J32" s="94"/>
      <c r="K32" s="94"/>
      <c r="L32" s="95"/>
      <c r="M32" s="96"/>
      <c r="N32" s="96"/>
      <c r="O32" s="94"/>
      <c r="P32" s="104"/>
      <c r="Q32" s="104"/>
      <c r="S32" s="105"/>
      <c r="T32" s="106"/>
      <c r="U32" s="106"/>
      <c r="V32" s="106"/>
    </row>
    <row r="33" spans="1:22">
      <c r="A33" s="91"/>
      <c r="B33" s="92"/>
      <c r="C33" s="93"/>
      <c r="D33" s="95"/>
      <c r="E33" s="95"/>
      <c r="F33" s="94"/>
      <c r="G33" s="95"/>
      <c r="H33" s="96"/>
      <c r="I33" s="96"/>
      <c r="J33" s="94"/>
      <c r="K33" s="94"/>
      <c r="L33" s="95"/>
      <c r="M33" s="96"/>
      <c r="N33" s="96"/>
      <c r="O33" s="94"/>
      <c r="P33" s="104"/>
      <c r="Q33" s="104"/>
      <c r="S33" s="105"/>
      <c r="T33" s="106"/>
      <c r="U33" s="106"/>
      <c r="V33" s="106"/>
    </row>
    <row r="34" spans="1:22">
      <c r="A34" s="91"/>
      <c r="B34" s="92"/>
      <c r="C34" s="93"/>
      <c r="D34" s="95"/>
      <c r="E34" s="95"/>
      <c r="F34" s="94"/>
      <c r="G34" s="95"/>
      <c r="H34" s="96"/>
      <c r="I34" s="96"/>
      <c r="J34" s="94"/>
      <c r="K34" s="94"/>
      <c r="L34" s="95"/>
      <c r="M34" s="96"/>
      <c r="N34" s="96"/>
      <c r="O34" s="94"/>
      <c r="P34" s="104"/>
      <c r="Q34" s="104"/>
      <c r="S34" s="105"/>
      <c r="T34" s="106"/>
      <c r="U34" s="106"/>
      <c r="V34" s="106"/>
    </row>
    <row r="35" spans="1:22">
      <c r="A35" s="91"/>
      <c r="B35" s="92"/>
      <c r="C35" s="93"/>
      <c r="D35" s="95"/>
      <c r="E35" s="95"/>
      <c r="F35" s="94"/>
      <c r="G35" s="95"/>
      <c r="H35" s="96"/>
      <c r="I35" s="96"/>
      <c r="J35" s="94"/>
      <c r="K35" s="94"/>
      <c r="L35" s="95"/>
      <c r="M35" s="96"/>
      <c r="N35" s="96"/>
      <c r="O35" s="94"/>
      <c r="P35" s="106"/>
      <c r="Q35" s="106"/>
      <c r="S35" s="105"/>
      <c r="T35" s="106"/>
      <c r="U35" s="106"/>
      <c r="V35" s="106"/>
    </row>
    <row r="36" spans="1:22">
      <c r="A36" s="91"/>
      <c r="B36" s="92"/>
      <c r="C36" s="93"/>
      <c r="D36" s="95"/>
      <c r="E36" s="95"/>
      <c r="F36" s="94"/>
      <c r="G36" s="95"/>
      <c r="H36" s="96"/>
      <c r="I36" s="96"/>
      <c r="J36" s="94"/>
      <c r="K36" s="94"/>
      <c r="L36" s="95"/>
      <c r="M36" s="96"/>
      <c r="N36" s="96"/>
      <c r="O36" s="94"/>
      <c r="P36" s="106"/>
      <c r="Q36" s="106"/>
      <c r="S36" s="105"/>
      <c r="T36" s="106"/>
      <c r="U36" s="106"/>
      <c r="V36" s="106"/>
    </row>
    <row r="37" spans="1:22">
      <c r="A37" s="91"/>
      <c r="B37" s="92"/>
      <c r="C37" s="93"/>
      <c r="D37" s="95"/>
      <c r="E37" s="95"/>
      <c r="F37" s="94"/>
      <c r="G37" s="95"/>
      <c r="H37" s="96"/>
      <c r="I37" s="96"/>
      <c r="J37" s="94"/>
      <c r="K37" s="94"/>
      <c r="L37" s="95"/>
      <c r="M37" s="96"/>
      <c r="N37" s="96"/>
      <c r="O37" s="94"/>
      <c r="P37" s="106"/>
      <c r="Q37" s="106"/>
      <c r="S37" s="105"/>
      <c r="T37" s="106"/>
      <c r="U37" s="106"/>
      <c r="V37" s="106"/>
    </row>
    <row r="38" spans="1:22">
      <c r="A38" s="91"/>
      <c r="B38" s="92"/>
      <c r="C38" s="93"/>
      <c r="D38" s="95"/>
      <c r="E38" s="95"/>
      <c r="F38" s="94"/>
      <c r="G38" s="95"/>
      <c r="H38" s="96"/>
      <c r="I38" s="96"/>
      <c r="J38" s="94"/>
      <c r="K38" s="94"/>
      <c r="L38" s="95"/>
      <c r="M38" s="96"/>
      <c r="N38" s="96"/>
      <c r="O38" s="94"/>
      <c r="P38" s="106"/>
      <c r="Q38" s="106"/>
      <c r="S38" s="105"/>
      <c r="T38" s="106"/>
      <c r="U38" s="106"/>
      <c r="V38" s="106"/>
    </row>
    <row r="39" spans="1:22">
      <c r="A39" s="91"/>
      <c r="B39" s="92"/>
      <c r="C39" s="93"/>
      <c r="D39" s="95"/>
      <c r="E39" s="95"/>
      <c r="F39" s="94"/>
      <c r="G39" s="95"/>
      <c r="H39" s="96"/>
      <c r="I39" s="96"/>
      <c r="J39" s="94"/>
      <c r="K39" s="94"/>
      <c r="L39" s="95"/>
      <c r="M39" s="96"/>
      <c r="N39" s="96"/>
      <c r="O39" s="94"/>
      <c r="P39" s="106"/>
      <c r="Q39" s="106"/>
      <c r="S39" s="105"/>
      <c r="T39" s="106"/>
      <c r="U39" s="106"/>
      <c r="V39" s="106"/>
    </row>
    <row r="40" spans="1:22">
      <c r="A40" s="91"/>
      <c r="B40" s="92"/>
      <c r="C40" s="93"/>
      <c r="D40" s="95"/>
      <c r="E40" s="95"/>
      <c r="F40" s="94"/>
      <c r="G40" s="95"/>
      <c r="H40" s="96"/>
      <c r="I40" s="96"/>
      <c r="J40" s="94"/>
      <c r="K40" s="94"/>
      <c r="L40" s="95"/>
      <c r="M40" s="96"/>
      <c r="N40" s="96"/>
      <c r="O40" s="94"/>
      <c r="P40" s="106"/>
      <c r="Q40" s="106"/>
      <c r="S40" s="105"/>
      <c r="T40" s="106"/>
      <c r="U40" s="106"/>
      <c r="V40" s="106"/>
    </row>
    <row r="41" spans="1:22">
      <c r="A41" s="91"/>
      <c r="B41" s="92"/>
      <c r="C41" s="93"/>
      <c r="D41" s="95"/>
      <c r="E41" s="95"/>
      <c r="F41" s="94"/>
      <c r="G41" s="95"/>
      <c r="H41" s="96"/>
      <c r="I41" s="96"/>
      <c r="J41" s="94"/>
      <c r="K41" s="94"/>
      <c r="L41" s="95"/>
      <c r="M41" s="96"/>
      <c r="N41" s="96"/>
      <c r="O41" s="94"/>
      <c r="P41" s="106"/>
      <c r="Q41" s="106"/>
      <c r="S41" s="105"/>
      <c r="T41" s="106"/>
      <c r="U41" s="106"/>
      <c r="V41" s="106"/>
    </row>
    <row r="42" spans="1:22">
      <c r="A42" s="91"/>
      <c r="B42" s="92"/>
      <c r="C42" s="93"/>
      <c r="D42" s="95"/>
      <c r="E42" s="95"/>
      <c r="F42" s="94"/>
      <c r="G42" s="95"/>
      <c r="H42" s="96"/>
      <c r="I42" s="96"/>
      <c r="J42" s="94"/>
      <c r="K42" s="94"/>
      <c r="L42" s="95"/>
      <c r="M42" s="96"/>
      <c r="N42" s="96"/>
      <c r="O42" s="94"/>
      <c r="P42" s="106"/>
      <c r="Q42" s="106"/>
      <c r="S42" s="105"/>
      <c r="T42" s="106"/>
      <c r="U42" s="106"/>
      <c r="V42" s="106"/>
    </row>
    <row r="43" spans="1:22">
      <c r="A43" s="91"/>
      <c r="B43" s="92"/>
      <c r="C43" s="93"/>
      <c r="D43" s="95"/>
      <c r="E43" s="95"/>
      <c r="F43" s="94"/>
      <c r="G43" s="95"/>
      <c r="H43" s="96"/>
      <c r="I43" s="96"/>
      <c r="J43" s="94"/>
      <c r="K43" s="94"/>
      <c r="L43" s="95"/>
      <c r="M43" s="96"/>
      <c r="N43" s="96"/>
      <c r="O43" s="94"/>
      <c r="P43" s="106"/>
      <c r="Q43" s="106"/>
      <c r="S43" s="105"/>
      <c r="T43" s="106"/>
      <c r="U43" s="106"/>
      <c r="V43" s="106"/>
    </row>
    <row r="44" spans="1:22">
      <c r="A44" s="91"/>
      <c r="B44" s="92"/>
      <c r="C44" s="93"/>
      <c r="D44" s="95"/>
      <c r="E44" s="95"/>
      <c r="F44" s="94"/>
      <c r="G44" s="95"/>
      <c r="H44" s="96"/>
      <c r="I44" s="96"/>
      <c r="J44" s="94"/>
      <c r="K44" s="94"/>
      <c r="L44" s="95"/>
      <c r="M44" s="96"/>
      <c r="N44" s="96"/>
      <c r="O44" s="94"/>
      <c r="P44" s="106"/>
      <c r="Q44" s="106"/>
      <c r="S44" s="105"/>
      <c r="T44" s="106"/>
      <c r="U44" s="106"/>
      <c r="V44" s="106"/>
    </row>
    <row r="45" spans="1:22">
      <c r="A45" s="91"/>
      <c r="B45" s="92"/>
      <c r="C45" s="93"/>
      <c r="D45" s="95"/>
      <c r="E45" s="95"/>
      <c r="F45" s="94"/>
      <c r="G45" s="95"/>
      <c r="H45" s="96"/>
      <c r="I45" s="96"/>
      <c r="J45" s="94"/>
      <c r="K45" s="94"/>
      <c r="L45" s="95"/>
      <c r="M45" s="96"/>
      <c r="N45" s="96"/>
      <c r="O45" s="94"/>
      <c r="P45" s="106"/>
      <c r="Q45" s="106"/>
      <c r="S45" s="105"/>
      <c r="T45" s="106"/>
      <c r="U45" s="106"/>
      <c r="V45" s="106"/>
    </row>
    <row r="46" spans="1:22">
      <c r="A46" s="91"/>
      <c r="B46" s="92"/>
      <c r="C46" s="93"/>
      <c r="D46" s="95"/>
      <c r="E46" s="95"/>
      <c r="F46" s="94"/>
      <c r="G46" s="95"/>
      <c r="H46" s="96"/>
      <c r="I46" s="96"/>
      <c r="J46" s="94"/>
      <c r="K46" s="94"/>
      <c r="L46" s="95"/>
      <c r="M46" s="96"/>
      <c r="N46" s="96"/>
      <c r="O46" s="94"/>
      <c r="P46" s="106"/>
      <c r="Q46" s="106"/>
      <c r="S46" s="105"/>
      <c r="T46" s="106"/>
      <c r="U46" s="106"/>
      <c r="V46" s="106"/>
    </row>
    <row r="47" spans="1:22">
      <c r="A47" s="91"/>
      <c r="B47" s="92"/>
      <c r="C47" s="93"/>
      <c r="D47" s="95"/>
      <c r="E47" s="95"/>
      <c r="F47" s="94"/>
      <c r="G47" s="95"/>
      <c r="H47" s="96"/>
      <c r="I47" s="96"/>
      <c r="J47" s="94"/>
      <c r="K47" s="94"/>
      <c r="L47" s="95"/>
      <c r="M47" s="96"/>
      <c r="N47" s="96"/>
      <c r="O47" s="94"/>
      <c r="P47" s="106"/>
      <c r="Q47" s="106"/>
      <c r="S47" s="105"/>
      <c r="T47" s="106"/>
      <c r="U47" s="106"/>
      <c r="V47" s="106"/>
    </row>
    <row r="48" spans="1:22">
      <c r="A48" s="91"/>
      <c r="B48" s="92"/>
      <c r="C48" s="93"/>
      <c r="D48" s="95"/>
      <c r="E48" s="95"/>
      <c r="F48" s="94"/>
      <c r="G48" s="95"/>
      <c r="H48" s="96"/>
      <c r="I48" s="96"/>
      <c r="J48" s="94"/>
      <c r="K48" s="94"/>
      <c r="L48" s="95"/>
      <c r="M48" s="96"/>
      <c r="N48" s="96"/>
      <c r="O48" s="94"/>
      <c r="P48" s="106"/>
      <c r="Q48" s="106"/>
      <c r="S48" s="105"/>
      <c r="T48" s="106"/>
      <c r="U48" s="106"/>
      <c r="V48" s="106"/>
    </row>
    <row r="49" spans="1:22">
      <c r="A49" s="91"/>
      <c r="B49" s="92"/>
      <c r="C49" s="93"/>
      <c r="D49" s="95"/>
      <c r="E49" s="95"/>
      <c r="F49" s="94"/>
      <c r="G49" s="95"/>
      <c r="H49" s="96"/>
      <c r="I49" s="96"/>
      <c r="J49" s="94"/>
      <c r="K49" s="94"/>
      <c r="L49" s="95"/>
      <c r="M49" s="96"/>
      <c r="N49" s="96"/>
      <c r="O49" s="94"/>
      <c r="P49" s="106"/>
      <c r="Q49" s="106"/>
      <c r="S49" s="105"/>
      <c r="T49" s="106"/>
      <c r="U49" s="106"/>
      <c r="V49" s="106"/>
    </row>
    <row r="50" spans="1:22">
      <c r="A50" s="91"/>
      <c r="B50" s="92"/>
      <c r="C50" s="93"/>
      <c r="D50" s="95"/>
      <c r="E50" s="95"/>
      <c r="F50" s="94"/>
      <c r="G50" s="95"/>
      <c r="H50" s="96"/>
      <c r="I50" s="96"/>
      <c r="J50" s="94"/>
      <c r="K50" s="94"/>
      <c r="L50" s="95"/>
      <c r="M50" s="96"/>
      <c r="N50" s="96"/>
      <c r="O50" s="94"/>
      <c r="P50" s="106"/>
      <c r="Q50" s="106"/>
      <c r="S50" s="105"/>
      <c r="T50" s="106"/>
      <c r="U50" s="106"/>
      <c r="V50" s="106"/>
    </row>
    <row r="51" spans="1:22">
      <c r="A51" s="91"/>
      <c r="B51" s="92"/>
      <c r="C51" s="93"/>
      <c r="D51" s="95"/>
      <c r="E51" s="95"/>
      <c r="F51" s="94"/>
      <c r="G51" s="95"/>
      <c r="H51" s="96"/>
      <c r="I51" s="96"/>
      <c r="J51" s="94"/>
      <c r="K51" s="94"/>
      <c r="L51" s="95"/>
      <c r="M51" s="96"/>
      <c r="N51" s="96"/>
      <c r="O51" s="94"/>
      <c r="P51" s="106"/>
      <c r="Q51" s="106"/>
      <c r="S51" s="105"/>
      <c r="T51" s="106"/>
      <c r="U51" s="106"/>
      <c r="V51" s="106"/>
    </row>
    <row r="52" spans="1:22">
      <c r="A52" s="91"/>
      <c r="B52" s="92"/>
      <c r="C52" s="93"/>
      <c r="D52" s="95"/>
      <c r="E52" s="95"/>
      <c r="F52" s="94"/>
      <c r="G52" s="95"/>
      <c r="H52" s="96"/>
      <c r="I52" s="96"/>
      <c r="J52" s="94"/>
      <c r="K52" s="94"/>
      <c r="L52" s="95"/>
      <c r="M52" s="96"/>
      <c r="N52" s="96"/>
      <c r="O52" s="94"/>
      <c r="P52" s="106"/>
      <c r="Q52" s="106"/>
      <c r="S52" s="105"/>
      <c r="T52" s="106"/>
      <c r="U52" s="106"/>
      <c r="V52" s="106"/>
    </row>
    <row r="53" spans="1:22">
      <c r="A53" s="91"/>
      <c r="B53" s="92"/>
      <c r="C53" s="93"/>
      <c r="D53" s="95"/>
      <c r="E53" s="95"/>
      <c r="F53" s="94"/>
      <c r="G53" s="95"/>
      <c r="H53" s="96"/>
      <c r="I53" s="96"/>
      <c r="J53" s="94"/>
      <c r="K53" s="94"/>
      <c r="L53" s="95"/>
      <c r="M53" s="96"/>
      <c r="N53" s="96"/>
      <c r="O53" s="94"/>
      <c r="P53" s="106"/>
      <c r="Q53" s="106"/>
      <c r="S53" s="105"/>
      <c r="T53" s="106"/>
      <c r="U53" s="106"/>
      <c r="V53" s="106"/>
    </row>
    <row r="54" spans="1:22">
      <c r="A54" s="91"/>
      <c r="B54" s="92"/>
      <c r="C54" s="93"/>
      <c r="D54" s="95"/>
      <c r="E54" s="95"/>
      <c r="F54" s="94"/>
      <c r="G54" s="95"/>
      <c r="H54" s="96"/>
      <c r="I54" s="96"/>
      <c r="J54" s="94"/>
      <c r="K54" s="94"/>
      <c r="L54" s="95"/>
      <c r="M54" s="96"/>
      <c r="N54" s="96"/>
      <c r="O54" s="94"/>
      <c r="P54" s="106"/>
      <c r="Q54" s="106"/>
      <c r="S54" s="105"/>
      <c r="T54" s="106"/>
      <c r="U54" s="106"/>
      <c r="V54" s="106"/>
    </row>
    <row r="55" spans="1:22">
      <c r="A55" s="91"/>
      <c r="B55" s="92"/>
      <c r="C55" s="93"/>
      <c r="D55" s="95"/>
      <c r="E55" s="95"/>
      <c r="F55" s="94"/>
      <c r="G55" s="95"/>
      <c r="H55" s="96"/>
      <c r="I55" s="96"/>
      <c r="J55" s="94"/>
      <c r="K55" s="94"/>
      <c r="L55" s="95"/>
      <c r="M55" s="96"/>
      <c r="N55" s="96"/>
      <c r="O55" s="94"/>
      <c r="P55" s="106"/>
      <c r="Q55" s="106"/>
      <c r="S55" s="105"/>
      <c r="T55" s="106"/>
      <c r="U55" s="106"/>
      <c r="V55" s="106"/>
    </row>
    <row r="56" spans="1:22">
      <c r="A56" s="91"/>
      <c r="B56" s="92"/>
      <c r="C56" s="93"/>
      <c r="D56" s="95"/>
      <c r="E56" s="95"/>
      <c r="F56" s="94"/>
      <c r="G56" s="95"/>
      <c r="H56" s="96"/>
      <c r="I56" s="96"/>
      <c r="J56" s="94"/>
      <c r="K56" s="94"/>
      <c r="L56" s="95"/>
      <c r="M56" s="96"/>
      <c r="N56" s="96"/>
      <c r="O56" s="94"/>
      <c r="P56" s="106"/>
      <c r="Q56" s="106"/>
      <c r="S56" s="105"/>
      <c r="T56" s="106"/>
      <c r="U56" s="106"/>
      <c r="V56" s="106"/>
    </row>
    <row r="57" spans="1:22">
      <c r="A57" s="91"/>
      <c r="B57" s="92"/>
      <c r="C57" s="93"/>
      <c r="D57" s="95"/>
      <c r="E57" s="95"/>
      <c r="F57" s="94"/>
      <c r="G57" s="95"/>
      <c r="H57" s="96"/>
      <c r="I57" s="96"/>
      <c r="J57" s="94"/>
      <c r="K57" s="94"/>
      <c r="L57" s="95"/>
      <c r="M57" s="96"/>
      <c r="N57" s="96"/>
      <c r="O57" s="94"/>
      <c r="P57" s="106"/>
      <c r="Q57" s="106"/>
      <c r="S57" s="105"/>
      <c r="T57" s="106"/>
      <c r="U57" s="106"/>
      <c r="V57" s="106"/>
    </row>
    <row r="58" spans="1:22">
      <c r="A58" s="91"/>
      <c r="B58" s="92"/>
      <c r="C58" s="93"/>
      <c r="D58" s="95"/>
      <c r="E58" s="95"/>
      <c r="F58" s="94"/>
      <c r="G58" s="95"/>
      <c r="H58" s="96"/>
      <c r="I58" s="96"/>
      <c r="J58" s="94"/>
      <c r="K58" s="94"/>
      <c r="L58" s="95"/>
      <c r="M58" s="96"/>
      <c r="N58" s="96"/>
      <c r="O58" s="94"/>
      <c r="P58" s="106"/>
      <c r="Q58" s="106"/>
      <c r="S58" s="105"/>
      <c r="T58" s="106"/>
      <c r="U58" s="106"/>
      <c r="V58" s="106"/>
    </row>
    <row r="59" spans="1:22">
      <c r="A59" s="91"/>
      <c r="B59" s="92"/>
      <c r="C59" s="93"/>
      <c r="D59" s="95"/>
      <c r="E59" s="95"/>
      <c r="F59" s="94"/>
      <c r="G59" s="95"/>
      <c r="H59" s="96"/>
      <c r="I59" s="96"/>
      <c r="J59" s="94"/>
      <c r="K59" s="94"/>
      <c r="L59" s="95"/>
      <c r="M59" s="96"/>
      <c r="N59" s="96"/>
      <c r="O59" s="94"/>
      <c r="P59" s="106"/>
      <c r="Q59" s="106"/>
      <c r="S59" s="105"/>
      <c r="T59" s="106"/>
      <c r="U59" s="106"/>
      <c r="V59" s="106"/>
    </row>
    <row r="60" spans="1:22">
      <c r="A60" s="91"/>
      <c r="B60" s="92"/>
      <c r="C60" s="93"/>
      <c r="D60" s="95"/>
      <c r="E60" s="95"/>
      <c r="F60" s="94"/>
      <c r="G60" s="95"/>
      <c r="H60" s="96"/>
      <c r="I60" s="96"/>
      <c r="J60" s="94"/>
      <c r="K60" s="94"/>
      <c r="L60" s="95"/>
      <c r="M60" s="96"/>
      <c r="N60" s="96"/>
      <c r="O60" s="94"/>
      <c r="P60" s="106"/>
      <c r="Q60" s="106"/>
      <c r="S60" s="105"/>
      <c r="T60" s="106"/>
      <c r="U60" s="106"/>
      <c r="V60" s="106"/>
    </row>
    <row r="61" spans="1:22">
      <c r="A61" s="91"/>
      <c r="B61" s="92"/>
      <c r="C61" s="93"/>
      <c r="D61" s="95"/>
      <c r="E61" s="95"/>
      <c r="F61" s="94"/>
      <c r="G61" s="95"/>
      <c r="H61" s="96"/>
      <c r="I61" s="96"/>
      <c r="J61" s="94"/>
      <c r="K61" s="94"/>
      <c r="L61" s="95"/>
      <c r="M61" s="96"/>
      <c r="N61" s="96"/>
      <c r="O61" s="94"/>
      <c r="P61" s="106"/>
      <c r="Q61" s="106"/>
      <c r="S61" s="105"/>
      <c r="T61" s="106"/>
      <c r="U61" s="106"/>
      <c r="V61" s="106"/>
    </row>
    <row r="62" spans="1:22">
      <c r="A62" s="91"/>
      <c r="B62" s="92"/>
      <c r="C62" s="93"/>
      <c r="D62" s="95"/>
      <c r="E62" s="95"/>
      <c r="F62" s="94"/>
      <c r="G62" s="95"/>
      <c r="H62" s="96"/>
      <c r="I62" s="96"/>
      <c r="J62" s="94"/>
      <c r="K62" s="94"/>
      <c r="L62" s="95"/>
      <c r="M62" s="96"/>
      <c r="N62" s="96"/>
      <c r="O62" s="94"/>
      <c r="P62" s="106"/>
      <c r="Q62" s="106"/>
      <c r="S62" s="105"/>
      <c r="T62" s="106"/>
      <c r="U62" s="106"/>
      <c r="V62" s="106"/>
    </row>
    <row r="63" spans="1:22">
      <c r="A63" s="91"/>
      <c r="B63" s="92"/>
      <c r="C63" s="93"/>
      <c r="D63" s="95"/>
      <c r="E63" s="95"/>
      <c r="F63" s="94"/>
      <c r="G63" s="95"/>
      <c r="H63" s="96"/>
      <c r="I63" s="96"/>
      <c r="J63" s="94"/>
      <c r="K63" s="94"/>
      <c r="L63" s="95"/>
      <c r="M63" s="96"/>
      <c r="N63" s="96"/>
      <c r="O63" s="94"/>
      <c r="P63" s="106"/>
      <c r="Q63" s="106"/>
      <c r="S63" s="105"/>
      <c r="T63" s="106"/>
      <c r="U63" s="106"/>
      <c r="V63" s="106"/>
    </row>
    <row r="64" spans="1:22">
      <c r="A64" s="91"/>
      <c r="B64" s="92"/>
      <c r="C64" s="93"/>
      <c r="D64" s="95"/>
      <c r="E64" s="95"/>
      <c r="F64" s="94"/>
      <c r="G64" s="95"/>
      <c r="H64" s="96"/>
      <c r="I64" s="96"/>
      <c r="J64" s="94"/>
      <c r="K64" s="94"/>
      <c r="L64" s="95"/>
      <c r="M64" s="96"/>
      <c r="N64" s="96"/>
      <c r="O64" s="94"/>
      <c r="P64" s="106"/>
      <c r="Q64" s="106"/>
      <c r="S64" s="105"/>
      <c r="T64" s="106"/>
      <c r="U64" s="106"/>
      <c r="V64" s="106"/>
    </row>
    <row r="65" spans="1:22">
      <c r="A65" s="91"/>
      <c r="B65" s="92"/>
      <c r="C65" s="93"/>
      <c r="D65" s="95"/>
      <c r="E65" s="95"/>
      <c r="F65" s="94"/>
      <c r="G65" s="95"/>
      <c r="H65" s="96"/>
      <c r="I65" s="96"/>
      <c r="J65" s="94"/>
      <c r="K65" s="94"/>
      <c r="L65" s="95"/>
      <c r="M65" s="96"/>
      <c r="N65" s="96"/>
      <c r="O65" s="94"/>
      <c r="P65" s="106"/>
      <c r="Q65" s="106"/>
      <c r="S65" s="105"/>
      <c r="T65" s="106"/>
      <c r="U65" s="106"/>
      <c r="V65" s="106"/>
    </row>
    <row r="66" spans="1:22">
      <c r="A66" s="91"/>
      <c r="B66" s="92"/>
      <c r="C66" s="93"/>
      <c r="D66" s="95"/>
      <c r="E66" s="95"/>
      <c r="F66" s="94"/>
      <c r="G66" s="95"/>
      <c r="H66" s="96"/>
      <c r="I66" s="96"/>
      <c r="J66" s="94"/>
      <c r="K66" s="94"/>
      <c r="L66" s="95"/>
      <c r="M66" s="96"/>
      <c r="N66" s="96"/>
      <c r="O66" s="94"/>
      <c r="P66" s="106"/>
      <c r="Q66" s="106"/>
      <c r="S66" s="105"/>
      <c r="T66" s="106"/>
      <c r="U66" s="106"/>
      <c r="V66" s="106"/>
    </row>
    <row r="67" spans="1:22">
      <c r="A67" s="91"/>
      <c r="B67" s="92"/>
      <c r="C67" s="93"/>
      <c r="D67" s="95"/>
      <c r="E67" s="95"/>
      <c r="F67" s="94"/>
      <c r="G67" s="95"/>
      <c r="H67" s="96"/>
      <c r="I67" s="96"/>
      <c r="J67" s="94"/>
      <c r="K67" s="94"/>
      <c r="L67" s="95"/>
      <c r="M67" s="96"/>
      <c r="N67" s="96"/>
      <c r="O67" s="94"/>
      <c r="P67" s="106"/>
      <c r="Q67" s="106"/>
      <c r="S67" s="105"/>
      <c r="T67" s="106"/>
      <c r="U67" s="106"/>
      <c r="V67" s="106"/>
    </row>
    <row r="68" spans="1:22">
      <c r="A68" s="91"/>
      <c r="B68" s="92"/>
      <c r="C68" s="93"/>
      <c r="D68" s="95"/>
      <c r="E68" s="95"/>
      <c r="F68" s="94"/>
      <c r="G68" s="95"/>
      <c r="H68" s="96"/>
      <c r="I68" s="96"/>
      <c r="J68" s="94"/>
      <c r="K68" s="94"/>
      <c r="L68" s="95"/>
      <c r="M68" s="96"/>
      <c r="N68" s="96"/>
      <c r="O68" s="94"/>
      <c r="P68" s="106"/>
      <c r="Q68" s="106"/>
      <c r="S68" s="105"/>
      <c r="T68" s="106"/>
      <c r="U68" s="106"/>
      <c r="V68" s="106"/>
    </row>
    <row r="69" spans="1:22">
      <c r="A69" s="91"/>
      <c r="B69" s="92"/>
      <c r="C69" s="93"/>
      <c r="D69" s="95"/>
      <c r="E69" s="95"/>
      <c r="F69" s="94"/>
      <c r="G69" s="95"/>
      <c r="H69" s="96"/>
      <c r="I69" s="96"/>
      <c r="J69" s="94"/>
      <c r="K69" s="94"/>
      <c r="L69" s="95"/>
      <c r="M69" s="96"/>
      <c r="N69" s="96"/>
      <c r="O69" s="94"/>
      <c r="P69" s="106"/>
      <c r="Q69" s="106"/>
      <c r="S69" s="105"/>
      <c r="T69" s="106"/>
      <c r="U69" s="106"/>
      <c r="V69" s="106"/>
    </row>
    <row r="70" spans="1:22">
      <c r="A70" s="91"/>
      <c r="B70" s="92"/>
      <c r="C70" s="93"/>
      <c r="D70" s="95"/>
      <c r="E70" s="95"/>
      <c r="F70" s="94"/>
      <c r="G70" s="95"/>
      <c r="H70" s="96"/>
      <c r="I70" s="96"/>
      <c r="J70" s="94"/>
      <c r="K70" s="94"/>
      <c r="L70" s="95"/>
      <c r="M70" s="96"/>
      <c r="N70" s="96"/>
      <c r="O70" s="94"/>
      <c r="P70" s="106"/>
      <c r="Q70" s="106"/>
      <c r="S70" s="105"/>
      <c r="T70" s="106"/>
      <c r="U70" s="106"/>
      <c r="V70" s="106"/>
    </row>
    <row r="71" spans="1:22">
      <c r="A71" s="91"/>
      <c r="B71" s="92"/>
      <c r="C71" s="93"/>
      <c r="D71" s="95"/>
      <c r="E71" s="95"/>
      <c r="F71" s="94"/>
      <c r="G71" s="95"/>
      <c r="H71" s="96"/>
      <c r="I71" s="96"/>
      <c r="J71" s="94"/>
      <c r="K71" s="94"/>
      <c r="L71" s="95"/>
      <c r="M71" s="96"/>
      <c r="N71" s="96"/>
      <c r="O71" s="94"/>
      <c r="P71" s="106"/>
      <c r="Q71" s="106"/>
      <c r="S71" s="105"/>
      <c r="T71" s="106"/>
      <c r="U71" s="106"/>
      <c r="V71" s="106"/>
    </row>
    <row r="72" spans="1:22">
      <c r="A72" s="91"/>
      <c r="B72" s="92"/>
      <c r="C72" s="93"/>
      <c r="D72" s="95"/>
      <c r="E72" s="95"/>
      <c r="F72" s="94"/>
      <c r="G72" s="95"/>
      <c r="H72" s="96"/>
      <c r="I72" s="96"/>
      <c r="J72" s="94"/>
      <c r="K72" s="94"/>
      <c r="L72" s="95"/>
      <c r="M72" s="96"/>
      <c r="N72" s="96"/>
      <c r="O72" s="94"/>
      <c r="P72" s="106"/>
      <c r="Q72" s="106"/>
      <c r="S72" s="105"/>
      <c r="T72" s="106"/>
      <c r="U72" s="106"/>
      <c r="V72" s="106"/>
    </row>
    <row r="73" spans="1:22">
      <c r="A73" s="91"/>
      <c r="B73" s="92"/>
      <c r="C73" s="93"/>
      <c r="D73" s="95"/>
      <c r="E73" s="95"/>
      <c r="F73" s="94"/>
      <c r="G73" s="95"/>
      <c r="H73" s="96"/>
      <c r="I73" s="96"/>
      <c r="J73" s="94"/>
      <c r="K73" s="94"/>
      <c r="L73" s="95"/>
      <c r="M73" s="96"/>
      <c r="N73" s="96"/>
      <c r="O73" s="94"/>
      <c r="P73" s="106"/>
      <c r="Q73" s="106"/>
      <c r="S73" s="105"/>
      <c r="T73" s="106"/>
      <c r="U73" s="106"/>
      <c r="V73" s="106"/>
    </row>
    <row r="74" spans="1:22">
      <c r="A74" s="91"/>
      <c r="B74" s="92"/>
      <c r="C74" s="93"/>
      <c r="D74" s="95"/>
      <c r="E74" s="95"/>
      <c r="F74" s="94"/>
      <c r="G74" s="95"/>
      <c r="H74" s="96"/>
      <c r="I74" s="96"/>
      <c r="J74" s="94"/>
      <c r="K74" s="94"/>
      <c r="L74" s="95"/>
      <c r="M74" s="96"/>
      <c r="N74" s="96"/>
      <c r="O74" s="94"/>
      <c r="P74" s="106"/>
      <c r="Q74" s="106"/>
      <c r="S74" s="105"/>
      <c r="T74" s="106"/>
      <c r="U74" s="106"/>
      <c r="V74" s="106"/>
    </row>
    <row r="75" spans="1:22">
      <c r="A75" s="91"/>
      <c r="B75" s="92"/>
      <c r="C75" s="93"/>
      <c r="D75" s="95"/>
      <c r="E75" s="95"/>
      <c r="F75" s="94"/>
      <c r="G75" s="95"/>
      <c r="H75" s="96"/>
      <c r="I75" s="96"/>
      <c r="J75" s="94"/>
      <c r="K75" s="94"/>
      <c r="L75" s="95"/>
      <c r="M75" s="96"/>
      <c r="N75" s="96"/>
      <c r="O75" s="94"/>
      <c r="P75" s="106"/>
      <c r="Q75" s="106"/>
      <c r="S75" s="105"/>
      <c r="T75" s="106"/>
      <c r="U75" s="106"/>
      <c r="V75" s="106"/>
    </row>
    <row r="76" spans="1:22">
      <c r="A76" s="91"/>
      <c r="B76" s="92"/>
      <c r="C76" s="93"/>
      <c r="D76" s="95"/>
      <c r="E76" s="95"/>
      <c r="F76" s="94"/>
      <c r="G76" s="95"/>
      <c r="H76" s="96"/>
      <c r="I76" s="96"/>
      <c r="J76" s="94"/>
      <c r="K76" s="94"/>
      <c r="L76" s="95"/>
      <c r="M76" s="96"/>
      <c r="N76" s="96"/>
      <c r="O76" s="94"/>
      <c r="P76" s="106"/>
      <c r="Q76" s="106"/>
      <c r="S76" s="105"/>
      <c r="T76" s="106"/>
      <c r="U76" s="106"/>
      <c r="V76" s="106"/>
    </row>
    <row r="77" spans="1:22">
      <c r="A77" s="91"/>
      <c r="B77" s="92"/>
      <c r="C77" s="93"/>
      <c r="D77" s="95"/>
      <c r="E77" s="95"/>
      <c r="F77" s="94"/>
      <c r="G77" s="95"/>
      <c r="H77" s="96"/>
      <c r="I77" s="96"/>
      <c r="J77" s="94"/>
      <c r="K77" s="94"/>
      <c r="L77" s="95"/>
      <c r="M77" s="96"/>
      <c r="N77" s="96"/>
      <c r="O77" s="94"/>
      <c r="P77" s="106"/>
      <c r="Q77" s="106"/>
      <c r="S77" s="105"/>
      <c r="T77" s="106"/>
      <c r="U77" s="106"/>
      <c r="V77" s="106"/>
    </row>
    <row r="78" spans="1:22">
      <c r="A78" s="91"/>
      <c r="B78" s="92"/>
      <c r="C78" s="93"/>
      <c r="D78" s="95"/>
      <c r="E78" s="95"/>
      <c r="F78" s="94"/>
      <c r="G78" s="95"/>
      <c r="H78" s="96"/>
      <c r="I78" s="96"/>
      <c r="J78" s="94"/>
      <c r="K78" s="94"/>
      <c r="L78" s="95"/>
      <c r="M78" s="96"/>
      <c r="N78" s="96"/>
      <c r="O78" s="94"/>
      <c r="P78" s="106"/>
      <c r="Q78" s="106"/>
      <c r="S78" s="105"/>
      <c r="T78" s="106"/>
      <c r="U78" s="106"/>
      <c r="V78" s="106"/>
    </row>
    <row r="79" spans="1:22">
      <c r="A79" s="91"/>
      <c r="B79" s="92"/>
      <c r="C79" s="93"/>
      <c r="D79" s="95"/>
      <c r="E79" s="95"/>
      <c r="F79" s="94"/>
      <c r="G79" s="95"/>
      <c r="H79" s="96"/>
      <c r="I79" s="96"/>
      <c r="J79" s="94"/>
      <c r="K79" s="94"/>
      <c r="L79" s="95"/>
      <c r="M79" s="96"/>
      <c r="N79" s="96"/>
      <c r="O79" s="94"/>
      <c r="P79" s="106"/>
      <c r="Q79" s="106"/>
      <c r="S79" s="105"/>
      <c r="T79" s="106"/>
      <c r="U79" s="106"/>
      <c r="V79" s="106"/>
    </row>
    <row r="80" spans="1:22">
      <c r="A80" s="91"/>
      <c r="B80" s="92"/>
      <c r="C80" s="93"/>
      <c r="D80" s="95"/>
      <c r="E80" s="95"/>
      <c r="F80" s="94"/>
      <c r="G80" s="95"/>
      <c r="H80" s="96"/>
      <c r="I80" s="96"/>
      <c r="J80" s="94"/>
      <c r="K80" s="94"/>
      <c r="L80" s="95"/>
      <c r="M80" s="96"/>
      <c r="N80" s="96"/>
      <c r="O80" s="94"/>
      <c r="P80" s="106"/>
      <c r="Q80" s="106"/>
      <c r="S80" s="105"/>
      <c r="T80" s="106"/>
      <c r="U80" s="106"/>
      <c r="V80" s="106"/>
    </row>
    <row r="81" spans="1:22">
      <c r="A81" s="91"/>
      <c r="B81" s="92"/>
      <c r="C81" s="93"/>
      <c r="D81" s="95"/>
      <c r="E81" s="95"/>
      <c r="F81" s="94"/>
      <c r="G81" s="95"/>
      <c r="H81" s="96"/>
      <c r="I81" s="96"/>
      <c r="J81" s="94"/>
      <c r="K81" s="94"/>
      <c r="L81" s="95"/>
      <c r="M81" s="96"/>
      <c r="N81" s="96"/>
      <c r="O81" s="94"/>
      <c r="P81" s="106"/>
      <c r="Q81" s="106"/>
      <c r="S81" s="105"/>
      <c r="T81" s="106"/>
      <c r="U81" s="106"/>
      <c r="V81" s="106"/>
    </row>
    <row r="82" spans="1:22">
      <c r="A82" s="91"/>
      <c r="B82" s="92"/>
      <c r="C82" s="93"/>
      <c r="D82" s="95"/>
      <c r="E82" s="95"/>
      <c r="F82" s="94"/>
      <c r="G82" s="95"/>
      <c r="H82" s="96"/>
      <c r="I82" s="96"/>
      <c r="J82" s="94"/>
      <c r="K82" s="94"/>
      <c r="L82" s="95"/>
      <c r="M82" s="96"/>
      <c r="N82" s="96"/>
      <c r="O82" s="94"/>
      <c r="P82" s="106"/>
      <c r="Q82" s="106"/>
      <c r="S82" s="105"/>
      <c r="T82" s="106"/>
      <c r="U82" s="106"/>
      <c r="V82" s="106"/>
    </row>
    <row r="83" spans="1:22">
      <c r="A83" s="91"/>
      <c r="B83" s="92"/>
      <c r="C83" s="93"/>
      <c r="D83" s="95"/>
      <c r="E83" s="95"/>
      <c r="F83" s="94"/>
      <c r="G83" s="95"/>
      <c r="H83" s="96"/>
      <c r="I83" s="96"/>
      <c r="J83" s="94"/>
      <c r="K83" s="94"/>
      <c r="L83" s="95"/>
      <c r="M83" s="96"/>
      <c r="N83" s="96"/>
      <c r="O83" s="94"/>
      <c r="P83" s="106"/>
      <c r="Q83" s="106"/>
      <c r="S83" s="105"/>
      <c r="T83" s="106"/>
      <c r="U83" s="106"/>
      <c r="V83" s="106"/>
    </row>
    <row r="84" spans="1:22">
      <c r="A84" s="91"/>
      <c r="B84" s="92"/>
      <c r="C84" s="93"/>
      <c r="D84" s="95"/>
      <c r="E84" s="95"/>
      <c r="F84" s="94"/>
      <c r="G84" s="95"/>
      <c r="H84" s="96"/>
      <c r="I84" s="96"/>
      <c r="J84" s="94"/>
      <c r="K84" s="94"/>
      <c r="L84" s="95"/>
      <c r="M84" s="96"/>
      <c r="N84" s="96"/>
      <c r="O84" s="94"/>
      <c r="P84" s="106"/>
      <c r="Q84" s="106"/>
      <c r="S84" s="105"/>
      <c r="T84" s="106"/>
      <c r="U84" s="106"/>
      <c r="V84" s="106"/>
    </row>
    <row r="85" spans="1:22">
      <c r="A85" s="91"/>
      <c r="B85" s="92"/>
      <c r="C85" s="93"/>
      <c r="D85" s="95"/>
      <c r="E85" s="95"/>
      <c r="F85" s="94"/>
      <c r="G85" s="95"/>
      <c r="H85" s="96"/>
      <c r="I85" s="96"/>
      <c r="J85" s="94"/>
      <c r="K85" s="94"/>
      <c r="L85" s="95"/>
      <c r="M85" s="96"/>
      <c r="N85" s="96"/>
      <c r="O85" s="94"/>
      <c r="P85" s="106"/>
      <c r="Q85" s="106"/>
      <c r="S85" s="105"/>
      <c r="T85" s="106"/>
      <c r="U85" s="106"/>
      <c r="V85" s="106"/>
    </row>
    <row r="86" spans="1:22">
      <c r="A86" s="91"/>
      <c r="B86" s="92"/>
      <c r="C86" s="93"/>
      <c r="D86" s="95"/>
      <c r="E86" s="95"/>
      <c r="F86" s="94"/>
      <c r="G86" s="95"/>
      <c r="H86" s="96"/>
      <c r="I86" s="96"/>
      <c r="J86" s="94"/>
      <c r="K86" s="94"/>
      <c r="L86" s="95"/>
      <c r="M86" s="96"/>
      <c r="N86" s="96"/>
      <c r="O86" s="94"/>
      <c r="P86" s="106"/>
      <c r="Q86" s="106"/>
      <c r="S86" s="105"/>
      <c r="T86" s="106"/>
      <c r="U86" s="106"/>
      <c r="V86" s="106"/>
    </row>
    <row r="87" spans="1:22">
      <c r="A87" s="91"/>
      <c r="B87" s="92"/>
      <c r="C87" s="93"/>
      <c r="D87" s="95"/>
      <c r="E87" s="95"/>
      <c r="F87" s="94"/>
      <c r="G87" s="95"/>
      <c r="H87" s="96"/>
      <c r="I87" s="96"/>
      <c r="J87" s="94"/>
      <c r="K87" s="94"/>
      <c r="L87" s="95"/>
      <c r="M87" s="96"/>
      <c r="N87" s="96"/>
      <c r="O87" s="94"/>
      <c r="P87" s="106"/>
      <c r="Q87" s="106"/>
      <c r="S87" s="105"/>
      <c r="T87" s="106"/>
      <c r="U87" s="106"/>
      <c r="V87" s="106"/>
    </row>
    <row r="88" spans="1:22">
      <c r="A88" s="91"/>
      <c r="B88" s="92"/>
      <c r="C88" s="93"/>
      <c r="D88" s="95"/>
      <c r="E88" s="95"/>
      <c r="F88" s="94"/>
      <c r="G88" s="95"/>
      <c r="H88" s="96"/>
      <c r="I88" s="96"/>
      <c r="J88" s="94"/>
      <c r="K88" s="94"/>
      <c r="L88" s="95"/>
      <c r="M88" s="96"/>
      <c r="N88" s="96"/>
      <c r="O88" s="94"/>
      <c r="P88" s="106"/>
      <c r="Q88" s="106"/>
      <c r="S88" s="105"/>
      <c r="T88" s="106"/>
      <c r="U88" s="106"/>
      <c r="V88" s="106"/>
    </row>
    <row r="89" spans="1:22">
      <c r="A89" s="91"/>
      <c r="B89" s="92"/>
      <c r="C89" s="93"/>
      <c r="D89" s="95"/>
      <c r="E89" s="95"/>
      <c r="F89" s="94"/>
      <c r="G89" s="95"/>
      <c r="H89" s="96"/>
      <c r="I89" s="96"/>
      <c r="J89" s="94"/>
      <c r="K89" s="94"/>
      <c r="L89" s="95"/>
      <c r="M89" s="96"/>
      <c r="N89" s="96"/>
      <c r="O89" s="94"/>
      <c r="P89" s="106"/>
      <c r="Q89" s="106"/>
      <c r="S89" s="105"/>
      <c r="T89" s="106"/>
      <c r="U89" s="106"/>
      <c r="V89" s="106"/>
    </row>
    <row r="90" spans="1:22">
      <c r="A90" s="91"/>
      <c r="B90" s="92"/>
      <c r="C90" s="93"/>
      <c r="D90" s="95"/>
      <c r="E90" s="95"/>
      <c r="F90" s="94"/>
      <c r="G90" s="95"/>
      <c r="H90" s="96"/>
      <c r="I90" s="96"/>
      <c r="J90" s="94"/>
      <c r="K90" s="94"/>
      <c r="L90" s="95"/>
      <c r="M90" s="96"/>
      <c r="N90" s="96"/>
      <c r="O90" s="94"/>
      <c r="P90" s="106"/>
      <c r="Q90" s="106"/>
      <c r="S90" s="105"/>
      <c r="T90" s="106"/>
      <c r="U90" s="106"/>
      <c r="V90" s="106"/>
    </row>
    <row r="91" spans="1:22">
      <c r="A91" s="91"/>
      <c r="B91" s="92"/>
      <c r="C91" s="93"/>
      <c r="D91" s="95"/>
      <c r="E91" s="95"/>
      <c r="F91" s="94"/>
      <c r="G91" s="95"/>
      <c r="H91" s="96"/>
      <c r="I91" s="96"/>
      <c r="J91" s="94"/>
      <c r="K91" s="94"/>
      <c r="L91" s="95"/>
      <c r="M91" s="96"/>
      <c r="N91" s="96"/>
      <c r="O91" s="94"/>
      <c r="P91" s="106"/>
      <c r="Q91" s="106"/>
      <c r="S91" s="105"/>
      <c r="T91" s="106"/>
      <c r="U91" s="106"/>
      <c r="V91" s="106"/>
    </row>
    <row r="92" spans="1:22">
      <c r="A92" s="91"/>
      <c r="B92" s="92"/>
      <c r="C92" s="93"/>
      <c r="D92" s="95"/>
      <c r="E92" s="95"/>
      <c r="F92" s="94"/>
      <c r="G92" s="95"/>
      <c r="H92" s="96"/>
      <c r="I92" s="96"/>
      <c r="J92" s="94"/>
      <c r="K92" s="94"/>
      <c r="L92" s="95"/>
      <c r="M92" s="96"/>
      <c r="N92" s="96"/>
      <c r="O92" s="94"/>
      <c r="P92" s="106"/>
      <c r="Q92" s="106"/>
      <c r="S92" s="105"/>
      <c r="T92" s="106"/>
      <c r="U92" s="106"/>
      <c r="V92" s="106"/>
    </row>
    <row r="93" spans="1:22">
      <c r="A93" s="91"/>
      <c r="B93" s="92"/>
      <c r="C93" s="93"/>
      <c r="D93" s="95"/>
      <c r="E93" s="95"/>
      <c r="F93" s="94"/>
      <c r="G93" s="95"/>
      <c r="H93" s="96"/>
      <c r="I93" s="96"/>
      <c r="J93" s="94"/>
      <c r="K93" s="94"/>
      <c r="L93" s="95"/>
      <c r="M93" s="96"/>
      <c r="N93" s="96"/>
      <c r="O93" s="94"/>
      <c r="P93" s="106"/>
      <c r="Q93" s="106"/>
      <c r="S93" s="105"/>
      <c r="T93" s="106"/>
      <c r="U93" s="106"/>
      <c r="V93" s="106"/>
    </row>
    <row r="94" spans="1:22">
      <c r="A94" s="91"/>
      <c r="B94" s="92"/>
      <c r="C94" s="93"/>
      <c r="D94" s="95"/>
      <c r="E94" s="95"/>
      <c r="F94" s="94"/>
      <c r="G94" s="95"/>
      <c r="H94" s="96"/>
      <c r="I94" s="96"/>
      <c r="J94" s="94"/>
      <c r="K94" s="94"/>
      <c r="L94" s="95"/>
      <c r="M94" s="96"/>
      <c r="N94" s="96"/>
      <c r="O94" s="94"/>
      <c r="P94" s="106"/>
      <c r="Q94" s="106"/>
      <c r="S94" s="105"/>
      <c r="T94" s="106"/>
      <c r="U94" s="106"/>
      <c r="V94" s="106"/>
    </row>
    <row r="95" spans="1:22">
      <c r="A95" s="91"/>
      <c r="B95" s="92"/>
      <c r="C95" s="93"/>
      <c r="D95" s="95"/>
      <c r="E95" s="95"/>
      <c r="F95" s="94"/>
      <c r="G95" s="95"/>
      <c r="H95" s="96"/>
      <c r="I95" s="96"/>
      <c r="J95" s="94"/>
      <c r="K95" s="94"/>
      <c r="L95" s="95"/>
      <c r="M95" s="96"/>
      <c r="N95" s="96"/>
      <c r="O95" s="94"/>
      <c r="P95" s="106"/>
      <c r="Q95" s="106"/>
      <c r="S95" s="105"/>
      <c r="T95" s="106"/>
      <c r="U95" s="106"/>
      <c r="V95" s="106"/>
    </row>
    <row r="96" spans="1:22">
      <c r="A96" s="91"/>
      <c r="B96" s="92"/>
      <c r="C96" s="93"/>
      <c r="D96" s="95"/>
      <c r="E96" s="95"/>
      <c r="F96" s="94"/>
      <c r="G96" s="95"/>
      <c r="H96" s="96"/>
      <c r="I96" s="96"/>
      <c r="J96" s="94"/>
      <c r="K96" s="94"/>
      <c r="L96" s="95"/>
      <c r="M96" s="96"/>
      <c r="N96" s="96"/>
      <c r="O96" s="94"/>
      <c r="P96" s="106"/>
      <c r="Q96" s="106"/>
      <c r="S96" s="105"/>
      <c r="T96" s="106"/>
      <c r="U96" s="106"/>
      <c r="V96" s="106"/>
    </row>
    <row r="97" spans="1:22">
      <c r="A97" s="91"/>
      <c r="B97" s="92"/>
      <c r="C97" s="93"/>
      <c r="D97" s="95"/>
      <c r="E97" s="95"/>
      <c r="F97" s="94"/>
      <c r="G97" s="95"/>
      <c r="H97" s="96"/>
      <c r="I97" s="96"/>
      <c r="J97" s="94"/>
      <c r="K97" s="94"/>
      <c r="L97" s="95"/>
      <c r="M97" s="96"/>
      <c r="N97" s="96"/>
      <c r="O97" s="94"/>
      <c r="P97" s="106"/>
      <c r="Q97" s="106"/>
      <c r="S97" s="105"/>
      <c r="T97" s="106"/>
      <c r="U97" s="106"/>
      <c r="V97" s="106"/>
    </row>
    <row r="98" spans="1:22">
      <c r="A98" s="91"/>
      <c r="B98" s="92"/>
      <c r="C98" s="93"/>
      <c r="D98" s="95"/>
      <c r="E98" s="95"/>
      <c r="F98" s="94"/>
      <c r="G98" s="95"/>
      <c r="H98" s="96"/>
      <c r="I98" s="96"/>
      <c r="J98" s="94"/>
      <c r="K98" s="94"/>
      <c r="L98" s="95"/>
      <c r="M98" s="96"/>
      <c r="N98" s="96"/>
      <c r="O98" s="94"/>
      <c r="P98" s="106"/>
      <c r="Q98" s="106"/>
      <c r="S98" s="105"/>
      <c r="T98" s="106"/>
      <c r="U98" s="106"/>
      <c r="V98" s="106"/>
    </row>
    <row r="99" spans="1:22">
      <c r="A99" s="91"/>
      <c r="B99" s="92"/>
      <c r="C99" s="93"/>
      <c r="D99" s="95"/>
      <c r="E99" s="95"/>
      <c r="F99" s="94"/>
      <c r="G99" s="95"/>
      <c r="H99" s="96"/>
      <c r="I99" s="96"/>
      <c r="J99" s="94"/>
      <c r="K99" s="94"/>
      <c r="L99" s="95"/>
      <c r="M99" s="96"/>
      <c r="N99" s="96"/>
      <c r="O99" s="94"/>
      <c r="P99" s="106"/>
      <c r="Q99" s="106"/>
      <c r="S99" s="105"/>
      <c r="T99" s="106"/>
      <c r="U99" s="106"/>
      <c r="V99" s="106"/>
    </row>
    <row r="100" spans="1:22">
      <c r="A100" s="91"/>
      <c r="B100" s="92"/>
      <c r="C100" s="93"/>
      <c r="D100" s="95"/>
      <c r="E100" s="95"/>
      <c r="F100" s="94"/>
      <c r="G100" s="95"/>
      <c r="H100" s="96"/>
      <c r="I100" s="96"/>
      <c r="J100" s="94"/>
      <c r="K100" s="94"/>
      <c r="L100" s="95"/>
      <c r="M100" s="96"/>
      <c r="N100" s="96"/>
      <c r="O100" s="94"/>
      <c r="P100" s="106"/>
      <c r="Q100" s="106"/>
      <c r="S100" s="105"/>
      <c r="T100" s="106"/>
      <c r="U100" s="106"/>
      <c r="V100" s="106"/>
    </row>
    <row r="101" spans="1:22">
      <c r="A101" s="91"/>
      <c r="B101" s="92"/>
      <c r="C101" s="93"/>
      <c r="D101" s="95"/>
      <c r="E101" s="95"/>
      <c r="F101" s="94"/>
      <c r="G101" s="95"/>
      <c r="H101" s="96"/>
      <c r="I101" s="96"/>
      <c r="J101" s="94"/>
      <c r="K101" s="94"/>
      <c r="L101" s="95"/>
      <c r="M101" s="96"/>
      <c r="N101" s="96"/>
      <c r="O101" s="94"/>
      <c r="P101" s="106"/>
      <c r="Q101" s="106"/>
      <c r="S101" s="105"/>
      <c r="T101" s="106"/>
      <c r="U101" s="106"/>
      <c r="V101" s="106"/>
    </row>
    <row r="102" spans="1:22">
      <c r="A102" s="91"/>
      <c r="B102" s="92"/>
      <c r="C102" s="93"/>
      <c r="D102" s="95"/>
      <c r="E102" s="95"/>
      <c r="F102" s="94"/>
      <c r="G102" s="95"/>
      <c r="H102" s="96"/>
      <c r="I102" s="96"/>
      <c r="J102" s="94"/>
      <c r="K102" s="94"/>
      <c r="L102" s="95"/>
      <c r="M102" s="96"/>
      <c r="N102" s="96"/>
      <c r="O102" s="94"/>
      <c r="P102" s="106"/>
      <c r="Q102" s="106"/>
      <c r="S102" s="105"/>
      <c r="T102" s="106"/>
      <c r="U102" s="106"/>
      <c r="V102" s="106"/>
    </row>
    <row r="103" spans="1:22">
      <c r="A103" s="91"/>
      <c r="B103" s="92"/>
      <c r="C103" s="93"/>
      <c r="D103" s="95"/>
      <c r="E103" s="95"/>
      <c r="F103" s="94"/>
      <c r="G103" s="95"/>
      <c r="H103" s="96"/>
      <c r="I103" s="96"/>
      <c r="J103" s="94"/>
      <c r="K103" s="94"/>
      <c r="L103" s="95"/>
      <c r="M103" s="96"/>
      <c r="N103" s="96"/>
      <c r="O103" s="94"/>
      <c r="P103" s="106"/>
      <c r="Q103" s="106"/>
      <c r="S103" s="105"/>
      <c r="T103" s="106"/>
      <c r="U103" s="106"/>
      <c r="V103" s="106"/>
    </row>
    <row r="104" spans="1:22">
      <c r="A104" s="91"/>
      <c r="B104" s="92"/>
      <c r="C104" s="93"/>
      <c r="D104" s="95"/>
      <c r="E104" s="95"/>
      <c r="F104" s="94"/>
      <c r="G104" s="95"/>
      <c r="H104" s="96"/>
      <c r="I104" s="96"/>
      <c r="J104" s="94"/>
      <c r="K104" s="94"/>
      <c r="L104" s="95"/>
      <c r="M104" s="96"/>
      <c r="N104" s="96"/>
      <c r="O104" s="94"/>
      <c r="P104" s="106"/>
      <c r="Q104" s="106"/>
      <c r="S104" s="105"/>
      <c r="T104" s="106"/>
      <c r="U104" s="106"/>
      <c r="V104" s="106"/>
    </row>
    <row r="105" spans="1:22">
      <c r="A105" s="91"/>
      <c r="B105" s="92"/>
      <c r="C105" s="93"/>
      <c r="D105" s="95"/>
      <c r="E105" s="95"/>
      <c r="F105" s="94"/>
      <c r="G105" s="95"/>
      <c r="H105" s="96"/>
      <c r="I105" s="96"/>
      <c r="J105" s="94"/>
      <c r="K105" s="94"/>
      <c r="L105" s="95"/>
      <c r="M105" s="96"/>
      <c r="N105" s="96"/>
      <c r="O105" s="94"/>
      <c r="P105" s="106"/>
      <c r="Q105" s="106"/>
      <c r="S105" s="105"/>
      <c r="T105" s="106"/>
      <c r="U105" s="106"/>
      <c r="V105" s="106"/>
    </row>
    <row r="106" spans="1:22">
      <c r="A106" s="91"/>
      <c r="B106" s="92"/>
      <c r="C106" s="93"/>
      <c r="D106" s="95"/>
      <c r="E106" s="95"/>
      <c r="F106" s="94"/>
      <c r="G106" s="95"/>
      <c r="H106" s="96"/>
      <c r="I106" s="96"/>
      <c r="J106" s="94"/>
      <c r="K106" s="94"/>
      <c r="L106" s="95"/>
      <c r="M106" s="96"/>
      <c r="N106" s="96"/>
      <c r="O106" s="94"/>
      <c r="P106" s="106"/>
      <c r="Q106" s="106"/>
      <c r="S106" s="105"/>
      <c r="T106" s="106"/>
      <c r="U106" s="106"/>
      <c r="V106" s="106"/>
    </row>
    <row r="107" spans="1:22">
      <c r="A107" s="91"/>
      <c r="B107" s="92"/>
      <c r="C107" s="93"/>
      <c r="D107" s="95"/>
      <c r="E107" s="95"/>
      <c r="F107" s="94"/>
      <c r="G107" s="95"/>
      <c r="H107" s="96"/>
      <c r="I107" s="96"/>
      <c r="J107" s="94"/>
      <c r="K107" s="94"/>
      <c r="L107" s="95"/>
      <c r="M107" s="96"/>
      <c r="N107" s="96"/>
      <c r="O107" s="94"/>
      <c r="P107" s="106"/>
      <c r="Q107" s="106"/>
      <c r="S107" s="105"/>
      <c r="T107" s="106"/>
      <c r="U107" s="106"/>
      <c r="V107" s="106"/>
    </row>
    <row r="108" spans="1:22">
      <c r="A108" s="91"/>
      <c r="B108" s="92"/>
      <c r="C108" s="93"/>
      <c r="D108" s="95"/>
      <c r="E108" s="95"/>
      <c r="F108" s="94"/>
      <c r="G108" s="95"/>
      <c r="H108" s="96"/>
      <c r="I108" s="96"/>
      <c r="J108" s="94"/>
      <c r="K108" s="94"/>
      <c r="L108" s="95"/>
      <c r="M108" s="96"/>
      <c r="N108" s="96"/>
      <c r="O108" s="94"/>
      <c r="P108" s="106"/>
      <c r="Q108" s="106"/>
      <c r="S108" s="105"/>
      <c r="T108" s="106"/>
      <c r="U108" s="106"/>
      <c r="V108" s="106"/>
    </row>
    <row r="109" spans="1:22">
      <c r="A109" s="91"/>
      <c r="B109" s="92"/>
      <c r="C109" s="93"/>
      <c r="D109" s="95"/>
      <c r="E109" s="95"/>
      <c r="F109" s="94"/>
      <c r="G109" s="95"/>
      <c r="H109" s="96"/>
      <c r="I109" s="96"/>
      <c r="J109" s="94"/>
      <c r="K109" s="94"/>
      <c r="L109" s="95"/>
      <c r="M109" s="96"/>
      <c r="N109" s="96"/>
      <c r="O109" s="94"/>
      <c r="P109" s="106"/>
      <c r="Q109" s="106"/>
      <c r="S109" s="105"/>
      <c r="T109" s="106"/>
      <c r="U109" s="106"/>
      <c r="V109" s="106"/>
    </row>
    <row r="110" spans="1:22">
      <c r="A110" s="91"/>
      <c r="B110" s="92"/>
      <c r="C110" s="93"/>
      <c r="D110" s="95"/>
      <c r="E110" s="95"/>
      <c r="F110" s="94"/>
      <c r="G110" s="95"/>
      <c r="H110" s="96"/>
      <c r="I110" s="96"/>
      <c r="J110" s="94"/>
      <c r="K110" s="94"/>
      <c r="L110" s="95"/>
      <c r="M110" s="96"/>
      <c r="N110" s="96"/>
      <c r="O110" s="94"/>
      <c r="P110" s="106"/>
      <c r="Q110" s="106"/>
      <c r="S110" s="105"/>
      <c r="T110" s="106"/>
      <c r="U110" s="106"/>
      <c r="V110" s="106"/>
    </row>
    <row r="111" spans="1:22">
      <c r="A111" s="91"/>
      <c r="B111" s="92"/>
      <c r="C111" s="93"/>
      <c r="D111" s="95"/>
      <c r="E111" s="95"/>
      <c r="F111" s="94"/>
      <c r="G111" s="95"/>
      <c r="H111" s="96"/>
      <c r="I111" s="96"/>
      <c r="J111" s="94"/>
      <c r="K111" s="94"/>
      <c r="L111" s="95"/>
      <c r="M111" s="96"/>
      <c r="N111" s="96"/>
      <c r="O111" s="94"/>
      <c r="P111" s="106"/>
      <c r="Q111" s="106"/>
      <c r="S111" s="105"/>
      <c r="T111" s="106"/>
      <c r="U111" s="106"/>
      <c r="V111" s="106"/>
    </row>
    <row r="112" spans="1:22">
      <c r="A112" s="91"/>
      <c r="B112" s="92"/>
      <c r="C112" s="93"/>
      <c r="D112" s="95"/>
      <c r="E112" s="95"/>
      <c r="F112" s="94"/>
      <c r="G112" s="95"/>
      <c r="H112" s="96"/>
      <c r="I112" s="96"/>
      <c r="J112" s="94"/>
      <c r="K112" s="94"/>
      <c r="L112" s="95"/>
      <c r="M112" s="96"/>
      <c r="N112" s="96"/>
      <c r="O112" s="94"/>
      <c r="P112" s="106"/>
      <c r="Q112" s="106"/>
      <c r="S112" s="105"/>
      <c r="T112" s="106"/>
      <c r="U112" s="106"/>
      <c r="V112" s="106"/>
    </row>
    <row r="113" spans="1:22">
      <c r="A113" s="91"/>
      <c r="B113" s="92"/>
      <c r="C113" s="93"/>
      <c r="D113" s="95"/>
      <c r="E113" s="95"/>
      <c r="F113" s="94"/>
      <c r="G113" s="95"/>
      <c r="H113" s="96"/>
      <c r="I113" s="96"/>
      <c r="J113" s="94"/>
      <c r="K113" s="94"/>
      <c r="L113" s="95"/>
      <c r="M113" s="96"/>
      <c r="N113" s="96"/>
      <c r="O113" s="94"/>
      <c r="P113" s="106"/>
      <c r="Q113" s="106"/>
      <c r="S113" s="105"/>
      <c r="T113" s="106"/>
      <c r="U113" s="106"/>
      <c r="V113" s="106"/>
    </row>
    <row r="114" spans="1:22">
      <c r="A114" s="91"/>
      <c r="B114" s="92"/>
      <c r="C114" s="93"/>
      <c r="D114" s="95"/>
      <c r="E114" s="95"/>
      <c r="F114" s="94"/>
      <c r="G114" s="95"/>
      <c r="H114" s="96"/>
      <c r="I114" s="96"/>
      <c r="J114" s="94"/>
      <c r="K114" s="94"/>
      <c r="L114" s="95"/>
      <c r="M114" s="96"/>
      <c r="N114" s="96"/>
      <c r="O114" s="94"/>
      <c r="P114" s="106"/>
      <c r="Q114" s="106"/>
      <c r="S114" s="105"/>
      <c r="T114" s="106"/>
      <c r="U114" s="106"/>
      <c r="V114" s="106"/>
    </row>
    <row r="115" spans="1:22">
      <c r="A115" s="91"/>
      <c r="B115" s="92"/>
      <c r="C115" s="93"/>
      <c r="D115" s="95"/>
      <c r="E115" s="95"/>
      <c r="F115" s="94"/>
      <c r="G115" s="95"/>
      <c r="H115" s="96"/>
      <c r="I115" s="96"/>
      <c r="J115" s="94"/>
      <c r="K115" s="94"/>
      <c r="L115" s="95"/>
      <c r="M115" s="96"/>
      <c r="N115" s="96"/>
      <c r="O115" s="94"/>
      <c r="P115" s="106"/>
      <c r="Q115" s="106"/>
      <c r="S115" s="105"/>
      <c r="T115" s="106"/>
      <c r="U115" s="106"/>
      <c r="V115" s="106"/>
    </row>
    <row r="116" spans="1:22">
      <c r="A116" s="91"/>
      <c r="B116" s="92"/>
      <c r="C116" s="93"/>
      <c r="D116" s="95"/>
      <c r="E116" s="95"/>
      <c r="F116" s="94"/>
      <c r="G116" s="95"/>
      <c r="H116" s="96"/>
      <c r="I116" s="96"/>
      <c r="J116" s="94"/>
      <c r="K116" s="94"/>
      <c r="L116" s="95"/>
      <c r="M116" s="96"/>
      <c r="N116" s="96"/>
      <c r="O116" s="94"/>
      <c r="P116" s="106"/>
      <c r="Q116" s="106"/>
      <c r="S116" s="105"/>
      <c r="T116" s="106"/>
      <c r="U116" s="106"/>
      <c r="V116" s="106"/>
    </row>
    <row r="117" spans="1:22">
      <c r="A117" s="91"/>
      <c r="B117" s="92"/>
      <c r="C117" s="93"/>
      <c r="D117" s="95"/>
      <c r="E117" s="95"/>
      <c r="F117" s="94"/>
      <c r="G117" s="95"/>
      <c r="H117" s="96"/>
      <c r="I117" s="96"/>
      <c r="J117" s="94"/>
      <c r="K117" s="94"/>
      <c r="L117" s="95"/>
      <c r="M117" s="96"/>
      <c r="N117" s="96"/>
      <c r="O117" s="94"/>
      <c r="P117" s="106"/>
      <c r="Q117" s="106"/>
      <c r="S117" s="105"/>
      <c r="T117" s="106"/>
      <c r="U117" s="106"/>
      <c r="V117" s="106"/>
    </row>
    <row r="118" spans="1:22">
      <c r="A118" s="91"/>
      <c r="B118" s="92"/>
      <c r="C118" s="93"/>
      <c r="D118" s="95"/>
      <c r="E118" s="95"/>
      <c r="F118" s="94"/>
      <c r="G118" s="95"/>
      <c r="H118" s="96"/>
      <c r="I118" s="96"/>
      <c r="J118" s="94"/>
      <c r="K118" s="94"/>
      <c r="L118" s="95"/>
      <c r="M118" s="96"/>
      <c r="N118" s="96"/>
      <c r="O118" s="94"/>
      <c r="P118" s="106"/>
      <c r="Q118" s="106"/>
      <c r="S118" s="105"/>
      <c r="T118" s="106"/>
      <c r="U118" s="106"/>
      <c r="V118" s="106"/>
    </row>
    <row r="119" spans="1:22">
      <c r="A119" s="91"/>
      <c r="B119" s="92"/>
      <c r="C119" s="93"/>
      <c r="D119" s="95"/>
      <c r="E119" s="95"/>
      <c r="F119" s="94"/>
      <c r="G119" s="95"/>
      <c r="H119" s="96"/>
      <c r="I119" s="96"/>
      <c r="J119" s="94"/>
      <c r="K119" s="94"/>
      <c r="L119" s="95"/>
      <c r="M119" s="96"/>
      <c r="N119" s="96"/>
      <c r="O119" s="94"/>
      <c r="P119" s="106"/>
      <c r="Q119" s="106"/>
      <c r="S119" s="105"/>
      <c r="T119" s="106"/>
      <c r="U119" s="106"/>
      <c r="V119" s="106"/>
    </row>
    <row r="120" spans="1:22">
      <c r="A120" s="91"/>
      <c r="B120" s="92"/>
      <c r="C120" s="93"/>
      <c r="D120" s="95"/>
      <c r="E120" s="95"/>
      <c r="F120" s="94"/>
      <c r="G120" s="95"/>
      <c r="H120" s="96"/>
      <c r="I120" s="96"/>
      <c r="J120" s="94"/>
      <c r="K120" s="94"/>
      <c r="L120" s="95"/>
      <c r="M120" s="96"/>
      <c r="N120" s="96"/>
      <c r="O120" s="94"/>
      <c r="P120" s="106"/>
      <c r="Q120" s="106"/>
      <c r="S120" s="105"/>
      <c r="T120" s="106"/>
      <c r="U120" s="106"/>
      <c r="V120" s="106"/>
    </row>
    <row r="121" spans="1:22">
      <c r="A121" s="91"/>
      <c r="B121" s="92"/>
      <c r="C121" s="93"/>
      <c r="D121" s="95"/>
      <c r="E121" s="95"/>
      <c r="F121" s="94"/>
      <c r="G121" s="95"/>
      <c r="H121" s="96"/>
      <c r="I121" s="96"/>
      <c r="J121" s="94"/>
      <c r="K121" s="94"/>
      <c r="L121" s="95"/>
      <c r="M121" s="96"/>
      <c r="N121" s="96"/>
      <c r="O121" s="94"/>
      <c r="P121" s="106"/>
      <c r="Q121" s="106"/>
      <c r="S121" s="105"/>
      <c r="T121" s="106"/>
      <c r="U121" s="106"/>
      <c r="V121" s="106"/>
    </row>
    <row r="122" spans="1:22">
      <c r="A122" s="91"/>
      <c r="B122" s="92"/>
      <c r="C122" s="93"/>
      <c r="D122" s="95"/>
      <c r="E122" s="95"/>
      <c r="F122" s="94"/>
      <c r="G122" s="95"/>
      <c r="H122" s="96"/>
      <c r="I122" s="96"/>
      <c r="J122" s="94"/>
      <c r="K122" s="94"/>
      <c r="L122" s="95"/>
      <c r="M122" s="96"/>
      <c r="N122" s="96"/>
      <c r="O122" s="94"/>
      <c r="P122" s="106"/>
      <c r="Q122" s="106"/>
      <c r="S122" s="105"/>
      <c r="T122" s="106"/>
      <c r="U122" s="106"/>
      <c r="V122" s="106"/>
    </row>
    <row r="123" spans="1:22">
      <c r="A123" s="91"/>
      <c r="B123" s="92"/>
      <c r="C123" s="93"/>
      <c r="D123" s="95"/>
      <c r="E123" s="95"/>
      <c r="F123" s="94"/>
      <c r="G123" s="95"/>
      <c r="H123" s="96"/>
      <c r="I123" s="96"/>
      <c r="J123" s="94"/>
      <c r="K123" s="94"/>
      <c r="L123" s="95"/>
      <c r="M123" s="96"/>
      <c r="N123" s="96"/>
      <c r="O123" s="94"/>
      <c r="P123" s="106"/>
      <c r="Q123" s="106"/>
      <c r="S123" s="105"/>
      <c r="T123" s="106"/>
      <c r="U123" s="106"/>
      <c r="V123" s="106"/>
    </row>
    <row r="124" spans="1:22">
      <c r="A124" s="91"/>
      <c r="B124" s="92"/>
      <c r="C124" s="93"/>
      <c r="D124" s="95"/>
      <c r="E124" s="95"/>
      <c r="F124" s="94"/>
      <c r="G124" s="95"/>
      <c r="H124" s="96"/>
      <c r="I124" s="96"/>
      <c r="J124" s="94"/>
      <c r="K124" s="94"/>
      <c r="L124" s="95"/>
      <c r="M124" s="96"/>
      <c r="N124" s="96"/>
      <c r="O124" s="94"/>
      <c r="P124" s="106"/>
      <c r="Q124" s="106"/>
      <c r="S124" s="105"/>
      <c r="T124" s="106"/>
      <c r="U124" s="106"/>
      <c r="V124" s="106"/>
    </row>
    <row r="125" spans="1:22">
      <c r="A125" s="91"/>
      <c r="B125" s="92"/>
      <c r="C125" s="93"/>
      <c r="D125" s="95"/>
      <c r="E125" s="95"/>
      <c r="F125" s="94"/>
      <c r="G125" s="95"/>
      <c r="H125" s="96"/>
      <c r="I125" s="96"/>
      <c r="J125" s="94"/>
      <c r="K125" s="94"/>
      <c r="L125" s="95"/>
      <c r="M125" s="96"/>
      <c r="N125" s="96"/>
      <c r="O125" s="94"/>
      <c r="P125" s="106"/>
      <c r="Q125" s="106"/>
      <c r="S125" s="105"/>
      <c r="T125" s="106"/>
      <c r="U125" s="106"/>
      <c r="V125" s="106"/>
    </row>
    <row r="126" spans="1:22">
      <c r="A126" s="91"/>
      <c r="B126" s="92"/>
      <c r="C126" s="93"/>
      <c r="D126" s="95"/>
      <c r="E126" s="95"/>
      <c r="F126" s="94"/>
      <c r="G126" s="95"/>
      <c r="H126" s="96"/>
      <c r="I126" s="96"/>
      <c r="J126" s="94"/>
      <c r="K126" s="94"/>
      <c r="L126" s="95"/>
      <c r="M126" s="96"/>
      <c r="N126" s="96"/>
      <c r="O126" s="94"/>
      <c r="P126" s="106"/>
      <c r="Q126" s="106"/>
      <c r="S126" s="105"/>
      <c r="T126" s="106"/>
      <c r="U126" s="106"/>
      <c r="V126" s="106"/>
    </row>
    <row r="127" spans="1:22">
      <c r="A127" s="91"/>
      <c r="B127" s="92"/>
      <c r="C127" s="93"/>
      <c r="D127" s="95"/>
      <c r="E127" s="95"/>
      <c r="F127" s="94"/>
      <c r="G127" s="95"/>
      <c r="H127" s="96"/>
      <c r="I127" s="96"/>
      <c r="J127" s="94"/>
      <c r="K127" s="94"/>
      <c r="L127" s="95"/>
      <c r="M127" s="96"/>
      <c r="N127" s="96"/>
      <c r="O127" s="94"/>
      <c r="P127" s="106"/>
      <c r="Q127" s="106"/>
      <c r="S127" s="105"/>
      <c r="T127" s="106"/>
      <c r="U127" s="106"/>
      <c r="V127" s="106"/>
    </row>
    <row r="128" spans="1:22">
      <c r="A128" s="91"/>
      <c r="B128" s="92"/>
      <c r="C128" s="93"/>
      <c r="D128" s="95"/>
      <c r="E128" s="95"/>
      <c r="F128" s="94"/>
      <c r="G128" s="95"/>
      <c r="H128" s="96"/>
      <c r="I128" s="96"/>
      <c r="J128" s="94"/>
      <c r="K128" s="94"/>
      <c r="L128" s="95"/>
      <c r="M128" s="96"/>
      <c r="N128" s="96"/>
      <c r="O128" s="94"/>
      <c r="P128" s="106"/>
      <c r="Q128" s="106"/>
      <c r="S128" s="105"/>
      <c r="T128" s="106"/>
      <c r="U128" s="106"/>
      <c r="V128" s="106"/>
    </row>
    <row r="129" spans="1:22">
      <c r="A129" s="91"/>
      <c r="B129" s="92"/>
      <c r="C129" s="93"/>
      <c r="D129" s="95"/>
      <c r="E129" s="95"/>
      <c r="F129" s="94"/>
      <c r="G129" s="95"/>
      <c r="H129" s="96"/>
      <c r="I129" s="96"/>
      <c r="J129" s="94"/>
      <c r="K129" s="94"/>
      <c r="L129" s="95"/>
      <c r="M129" s="96"/>
      <c r="N129" s="96"/>
      <c r="O129" s="94"/>
      <c r="P129" s="106"/>
      <c r="Q129" s="106"/>
      <c r="S129" s="105"/>
      <c r="T129" s="106"/>
      <c r="U129" s="106"/>
      <c r="V129" s="106"/>
    </row>
    <row r="130" spans="1:22">
      <c r="A130" s="91"/>
      <c r="B130" s="92"/>
      <c r="C130" s="93"/>
      <c r="D130" s="95"/>
      <c r="E130" s="95"/>
      <c r="F130" s="94"/>
      <c r="G130" s="95"/>
      <c r="H130" s="96"/>
      <c r="I130" s="96"/>
      <c r="J130" s="94"/>
      <c r="K130" s="94"/>
      <c r="L130" s="95"/>
      <c r="M130" s="96"/>
      <c r="N130" s="96"/>
      <c r="O130" s="94"/>
      <c r="P130" s="106"/>
      <c r="Q130" s="106"/>
      <c r="S130" s="105"/>
      <c r="T130" s="106"/>
      <c r="U130" s="106"/>
      <c r="V130" s="106"/>
    </row>
    <row r="131" spans="1:22">
      <c r="A131" s="91"/>
      <c r="B131" s="92"/>
      <c r="C131" s="93"/>
      <c r="D131" s="95"/>
      <c r="E131" s="95"/>
      <c r="F131" s="94"/>
      <c r="G131" s="95"/>
      <c r="H131" s="96"/>
      <c r="I131" s="96"/>
      <c r="J131" s="94"/>
      <c r="K131" s="94"/>
      <c r="L131" s="95"/>
      <c r="M131" s="96"/>
      <c r="N131" s="96"/>
      <c r="O131" s="94"/>
      <c r="P131" s="106"/>
      <c r="Q131" s="106"/>
      <c r="S131" s="105"/>
      <c r="T131" s="106"/>
      <c r="U131" s="106"/>
      <c r="V131" s="106"/>
    </row>
    <row r="132" spans="1:22">
      <c r="A132" s="91"/>
      <c r="B132" s="92"/>
      <c r="C132" s="93"/>
      <c r="D132" s="95"/>
      <c r="E132" s="95"/>
      <c r="F132" s="94"/>
      <c r="G132" s="95"/>
      <c r="H132" s="96"/>
      <c r="I132" s="96"/>
      <c r="J132" s="94"/>
      <c r="K132" s="94"/>
      <c r="L132" s="95"/>
      <c r="M132" s="96"/>
      <c r="N132" s="96"/>
      <c r="O132" s="94"/>
      <c r="P132" s="106"/>
      <c r="Q132" s="106"/>
      <c r="S132" s="105"/>
      <c r="T132" s="106"/>
      <c r="U132" s="106"/>
      <c r="V132" s="106"/>
    </row>
    <row r="133" spans="1:22">
      <c r="A133" s="91"/>
      <c r="B133" s="92"/>
      <c r="C133" s="93"/>
      <c r="D133" s="95"/>
      <c r="E133" s="95"/>
      <c r="F133" s="94"/>
      <c r="G133" s="95"/>
      <c r="H133" s="96"/>
      <c r="I133" s="96"/>
      <c r="J133" s="94"/>
      <c r="K133" s="94"/>
      <c r="L133" s="95"/>
      <c r="M133" s="96"/>
      <c r="N133" s="96"/>
      <c r="O133" s="94"/>
      <c r="P133" s="106"/>
      <c r="Q133" s="106"/>
      <c r="S133" s="105"/>
      <c r="T133" s="106"/>
      <c r="U133" s="106"/>
      <c r="V133" s="106"/>
    </row>
    <row r="134" spans="1:22">
      <c r="A134" s="91"/>
      <c r="B134" s="92"/>
      <c r="C134" s="93"/>
      <c r="D134" s="95"/>
      <c r="E134" s="95"/>
      <c r="F134" s="94"/>
      <c r="G134" s="95"/>
      <c r="H134" s="96"/>
      <c r="I134" s="96"/>
      <c r="J134" s="94"/>
      <c r="K134" s="94"/>
      <c r="L134" s="95"/>
      <c r="M134" s="96"/>
      <c r="N134" s="96"/>
      <c r="O134" s="94"/>
      <c r="P134" s="106"/>
      <c r="Q134" s="106"/>
      <c r="S134" s="105"/>
      <c r="T134" s="106"/>
      <c r="U134" s="106"/>
      <c r="V134" s="106"/>
    </row>
    <row r="135" spans="1:22">
      <c r="A135" s="91"/>
      <c r="B135" s="92"/>
      <c r="C135" s="93"/>
      <c r="D135" s="95"/>
      <c r="E135" s="95"/>
      <c r="F135" s="94"/>
      <c r="G135" s="95"/>
      <c r="H135" s="96"/>
      <c r="I135" s="96"/>
      <c r="J135" s="94"/>
      <c r="K135" s="94"/>
      <c r="L135" s="95"/>
      <c r="M135" s="96"/>
      <c r="N135" s="96"/>
      <c r="O135" s="94"/>
      <c r="P135" s="106"/>
      <c r="Q135" s="106"/>
      <c r="S135" s="105"/>
      <c r="T135" s="106"/>
      <c r="U135" s="106"/>
      <c r="V135" s="106"/>
    </row>
    <row r="136" spans="1:22">
      <c r="A136" s="91"/>
      <c r="B136" s="92"/>
      <c r="C136" s="93"/>
      <c r="D136" s="95"/>
      <c r="E136" s="95"/>
      <c r="F136" s="94"/>
      <c r="G136" s="95"/>
      <c r="H136" s="96"/>
      <c r="I136" s="96"/>
      <c r="J136" s="94"/>
      <c r="K136" s="94"/>
      <c r="L136" s="95"/>
      <c r="M136" s="96"/>
      <c r="N136" s="96"/>
      <c r="O136" s="94"/>
      <c r="P136" s="106"/>
      <c r="Q136" s="106"/>
      <c r="S136" s="105"/>
      <c r="T136" s="106"/>
      <c r="U136" s="106"/>
      <c r="V136" s="106"/>
    </row>
    <row r="137" spans="1:22">
      <c r="A137" s="91"/>
      <c r="B137" s="92"/>
      <c r="C137" s="93"/>
      <c r="D137" s="95"/>
      <c r="E137" s="95"/>
      <c r="F137" s="94"/>
      <c r="G137" s="95"/>
      <c r="H137" s="96"/>
      <c r="I137" s="96"/>
      <c r="J137" s="94"/>
      <c r="K137" s="94"/>
      <c r="L137" s="95"/>
      <c r="M137" s="96"/>
      <c r="N137" s="96"/>
      <c r="O137" s="94"/>
      <c r="P137" s="106"/>
      <c r="Q137" s="106"/>
      <c r="S137" s="105"/>
      <c r="T137" s="106"/>
      <c r="U137" s="106"/>
      <c r="V137" s="106"/>
    </row>
    <row r="138" spans="1:22">
      <c r="A138" s="91"/>
      <c r="B138" s="92"/>
      <c r="C138" s="93"/>
      <c r="D138" s="95"/>
      <c r="E138" s="95"/>
      <c r="F138" s="94"/>
      <c r="G138" s="95"/>
      <c r="H138" s="96"/>
      <c r="I138" s="96"/>
      <c r="J138" s="94"/>
      <c r="K138" s="94"/>
      <c r="L138" s="95"/>
      <c r="M138" s="96"/>
      <c r="N138" s="96"/>
      <c r="O138" s="94"/>
      <c r="P138" s="106"/>
      <c r="Q138" s="106"/>
      <c r="S138" s="105"/>
      <c r="T138" s="106"/>
      <c r="U138" s="106"/>
      <c r="V138" s="106"/>
    </row>
    <row r="139" spans="1:22">
      <c r="A139" s="91"/>
      <c r="B139" s="92"/>
      <c r="C139" s="93"/>
      <c r="D139" s="95"/>
      <c r="E139" s="95"/>
      <c r="F139" s="94"/>
      <c r="G139" s="95"/>
      <c r="H139" s="96"/>
      <c r="I139" s="96"/>
      <c r="J139" s="94"/>
      <c r="K139" s="94"/>
      <c r="L139" s="95"/>
      <c r="M139" s="96"/>
      <c r="N139" s="96"/>
      <c r="O139" s="94"/>
      <c r="P139" s="106"/>
      <c r="Q139" s="106"/>
      <c r="S139" s="105"/>
      <c r="T139" s="106"/>
      <c r="U139" s="106"/>
      <c r="V139" s="106"/>
    </row>
    <row r="140" spans="1:22">
      <c r="A140" s="91"/>
      <c r="B140" s="92"/>
      <c r="C140" s="93"/>
      <c r="D140" s="95"/>
      <c r="E140" s="95"/>
      <c r="F140" s="94"/>
      <c r="G140" s="95"/>
      <c r="H140" s="96"/>
      <c r="I140" s="96"/>
      <c r="J140" s="94"/>
      <c r="K140" s="94"/>
      <c r="L140" s="95"/>
      <c r="M140" s="96"/>
      <c r="N140" s="96"/>
      <c r="O140" s="94"/>
      <c r="P140" s="106"/>
      <c r="Q140" s="106"/>
      <c r="S140" s="105"/>
      <c r="T140" s="106"/>
      <c r="U140" s="106"/>
      <c r="V140" s="106"/>
    </row>
    <row r="141" spans="1:22">
      <c r="A141" s="91"/>
      <c r="B141" s="92"/>
      <c r="C141" s="93"/>
      <c r="D141" s="95"/>
      <c r="E141" s="95"/>
      <c r="F141" s="94"/>
      <c r="G141" s="95"/>
      <c r="H141" s="96"/>
      <c r="I141" s="96"/>
      <c r="J141" s="94"/>
      <c r="K141" s="94"/>
      <c r="L141" s="95"/>
      <c r="M141" s="96"/>
      <c r="N141" s="96"/>
      <c r="O141" s="94"/>
      <c r="P141" s="106"/>
      <c r="Q141" s="106"/>
      <c r="S141" s="105"/>
      <c r="T141" s="106"/>
      <c r="U141" s="106"/>
      <c r="V141" s="106"/>
    </row>
    <row r="142" spans="1:22">
      <c r="A142" s="91"/>
      <c r="B142" s="92"/>
      <c r="C142" s="93"/>
      <c r="D142" s="95"/>
      <c r="E142" s="95"/>
      <c r="F142" s="94"/>
      <c r="G142" s="95"/>
      <c r="H142" s="96"/>
      <c r="I142" s="96"/>
      <c r="J142" s="94"/>
      <c r="K142" s="94"/>
      <c r="L142" s="95"/>
      <c r="M142" s="96"/>
      <c r="N142" s="96"/>
      <c r="O142" s="94"/>
      <c r="P142" s="106"/>
      <c r="Q142" s="106"/>
      <c r="S142" s="105"/>
      <c r="T142" s="106"/>
      <c r="U142" s="106"/>
      <c r="V142" s="106"/>
    </row>
    <row r="143" spans="1:22">
      <c r="A143" s="91"/>
      <c r="B143" s="92"/>
      <c r="C143" s="93"/>
      <c r="D143" s="95"/>
      <c r="E143" s="95"/>
      <c r="F143" s="94"/>
      <c r="G143" s="95"/>
      <c r="H143" s="96"/>
      <c r="I143" s="96"/>
      <c r="J143" s="94"/>
      <c r="K143" s="94"/>
      <c r="L143" s="95"/>
      <c r="M143" s="96"/>
      <c r="N143" s="96"/>
      <c r="O143" s="94"/>
      <c r="P143" s="106"/>
      <c r="Q143" s="106"/>
      <c r="S143" s="105"/>
      <c r="T143" s="106"/>
      <c r="U143" s="106"/>
      <c r="V143" s="106"/>
    </row>
    <row r="144" spans="1:22">
      <c r="A144" s="91"/>
      <c r="B144" s="92"/>
      <c r="C144" s="93"/>
      <c r="D144" s="95"/>
      <c r="E144" s="95"/>
      <c r="F144" s="94"/>
      <c r="G144" s="95"/>
      <c r="H144" s="96"/>
      <c r="I144" s="96"/>
      <c r="J144" s="94"/>
      <c r="K144" s="94"/>
      <c r="L144" s="95"/>
      <c r="M144" s="96"/>
      <c r="N144" s="96"/>
      <c r="O144" s="94"/>
      <c r="P144" s="106"/>
      <c r="Q144" s="106"/>
      <c r="S144" s="105"/>
      <c r="T144" s="106"/>
      <c r="U144" s="106"/>
      <c r="V144" s="106"/>
    </row>
    <row r="145" spans="1:22">
      <c r="A145" s="91"/>
      <c r="B145" s="92"/>
      <c r="C145" s="93"/>
      <c r="D145" s="95"/>
      <c r="E145" s="95"/>
      <c r="F145" s="94"/>
      <c r="G145" s="95"/>
      <c r="H145" s="96"/>
      <c r="I145" s="96"/>
      <c r="J145" s="94"/>
      <c r="K145" s="94"/>
      <c r="L145" s="95"/>
      <c r="M145" s="96"/>
      <c r="N145" s="96"/>
      <c r="O145" s="94"/>
      <c r="P145" s="106"/>
      <c r="Q145" s="106"/>
      <c r="S145" s="105"/>
      <c r="T145" s="106"/>
      <c r="U145" s="106"/>
      <c r="V145" s="106"/>
    </row>
    <row r="146" spans="1:22">
      <c r="A146" s="91"/>
      <c r="B146" s="92"/>
      <c r="C146" s="93"/>
      <c r="D146" s="95"/>
      <c r="E146" s="95"/>
      <c r="F146" s="94"/>
      <c r="G146" s="95"/>
      <c r="H146" s="96"/>
      <c r="I146" s="96"/>
      <c r="J146" s="94"/>
      <c r="K146" s="94"/>
      <c r="L146" s="95"/>
      <c r="M146" s="96"/>
      <c r="N146" s="96"/>
      <c r="O146" s="94"/>
      <c r="P146" s="106"/>
      <c r="Q146" s="106"/>
      <c r="S146" s="105"/>
      <c r="T146" s="106"/>
      <c r="U146" s="106"/>
      <c r="V146" s="106"/>
    </row>
    <row r="147" spans="1:22">
      <c r="A147" s="91"/>
      <c r="B147" s="92"/>
      <c r="C147" s="93"/>
      <c r="D147" s="95"/>
      <c r="E147" s="95"/>
      <c r="F147" s="94"/>
      <c r="G147" s="95"/>
      <c r="H147" s="96"/>
      <c r="I147" s="96"/>
      <c r="J147" s="94"/>
      <c r="K147" s="94"/>
      <c r="L147" s="95"/>
      <c r="M147" s="96"/>
      <c r="N147" s="96"/>
      <c r="O147" s="94"/>
      <c r="P147" s="106"/>
      <c r="Q147" s="106"/>
      <c r="S147" s="105"/>
      <c r="T147" s="106"/>
      <c r="U147" s="106"/>
      <c r="V147" s="106"/>
    </row>
    <row r="148" spans="1:22">
      <c r="A148" s="91"/>
      <c r="B148" s="92"/>
      <c r="C148" s="93"/>
      <c r="D148" s="95"/>
      <c r="E148" s="95"/>
      <c r="F148" s="94"/>
      <c r="G148" s="95"/>
      <c r="H148" s="96"/>
      <c r="I148" s="96"/>
      <c r="J148" s="94"/>
      <c r="K148" s="94"/>
      <c r="L148" s="95"/>
      <c r="M148" s="96"/>
      <c r="N148" s="96"/>
      <c r="O148" s="94"/>
      <c r="P148" s="106"/>
      <c r="Q148" s="106"/>
      <c r="S148" s="105"/>
      <c r="T148" s="106"/>
      <c r="U148" s="106"/>
      <c r="V148" s="106"/>
    </row>
    <row r="149" spans="1:22">
      <c r="A149" s="91"/>
      <c r="B149" s="92"/>
      <c r="C149" s="93"/>
      <c r="D149" s="95"/>
      <c r="E149" s="95"/>
      <c r="F149" s="94"/>
      <c r="G149" s="95"/>
      <c r="H149" s="96"/>
      <c r="I149" s="96"/>
      <c r="J149" s="94"/>
      <c r="K149" s="94"/>
      <c r="L149" s="95"/>
      <c r="M149" s="96"/>
      <c r="N149" s="96"/>
      <c r="O149" s="94"/>
      <c r="P149" s="106"/>
      <c r="Q149" s="106"/>
      <c r="S149" s="105"/>
      <c r="T149" s="106"/>
      <c r="U149" s="106"/>
      <c r="V149" s="106"/>
    </row>
    <row r="150" spans="1:22">
      <c r="A150" s="91"/>
      <c r="B150" s="92"/>
      <c r="C150" s="93"/>
      <c r="D150" s="95"/>
      <c r="E150" s="95"/>
      <c r="F150" s="94"/>
      <c r="G150" s="95"/>
      <c r="H150" s="96"/>
      <c r="I150" s="96"/>
      <c r="J150" s="94"/>
      <c r="K150" s="94"/>
      <c r="L150" s="95"/>
      <c r="M150" s="96"/>
      <c r="N150" s="96"/>
      <c r="O150" s="94"/>
      <c r="P150" s="106"/>
      <c r="Q150" s="106"/>
      <c r="S150" s="105"/>
      <c r="T150" s="106"/>
      <c r="U150" s="106"/>
      <c r="V150" s="106"/>
    </row>
    <row r="151" spans="1:22">
      <c r="A151" s="91"/>
      <c r="B151" s="92"/>
      <c r="C151" s="93"/>
      <c r="D151" s="95"/>
      <c r="E151" s="95"/>
      <c r="F151" s="94"/>
      <c r="G151" s="95"/>
      <c r="H151" s="96"/>
      <c r="I151" s="96"/>
      <c r="J151" s="94"/>
      <c r="K151" s="94"/>
      <c r="L151" s="95"/>
      <c r="M151" s="96"/>
      <c r="N151" s="96"/>
      <c r="O151" s="94"/>
      <c r="P151" s="106"/>
      <c r="Q151" s="106"/>
      <c r="S151" s="105"/>
      <c r="T151" s="106"/>
      <c r="U151" s="106"/>
      <c r="V151" s="106"/>
    </row>
    <row r="152" spans="1:22">
      <c r="A152" s="91"/>
      <c r="B152" s="92"/>
      <c r="C152" s="93"/>
      <c r="D152" s="95"/>
      <c r="E152" s="95"/>
      <c r="F152" s="94"/>
      <c r="G152" s="95"/>
      <c r="H152" s="96"/>
      <c r="I152" s="96"/>
      <c r="J152" s="94"/>
      <c r="K152" s="94"/>
      <c r="L152" s="95"/>
      <c r="M152" s="96"/>
      <c r="N152" s="96"/>
      <c r="O152" s="94"/>
      <c r="P152" s="106"/>
      <c r="Q152" s="106"/>
      <c r="S152" s="105"/>
      <c r="T152" s="106"/>
      <c r="U152" s="106"/>
      <c r="V152" s="106"/>
    </row>
    <row r="153" spans="1:22">
      <c r="A153" s="91"/>
      <c r="B153" s="92"/>
      <c r="C153" s="93"/>
      <c r="D153" s="95"/>
      <c r="E153" s="95"/>
      <c r="F153" s="94"/>
      <c r="G153" s="95"/>
      <c r="H153" s="96"/>
      <c r="I153" s="96"/>
      <c r="J153" s="94"/>
      <c r="K153" s="94"/>
      <c r="L153" s="95"/>
      <c r="M153" s="96"/>
      <c r="N153" s="96"/>
      <c r="O153" s="94"/>
      <c r="P153" s="106"/>
      <c r="Q153" s="106"/>
      <c r="S153" s="105"/>
      <c r="T153" s="106"/>
      <c r="U153" s="106"/>
      <c r="V153" s="106"/>
    </row>
    <row r="154" spans="1:22">
      <c r="A154" s="91"/>
      <c r="B154" s="92"/>
      <c r="C154" s="93"/>
      <c r="D154" s="95"/>
      <c r="E154" s="95"/>
      <c r="F154" s="94"/>
      <c r="G154" s="95"/>
      <c r="H154" s="96"/>
      <c r="I154" s="96"/>
      <c r="J154" s="94"/>
      <c r="K154" s="94"/>
      <c r="L154" s="95"/>
      <c r="M154" s="96"/>
      <c r="N154" s="96"/>
      <c r="O154" s="94"/>
      <c r="P154" s="106"/>
      <c r="Q154" s="106"/>
      <c r="S154" s="105"/>
      <c r="T154" s="106"/>
      <c r="U154" s="106"/>
      <c r="V154" s="106"/>
    </row>
    <row r="155" spans="1:22">
      <c r="A155" s="91"/>
      <c r="B155" s="92"/>
      <c r="C155" s="93"/>
      <c r="D155" s="95"/>
      <c r="E155" s="95"/>
      <c r="F155" s="94"/>
      <c r="G155" s="95"/>
      <c r="H155" s="96"/>
      <c r="I155" s="96"/>
      <c r="J155" s="94"/>
      <c r="K155" s="94"/>
      <c r="L155" s="95"/>
      <c r="M155" s="96"/>
      <c r="N155" s="96"/>
      <c r="O155" s="94"/>
      <c r="P155" s="106"/>
      <c r="Q155" s="106"/>
      <c r="S155" s="105"/>
      <c r="T155" s="106"/>
      <c r="U155" s="106"/>
      <c r="V155" s="106"/>
    </row>
    <row r="156" spans="1:22">
      <c r="A156" s="91"/>
      <c r="B156" s="92"/>
      <c r="C156" s="93"/>
      <c r="D156" s="95"/>
      <c r="E156" s="95"/>
      <c r="F156" s="94"/>
      <c r="G156" s="95"/>
      <c r="H156" s="96"/>
      <c r="I156" s="96"/>
      <c r="J156" s="94"/>
      <c r="K156" s="94"/>
      <c r="L156" s="95"/>
      <c r="M156" s="96"/>
      <c r="N156" s="96"/>
      <c r="O156" s="94"/>
      <c r="P156" s="106"/>
      <c r="Q156" s="106"/>
      <c r="S156" s="105"/>
      <c r="T156" s="106"/>
      <c r="U156" s="106"/>
      <c r="V156" s="106"/>
    </row>
    <row r="157" spans="1:22">
      <c r="A157" s="91"/>
      <c r="B157" s="92"/>
      <c r="C157" s="93"/>
      <c r="D157" s="95"/>
      <c r="E157" s="95"/>
      <c r="F157" s="94"/>
      <c r="G157" s="95"/>
      <c r="H157" s="96"/>
      <c r="I157" s="96"/>
      <c r="J157" s="94"/>
      <c r="K157" s="94"/>
      <c r="L157" s="95"/>
      <c r="M157" s="96"/>
      <c r="N157" s="96"/>
      <c r="O157" s="94"/>
      <c r="P157" s="106"/>
      <c r="Q157" s="106"/>
      <c r="S157" s="105"/>
      <c r="T157" s="106"/>
      <c r="U157" s="106"/>
      <c r="V157" s="106"/>
    </row>
    <row r="158" spans="1:22">
      <c r="A158" s="91"/>
      <c r="B158" s="92"/>
      <c r="C158" s="93"/>
      <c r="D158" s="95"/>
      <c r="E158" s="95"/>
      <c r="F158" s="94"/>
      <c r="G158" s="95"/>
      <c r="H158" s="96"/>
      <c r="I158" s="96"/>
      <c r="J158" s="94"/>
      <c r="K158" s="94"/>
      <c r="L158" s="95"/>
      <c r="M158" s="96"/>
      <c r="N158" s="96"/>
      <c r="O158" s="94"/>
      <c r="P158" s="106"/>
      <c r="Q158" s="106"/>
      <c r="S158" s="105"/>
      <c r="T158" s="106"/>
      <c r="U158" s="106"/>
      <c r="V158" s="106"/>
    </row>
    <row r="159" spans="1:22">
      <c r="A159" s="91"/>
      <c r="B159" s="92"/>
      <c r="C159" s="93"/>
      <c r="D159" s="95"/>
      <c r="E159" s="95"/>
      <c r="F159" s="94"/>
      <c r="G159" s="95"/>
      <c r="H159" s="96"/>
      <c r="I159" s="96"/>
      <c r="J159" s="94"/>
      <c r="K159" s="94"/>
      <c r="L159" s="95"/>
      <c r="M159" s="96"/>
      <c r="N159" s="96"/>
      <c r="O159" s="94"/>
      <c r="P159" s="106"/>
      <c r="Q159" s="106"/>
      <c r="S159" s="105"/>
      <c r="T159" s="106"/>
      <c r="U159" s="106"/>
      <c r="V159" s="106"/>
    </row>
    <row r="160" spans="1:22">
      <c r="A160" s="91"/>
      <c r="B160" s="92"/>
      <c r="C160" s="93"/>
      <c r="D160" s="95"/>
      <c r="E160" s="95"/>
      <c r="F160" s="94"/>
      <c r="G160" s="95"/>
      <c r="H160" s="96"/>
      <c r="I160" s="96"/>
      <c r="J160" s="94"/>
      <c r="K160" s="94"/>
      <c r="L160" s="95"/>
      <c r="M160" s="96"/>
      <c r="N160" s="96"/>
      <c r="O160" s="94"/>
      <c r="P160" s="106"/>
      <c r="Q160" s="106"/>
      <c r="S160" s="105"/>
      <c r="T160" s="106"/>
      <c r="U160" s="106"/>
      <c r="V160" s="106"/>
    </row>
    <row r="161" spans="1:22">
      <c r="A161" s="91"/>
      <c r="B161" s="92"/>
      <c r="C161" s="93"/>
      <c r="D161" s="95"/>
      <c r="E161" s="95"/>
      <c r="F161" s="94"/>
      <c r="G161" s="95"/>
      <c r="H161" s="96"/>
      <c r="I161" s="96"/>
      <c r="J161" s="94"/>
      <c r="K161" s="94"/>
      <c r="L161" s="95"/>
      <c r="M161" s="96"/>
      <c r="N161" s="96"/>
      <c r="O161" s="94"/>
      <c r="P161" s="106"/>
      <c r="Q161" s="106"/>
      <c r="S161" s="105"/>
      <c r="T161" s="106"/>
      <c r="U161" s="106"/>
      <c r="V161" s="106"/>
    </row>
    <row r="162" spans="1:22">
      <c r="A162" s="91"/>
      <c r="B162" s="92"/>
      <c r="C162" s="93"/>
      <c r="D162" s="95"/>
      <c r="E162" s="95"/>
      <c r="F162" s="94"/>
      <c r="G162" s="95"/>
      <c r="H162" s="96"/>
      <c r="I162" s="96"/>
      <c r="J162" s="94"/>
      <c r="K162" s="94"/>
      <c r="L162" s="95"/>
      <c r="M162" s="96"/>
      <c r="N162" s="96"/>
      <c r="O162" s="94"/>
      <c r="P162" s="106"/>
      <c r="Q162" s="106"/>
      <c r="S162" s="105"/>
      <c r="T162" s="106"/>
      <c r="U162" s="106"/>
      <c r="V162" s="106"/>
    </row>
    <row r="163" spans="1:22">
      <c r="A163" s="91"/>
      <c r="B163" s="92"/>
      <c r="C163" s="93"/>
      <c r="D163" s="95"/>
      <c r="E163" s="95"/>
      <c r="F163" s="94"/>
      <c r="G163" s="95"/>
      <c r="H163" s="96"/>
      <c r="I163" s="96"/>
      <c r="J163" s="94"/>
      <c r="K163" s="94"/>
      <c r="L163" s="95"/>
      <c r="M163" s="96"/>
      <c r="N163" s="96"/>
      <c r="O163" s="94"/>
      <c r="P163" s="106"/>
      <c r="Q163" s="106"/>
      <c r="S163" s="105"/>
      <c r="T163" s="106"/>
      <c r="U163" s="106"/>
      <c r="V163" s="106"/>
    </row>
    <row r="164" spans="1:22">
      <c r="A164" s="91"/>
      <c r="B164" s="92"/>
      <c r="C164" s="93"/>
      <c r="D164" s="95"/>
      <c r="E164" s="95"/>
      <c r="F164" s="94"/>
      <c r="G164" s="95"/>
      <c r="H164" s="96"/>
      <c r="I164" s="96"/>
      <c r="J164" s="94"/>
      <c r="K164" s="94"/>
      <c r="L164" s="95"/>
      <c r="M164" s="96"/>
      <c r="N164" s="96"/>
      <c r="O164" s="94"/>
      <c r="P164" s="106"/>
      <c r="Q164" s="106"/>
      <c r="S164" s="105"/>
      <c r="T164" s="106"/>
      <c r="U164" s="106"/>
      <c r="V164" s="106"/>
    </row>
    <row r="165" spans="1:22">
      <c r="A165" s="91"/>
      <c r="B165" s="92"/>
      <c r="C165" s="93"/>
      <c r="D165" s="95"/>
      <c r="E165" s="95"/>
      <c r="F165" s="94"/>
      <c r="G165" s="95"/>
      <c r="H165" s="96"/>
      <c r="I165" s="96"/>
      <c r="J165" s="94"/>
      <c r="K165" s="94"/>
      <c r="L165" s="95"/>
      <c r="M165" s="96"/>
      <c r="N165" s="96"/>
      <c r="O165" s="94"/>
      <c r="P165" s="106"/>
      <c r="Q165" s="106"/>
      <c r="S165" s="105"/>
      <c r="T165" s="106"/>
      <c r="U165" s="106"/>
      <c r="V165" s="106"/>
    </row>
    <row r="166" spans="1:22">
      <c r="A166" s="91"/>
      <c r="B166" s="92"/>
      <c r="C166" s="93"/>
      <c r="D166" s="95"/>
      <c r="E166" s="95"/>
      <c r="F166" s="94"/>
      <c r="G166" s="95"/>
      <c r="H166" s="96"/>
      <c r="I166" s="96"/>
      <c r="J166" s="94"/>
      <c r="K166" s="94"/>
      <c r="L166" s="95"/>
      <c r="M166" s="96"/>
      <c r="N166" s="96"/>
      <c r="O166" s="94"/>
      <c r="P166" s="106"/>
      <c r="Q166" s="106"/>
      <c r="S166" s="105"/>
      <c r="T166" s="106"/>
      <c r="U166" s="106"/>
      <c r="V166" s="106"/>
    </row>
    <row r="167" spans="1:22">
      <c r="A167" s="91"/>
      <c r="B167" s="92"/>
      <c r="C167" s="93"/>
      <c r="D167" s="95"/>
      <c r="E167" s="95"/>
      <c r="F167" s="94"/>
      <c r="G167" s="95"/>
      <c r="H167" s="96"/>
      <c r="I167" s="96"/>
      <c r="J167" s="94"/>
      <c r="K167" s="94"/>
      <c r="L167" s="95"/>
      <c r="M167" s="96"/>
      <c r="N167" s="96"/>
      <c r="O167" s="94"/>
      <c r="P167" s="106"/>
      <c r="Q167" s="106"/>
      <c r="S167" s="105"/>
      <c r="T167" s="106"/>
      <c r="U167" s="106"/>
      <c r="V167" s="106"/>
    </row>
    <row r="168" spans="1:22">
      <c r="A168" s="91"/>
      <c r="B168" s="92"/>
      <c r="C168" s="93"/>
      <c r="D168" s="95"/>
      <c r="E168" s="95"/>
      <c r="F168" s="94"/>
      <c r="G168" s="95"/>
      <c r="H168" s="96"/>
      <c r="I168" s="96"/>
      <c r="J168" s="94"/>
      <c r="K168" s="94"/>
      <c r="L168" s="95"/>
      <c r="M168" s="96"/>
      <c r="N168" s="96"/>
      <c r="O168" s="94"/>
      <c r="P168" s="106"/>
      <c r="Q168" s="106"/>
      <c r="S168" s="105"/>
      <c r="T168" s="106"/>
      <c r="U168" s="106"/>
      <c r="V168" s="106"/>
    </row>
    <row r="169" spans="1:22">
      <c r="A169" s="91"/>
      <c r="B169" s="92"/>
      <c r="C169" s="93"/>
      <c r="D169" s="95"/>
      <c r="E169" s="95"/>
      <c r="F169" s="94"/>
      <c r="G169" s="95"/>
      <c r="H169" s="96"/>
      <c r="I169" s="96"/>
      <c r="J169" s="94"/>
      <c r="K169" s="94"/>
      <c r="L169" s="95"/>
      <c r="M169" s="96"/>
      <c r="N169" s="96"/>
      <c r="O169" s="94"/>
      <c r="P169" s="106"/>
      <c r="Q169" s="106"/>
      <c r="S169" s="105"/>
      <c r="T169" s="106"/>
      <c r="U169" s="106"/>
      <c r="V169" s="106"/>
    </row>
    <row r="170" spans="1:22">
      <c r="A170" s="91"/>
      <c r="B170" s="92"/>
      <c r="C170" s="93"/>
      <c r="D170" s="95"/>
      <c r="E170" s="95"/>
      <c r="F170" s="94"/>
      <c r="G170" s="95"/>
      <c r="H170" s="96"/>
      <c r="I170" s="96"/>
      <c r="J170" s="94"/>
      <c r="K170" s="94"/>
      <c r="L170" s="95"/>
      <c r="M170" s="96"/>
      <c r="N170" s="96"/>
      <c r="O170" s="94"/>
      <c r="P170" s="106"/>
      <c r="Q170" s="106"/>
      <c r="S170" s="105"/>
      <c r="T170" s="106"/>
      <c r="U170" s="106"/>
      <c r="V170" s="106"/>
    </row>
    <row r="171" spans="1:22">
      <c r="A171" s="91"/>
      <c r="B171" s="92"/>
      <c r="C171" s="93"/>
      <c r="D171" s="95"/>
      <c r="E171" s="95"/>
      <c r="F171" s="94"/>
      <c r="G171" s="95"/>
      <c r="H171" s="96"/>
      <c r="I171" s="96"/>
      <c r="J171" s="94"/>
      <c r="K171" s="94"/>
      <c r="L171" s="95"/>
      <c r="M171" s="96"/>
      <c r="N171" s="96"/>
      <c r="O171" s="94"/>
      <c r="P171" s="106"/>
      <c r="Q171" s="106"/>
      <c r="S171" s="105"/>
      <c r="T171" s="106"/>
      <c r="U171" s="106"/>
      <c r="V171" s="106"/>
    </row>
    <row r="172" spans="1:22">
      <c r="A172" s="91"/>
      <c r="B172" s="92"/>
      <c r="C172" s="93"/>
      <c r="D172" s="95"/>
      <c r="E172" s="95"/>
      <c r="F172" s="94"/>
      <c r="G172" s="95"/>
      <c r="H172" s="96"/>
      <c r="I172" s="96"/>
      <c r="J172" s="94"/>
      <c r="K172" s="94"/>
      <c r="L172" s="95"/>
      <c r="M172" s="96"/>
      <c r="N172" s="96"/>
      <c r="O172" s="94"/>
      <c r="P172" s="106"/>
      <c r="Q172" s="106"/>
      <c r="S172" s="105"/>
      <c r="T172" s="106"/>
      <c r="U172" s="106"/>
      <c r="V172" s="106"/>
    </row>
    <row r="173" spans="1:22">
      <c r="A173" s="91"/>
      <c r="B173" s="92"/>
      <c r="C173" s="93"/>
      <c r="D173" s="95"/>
      <c r="E173" s="95"/>
      <c r="F173" s="94"/>
      <c r="G173" s="95"/>
      <c r="H173" s="96"/>
      <c r="I173" s="96"/>
      <c r="J173" s="94"/>
      <c r="K173" s="94"/>
      <c r="L173" s="95"/>
      <c r="M173" s="96"/>
      <c r="N173" s="96"/>
      <c r="O173" s="94"/>
      <c r="P173" s="106"/>
      <c r="Q173" s="106"/>
      <c r="S173" s="105"/>
      <c r="T173" s="106"/>
      <c r="U173" s="106"/>
      <c r="V173" s="106"/>
    </row>
    <row r="174" spans="1:22">
      <c r="A174" s="91"/>
      <c r="B174" s="92"/>
      <c r="C174" s="93"/>
      <c r="D174" s="95"/>
      <c r="E174" s="95"/>
      <c r="F174" s="94"/>
      <c r="G174" s="95"/>
      <c r="H174" s="96"/>
      <c r="I174" s="96"/>
      <c r="J174" s="94"/>
      <c r="K174" s="94"/>
      <c r="L174" s="95"/>
      <c r="M174" s="96"/>
      <c r="N174" s="96"/>
      <c r="O174" s="94"/>
      <c r="P174" s="106"/>
      <c r="Q174" s="106"/>
      <c r="S174" s="105"/>
      <c r="T174" s="106"/>
      <c r="U174" s="106"/>
      <c r="V174" s="106"/>
    </row>
    <row r="175" spans="1:22">
      <c r="A175" s="91"/>
      <c r="B175" s="92"/>
      <c r="C175" s="93"/>
      <c r="D175" s="95"/>
      <c r="E175" s="95"/>
      <c r="F175" s="94"/>
      <c r="G175" s="95"/>
      <c r="H175" s="96"/>
      <c r="I175" s="96"/>
      <c r="J175" s="94"/>
      <c r="K175" s="94"/>
      <c r="L175" s="95"/>
      <c r="M175" s="96"/>
      <c r="N175" s="96"/>
      <c r="O175" s="94"/>
      <c r="P175" s="106"/>
      <c r="Q175" s="106"/>
      <c r="S175" s="105"/>
      <c r="T175" s="106"/>
      <c r="U175" s="106"/>
      <c r="V175" s="106"/>
    </row>
    <row r="176" spans="1:22">
      <c r="A176" s="91"/>
      <c r="B176" s="92"/>
      <c r="C176" s="93"/>
      <c r="D176" s="95"/>
      <c r="E176" s="95"/>
      <c r="F176" s="94"/>
      <c r="G176" s="95"/>
      <c r="H176" s="96"/>
      <c r="I176" s="96"/>
      <c r="J176" s="94"/>
      <c r="K176" s="94"/>
      <c r="L176" s="95"/>
      <c r="M176" s="96"/>
      <c r="N176" s="96"/>
      <c r="O176" s="94"/>
      <c r="P176" s="106"/>
      <c r="Q176" s="106"/>
      <c r="S176" s="105"/>
      <c r="T176" s="106"/>
      <c r="U176" s="106"/>
      <c r="V176" s="106"/>
    </row>
    <row r="177" spans="1:22">
      <c r="A177" s="91"/>
      <c r="B177" s="92"/>
      <c r="C177" s="93"/>
      <c r="D177" s="95"/>
      <c r="E177" s="95"/>
      <c r="F177" s="94"/>
      <c r="G177" s="95"/>
      <c r="H177" s="96"/>
      <c r="I177" s="96"/>
      <c r="J177" s="94"/>
      <c r="K177" s="94"/>
      <c r="L177" s="95"/>
      <c r="M177" s="96"/>
      <c r="N177" s="96"/>
      <c r="O177" s="94"/>
      <c r="P177" s="106"/>
      <c r="Q177" s="106"/>
      <c r="S177" s="105"/>
      <c r="T177" s="106"/>
      <c r="U177" s="106"/>
      <c r="V177" s="106"/>
    </row>
    <row r="178" spans="1:22">
      <c r="A178" s="91"/>
      <c r="B178" s="92"/>
      <c r="C178" s="93"/>
      <c r="D178" s="95"/>
      <c r="E178" s="95"/>
      <c r="F178" s="94"/>
      <c r="G178" s="95"/>
      <c r="H178" s="96"/>
      <c r="I178" s="96"/>
      <c r="J178" s="94"/>
      <c r="K178" s="94"/>
      <c r="L178" s="95"/>
      <c r="M178" s="96"/>
      <c r="N178" s="96"/>
      <c r="O178" s="94"/>
      <c r="P178" s="106"/>
      <c r="Q178" s="106"/>
      <c r="S178" s="105"/>
      <c r="T178" s="106"/>
      <c r="U178" s="106"/>
      <c r="V178" s="106"/>
    </row>
    <row r="179" spans="1:22">
      <c r="A179" s="91"/>
      <c r="B179" s="92"/>
      <c r="C179" s="93"/>
      <c r="D179" s="95"/>
      <c r="E179" s="95"/>
      <c r="F179" s="94"/>
      <c r="G179" s="95"/>
      <c r="H179" s="96"/>
      <c r="I179" s="96"/>
      <c r="J179" s="94"/>
      <c r="K179" s="94"/>
      <c r="L179" s="95"/>
      <c r="M179" s="96"/>
      <c r="N179" s="96"/>
      <c r="O179" s="94"/>
      <c r="P179" s="106"/>
      <c r="Q179" s="106"/>
      <c r="S179" s="105"/>
      <c r="T179" s="106"/>
      <c r="U179" s="106"/>
      <c r="V179" s="106"/>
    </row>
    <row r="180" spans="1:22">
      <c r="A180" s="91"/>
      <c r="B180" s="92"/>
      <c r="C180" s="93"/>
      <c r="D180" s="95"/>
      <c r="E180" s="95"/>
      <c r="F180" s="94"/>
      <c r="G180" s="95"/>
      <c r="H180" s="96"/>
      <c r="I180" s="96"/>
      <c r="J180" s="94"/>
      <c r="K180" s="94"/>
      <c r="L180" s="95"/>
      <c r="M180" s="96"/>
      <c r="N180" s="96"/>
      <c r="O180" s="94"/>
      <c r="P180" s="106"/>
      <c r="Q180" s="106"/>
      <c r="S180" s="105"/>
      <c r="T180" s="106"/>
      <c r="U180" s="106"/>
      <c r="V180" s="106"/>
    </row>
    <row r="181" spans="1:22">
      <c r="A181" s="91"/>
      <c r="B181" s="92"/>
      <c r="C181" s="93"/>
      <c r="D181" s="95"/>
      <c r="E181" s="95"/>
      <c r="F181" s="94"/>
      <c r="G181" s="95"/>
      <c r="H181" s="96"/>
      <c r="I181" s="96"/>
      <c r="J181" s="94"/>
      <c r="K181" s="94"/>
      <c r="L181" s="95"/>
      <c r="M181" s="96"/>
      <c r="N181" s="96"/>
      <c r="O181" s="94"/>
      <c r="P181" s="106"/>
      <c r="Q181" s="106"/>
      <c r="S181" s="105"/>
      <c r="T181" s="106"/>
      <c r="U181" s="106"/>
      <c r="V181" s="106"/>
    </row>
    <row r="182" spans="1:22">
      <c r="A182" s="91"/>
      <c r="B182" s="92"/>
      <c r="C182" s="93"/>
      <c r="D182" s="95"/>
      <c r="E182" s="95"/>
      <c r="F182" s="94"/>
      <c r="G182" s="95"/>
      <c r="H182" s="96"/>
      <c r="I182" s="96"/>
      <c r="J182" s="94"/>
      <c r="K182" s="94"/>
      <c r="L182" s="95"/>
      <c r="M182" s="96"/>
      <c r="N182" s="96"/>
      <c r="O182" s="94"/>
      <c r="P182" s="106"/>
      <c r="Q182" s="106"/>
      <c r="S182" s="105"/>
      <c r="T182" s="106"/>
      <c r="U182" s="106"/>
      <c r="V182" s="106"/>
    </row>
    <row r="183" spans="1:22">
      <c r="A183" s="91"/>
      <c r="B183" s="92"/>
      <c r="C183" s="93"/>
      <c r="D183" s="95"/>
      <c r="E183" s="95"/>
      <c r="F183" s="94"/>
      <c r="G183" s="95"/>
      <c r="H183" s="96"/>
      <c r="I183" s="96"/>
      <c r="J183" s="94"/>
      <c r="K183" s="94"/>
      <c r="L183" s="95"/>
      <c r="M183" s="96"/>
      <c r="N183" s="96"/>
      <c r="O183" s="94"/>
      <c r="P183" s="106"/>
      <c r="Q183" s="106"/>
      <c r="S183" s="105"/>
      <c r="T183" s="106"/>
      <c r="U183" s="106"/>
      <c r="V183" s="106"/>
    </row>
    <row r="184" spans="1:22">
      <c r="A184" s="91"/>
      <c r="B184" s="92"/>
      <c r="C184" s="93"/>
      <c r="D184" s="95"/>
      <c r="E184" s="95"/>
      <c r="F184" s="94"/>
      <c r="G184" s="95"/>
      <c r="H184" s="96"/>
      <c r="I184" s="96"/>
      <c r="J184" s="94"/>
      <c r="K184" s="94"/>
      <c r="L184" s="95"/>
      <c r="M184" s="96"/>
      <c r="N184" s="96"/>
      <c r="O184" s="94"/>
      <c r="P184" s="106"/>
      <c r="Q184" s="106"/>
      <c r="S184" s="105"/>
      <c r="T184" s="106"/>
      <c r="U184" s="106"/>
      <c r="V184" s="106"/>
    </row>
    <row r="185" spans="1:22">
      <c r="A185" s="91"/>
      <c r="B185" s="92"/>
      <c r="C185" s="93"/>
      <c r="D185" s="95"/>
      <c r="E185" s="95"/>
      <c r="F185" s="94"/>
      <c r="G185" s="95"/>
      <c r="H185" s="96"/>
      <c r="I185" s="96"/>
      <c r="J185" s="94"/>
      <c r="K185" s="94"/>
      <c r="L185" s="95"/>
      <c r="M185" s="96"/>
      <c r="N185" s="96"/>
      <c r="O185" s="94"/>
      <c r="P185" s="106"/>
      <c r="Q185" s="106"/>
      <c r="S185" s="105"/>
      <c r="T185" s="106"/>
      <c r="U185" s="106"/>
      <c r="V185" s="106"/>
    </row>
    <row r="186" spans="1:22">
      <c r="A186" s="91"/>
      <c r="B186" s="92"/>
      <c r="C186" s="93"/>
      <c r="D186" s="95"/>
      <c r="E186" s="95"/>
      <c r="F186" s="94"/>
      <c r="G186" s="95"/>
      <c r="H186" s="96"/>
      <c r="I186" s="96"/>
      <c r="J186" s="94"/>
      <c r="K186" s="94"/>
      <c r="L186" s="95"/>
      <c r="M186" s="96"/>
      <c r="N186" s="96"/>
      <c r="O186" s="94"/>
      <c r="P186" s="106"/>
      <c r="Q186" s="106"/>
      <c r="S186" s="105"/>
      <c r="T186" s="106"/>
      <c r="U186" s="106"/>
      <c r="V186" s="106"/>
    </row>
    <row r="187" spans="1:22">
      <c r="A187" s="91"/>
      <c r="B187" s="92"/>
      <c r="C187" s="93"/>
      <c r="D187" s="95"/>
      <c r="E187" s="95"/>
      <c r="F187" s="94"/>
      <c r="G187" s="95"/>
      <c r="H187" s="96"/>
      <c r="I187" s="96"/>
      <c r="J187" s="94"/>
      <c r="K187" s="94"/>
      <c r="L187" s="95"/>
      <c r="M187" s="96"/>
      <c r="N187" s="96"/>
      <c r="O187" s="94"/>
      <c r="P187" s="106"/>
      <c r="Q187" s="106"/>
      <c r="S187" s="105"/>
      <c r="T187" s="106"/>
      <c r="U187" s="106"/>
      <c r="V187" s="106"/>
    </row>
    <row r="188" spans="1:22">
      <c r="A188" s="91"/>
      <c r="B188" s="92"/>
      <c r="C188" s="93"/>
      <c r="D188" s="95"/>
      <c r="E188" s="95"/>
      <c r="F188" s="94"/>
      <c r="G188" s="95"/>
      <c r="H188" s="96"/>
      <c r="I188" s="96"/>
      <c r="J188" s="94"/>
      <c r="K188" s="94"/>
      <c r="L188" s="95"/>
      <c r="M188" s="96"/>
      <c r="N188" s="96"/>
      <c r="O188" s="94"/>
      <c r="P188" s="106"/>
      <c r="Q188" s="106"/>
      <c r="S188" s="105"/>
      <c r="T188" s="106"/>
      <c r="U188" s="106"/>
      <c r="V188" s="106"/>
    </row>
    <row r="189" spans="1:22">
      <c r="A189" s="91"/>
      <c r="B189" s="92"/>
      <c r="C189" s="93"/>
      <c r="D189" s="95"/>
      <c r="E189" s="95"/>
      <c r="F189" s="94"/>
      <c r="G189" s="95"/>
      <c r="H189" s="96"/>
      <c r="I189" s="96"/>
      <c r="J189" s="94"/>
      <c r="K189" s="94"/>
      <c r="L189" s="95"/>
      <c r="M189" s="96"/>
      <c r="N189" s="96"/>
      <c r="O189" s="94"/>
      <c r="P189" s="106"/>
      <c r="Q189" s="106"/>
      <c r="S189" s="105"/>
      <c r="T189" s="106"/>
      <c r="U189" s="106"/>
      <c r="V189" s="106"/>
    </row>
    <row r="190" spans="1:22">
      <c r="A190" s="91"/>
      <c r="B190" s="92"/>
      <c r="C190" s="93"/>
      <c r="D190" s="95"/>
      <c r="E190" s="95"/>
      <c r="F190" s="94"/>
      <c r="G190" s="95"/>
      <c r="H190" s="96"/>
      <c r="I190" s="96"/>
      <c r="J190" s="94"/>
      <c r="K190" s="94"/>
      <c r="L190" s="95"/>
      <c r="M190" s="96"/>
      <c r="N190" s="96"/>
      <c r="O190" s="94"/>
      <c r="P190" s="106"/>
      <c r="Q190" s="106"/>
      <c r="S190" s="105"/>
      <c r="T190" s="106"/>
      <c r="U190" s="106"/>
      <c r="V190" s="106"/>
    </row>
    <row r="191" spans="1:22">
      <c r="A191" s="91"/>
      <c r="B191" s="92"/>
      <c r="C191" s="93"/>
      <c r="D191" s="95"/>
      <c r="E191" s="95"/>
      <c r="F191" s="94"/>
      <c r="G191" s="95"/>
      <c r="H191" s="96"/>
      <c r="I191" s="96"/>
      <c r="J191" s="94"/>
      <c r="K191" s="94"/>
      <c r="L191" s="95"/>
      <c r="M191" s="96"/>
      <c r="N191" s="96"/>
      <c r="O191" s="94"/>
      <c r="P191" s="106"/>
      <c r="Q191" s="106"/>
      <c r="S191" s="105"/>
      <c r="T191" s="106"/>
      <c r="U191" s="106"/>
      <c r="V191" s="106"/>
    </row>
    <row r="192" spans="1:22">
      <c r="A192" s="91"/>
      <c r="B192" s="92"/>
      <c r="C192" s="93"/>
      <c r="D192" s="95"/>
      <c r="E192" s="95"/>
      <c r="F192" s="94"/>
      <c r="G192" s="95"/>
      <c r="H192" s="96"/>
      <c r="I192" s="96"/>
      <c r="J192" s="94"/>
      <c r="K192" s="94"/>
      <c r="L192" s="95"/>
      <c r="M192" s="96"/>
      <c r="N192" s="96"/>
      <c r="O192" s="94"/>
      <c r="P192" s="106"/>
      <c r="Q192" s="106"/>
      <c r="S192" s="105"/>
      <c r="T192" s="106"/>
      <c r="U192" s="106"/>
      <c r="V192" s="106"/>
    </row>
    <row r="193" spans="1:22">
      <c r="A193" s="91"/>
      <c r="B193" s="92"/>
      <c r="C193" s="93"/>
      <c r="D193" s="95"/>
      <c r="E193" s="95"/>
      <c r="F193" s="94"/>
      <c r="G193" s="95"/>
      <c r="H193" s="96"/>
      <c r="I193" s="96"/>
      <c r="J193" s="94"/>
      <c r="K193" s="94"/>
      <c r="L193" s="95"/>
      <c r="M193" s="96"/>
      <c r="N193" s="96"/>
      <c r="O193" s="94"/>
      <c r="P193" s="106"/>
      <c r="Q193" s="106"/>
      <c r="S193" s="105"/>
      <c r="T193" s="106"/>
      <c r="U193" s="106"/>
      <c r="V193" s="106"/>
    </row>
    <row r="194" spans="1:22">
      <c r="A194" s="91"/>
      <c r="B194" s="92"/>
      <c r="C194" s="93"/>
      <c r="D194" s="95"/>
      <c r="E194" s="95"/>
      <c r="F194" s="94"/>
      <c r="G194" s="95"/>
      <c r="H194" s="96"/>
      <c r="I194" s="96"/>
      <c r="J194" s="94"/>
      <c r="K194" s="94"/>
      <c r="L194" s="95"/>
      <c r="M194" s="96"/>
      <c r="N194" s="96"/>
      <c r="O194" s="94"/>
      <c r="P194" s="106"/>
      <c r="Q194" s="106"/>
      <c r="S194" s="105"/>
      <c r="T194" s="106"/>
      <c r="U194" s="106"/>
      <c r="V194" s="106"/>
    </row>
    <row r="195" spans="1:22">
      <c r="A195" s="91"/>
      <c r="B195" s="92"/>
      <c r="C195" s="93"/>
      <c r="D195" s="95"/>
      <c r="E195" s="95"/>
      <c r="F195" s="94"/>
      <c r="G195" s="95"/>
      <c r="H195" s="96"/>
      <c r="I195" s="96"/>
      <c r="J195" s="94"/>
      <c r="K195" s="94"/>
      <c r="L195" s="95"/>
      <c r="M195" s="96"/>
      <c r="N195" s="96"/>
      <c r="O195" s="94"/>
      <c r="P195" s="106"/>
      <c r="Q195" s="106"/>
      <c r="S195" s="105"/>
      <c r="T195" s="106"/>
      <c r="U195" s="106"/>
      <c r="V195" s="106"/>
    </row>
    <row r="196" spans="1:22">
      <c r="A196" s="91"/>
      <c r="B196" s="92"/>
      <c r="C196" s="93"/>
      <c r="D196" s="95"/>
      <c r="E196" s="95"/>
      <c r="F196" s="94"/>
      <c r="G196" s="95"/>
      <c r="H196" s="96"/>
      <c r="I196" s="96"/>
      <c r="J196" s="94"/>
      <c r="K196" s="94"/>
      <c r="L196" s="95"/>
      <c r="M196" s="96"/>
      <c r="N196" s="96"/>
      <c r="O196" s="94"/>
      <c r="P196" s="106"/>
      <c r="Q196" s="106"/>
      <c r="S196" s="105"/>
      <c r="T196" s="106"/>
      <c r="U196" s="106"/>
      <c r="V196" s="106"/>
    </row>
    <row r="197" spans="1:22">
      <c r="A197" s="91"/>
      <c r="B197" s="92"/>
      <c r="C197" s="93"/>
      <c r="D197" s="95"/>
      <c r="E197" s="95"/>
      <c r="F197" s="94"/>
      <c r="G197" s="95"/>
      <c r="H197" s="96"/>
      <c r="I197" s="96"/>
      <c r="J197" s="94"/>
      <c r="K197" s="94"/>
      <c r="L197" s="95"/>
      <c r="M197" s="96"/>
      <c r="N197" s="96"/>
      <c r="O197" s="94"/>
      <c r="P197" s="106"/>
      <c r="Q197" s="106"/>
      <c r="S197" s="105"/>
      <c r="T197" s="106"/>
      <c r="U197" s="106"/>
      <c r="V197" s="106"/>
    </row>
    <row r="198" spans="1:22">
      <c r="A198" s="91"/>
      <c r="B198" s="92"/>
      <c r="C198" s="93"/>
      <c r="D198" s="95"/>
      <c r="E198" s="95"/>
      <c r="F198" s="94"/>
      <c r="G198" s="95"/>
      <c r="H198" s="96"/>
      <c r="I198" s="96"/>
      <c r="J198" s="94"/>
      <c r="K198" s="94"/>
      <c r="L198" s="95"/>
      <c r="M198" s="96"/>
      <c r="N198" s="96"/>
      <c r="O198" s="94"/>
      <c r="P198" s="106"/>
      <c r="Q198" s="106"/>
      <c r="S198" s="105"/>
      <c r="T198" s="106"/>
      <c r="U198" s="106"/>
      <c r="V198" s="106"/>
    </row>
    <row r="199" spans="1:22">
      <c r="A199" s="91"/>
      <c r="B199" s="92"/>
      <c r="C199" s="93"/>
      <c r="D199" s="95"/>
      <c r="E199" s="95"/>
      <c r="F199" s="94"/>
      <c r="G199" s="95"/>
      <c r="H199" s="96"/>
      <c r="I199" s="96"/>
      <c r="J199" s="94"/>
      <c r="K199" s="94"/>
      <c r="L199" s="95"/>
      <c r="M199" s="96"/>
      <c r="N199" s="96"/>
      <c r="O199" s="94"/>
      <c r="P199" s="106"/>
      <c r="Q199" s="106"/>
      <c r="S199" s="105"/>
      <c r="T199" s="106"/>
      <c r="U199" s="106"/>
      <c r="V199" s="106"/>
    </row>
    <row r="200" spans="1:22">
      <c r="A200" s="91"/>
      <c r="B200" s="92"/>
      <c r="C200" s="93"/>
      <c r="D200" s="95"/>
      <c r="E200" s="95"/>
      <c r="F200" s="94"/>
      <c r="G200" s="95"/>
      <c r="H200" s="96"/>
      <c r="I200" s="96"/>
      <c r="J200" s="94"/>
      <c r="K200" s="94"/>
      <c r="L200" s="95"/>
      <c r="M200" s="96"/>
      <c r="N200" s="96"/>
      <c r="O200" s="94"/>
      <c r="P200" s="106"/>
      <c r="Q200" s="106"/>
      <c r="S200" s="105"/>
      <c r="T200" s="106"/>
      <c r="U200" s="106"/>
      <c r="V200" s="106"/>
    </row>
    <row r="201" spans="1:22">
      <c r="A201" s="91"/>
      <c r="B201" s="92"/>
      <c r="C201" s="93"/>
      <c r="D201" s="95"/>
      <c r="E201" s="95"/>
      <c r="F201" s="94"/>
      <c r="G201" s="95"/>
      <c r="H201" s="96"/>
      <c r="I201" s="96"/>
      <c r="J201" s="94"/>
      <c r="K201" s="94"/>
      <c r="L201" s="95"/>
      <c r="M201" s="96"/>
      <c r="N201" s="96"/>
      <c r="O201" s="94"/>
      <c r="P201" s="106"/>
      <c r="Q201" s="106"/>
      <c r="S201" s="105"/>
      <c r="T201" s="106"/>
      <c r="U201" s="106"/>
      <c r="V201" s="106"/>
    </row>
    <row r="202" spans="1:22">
      <c r="A202" s="91"/>
      <c r="B202" s="92"/>
      <c r="C202" s="93"/>
      <c r="D202" s="95"/>
      <c r="E202" s="95"/>
      <c r="F202" s="94"/>
      <c r="G202" s="95"/>
      <c r="H202" s="96"/>
      <c r="I202" s="96"/>
      <c r="J202" s="94"/>
      <c r="K202" s="94"/>
      <c r="L202" s="95"/>
      <c r="M202" s="96"/>
      <c r="N202" s="96"/>
      <c r="O202" s="94"/>
      <c r="P202" s="106"/>
      <c r="Q202" s="106"/>
      <c r="S202" s="105"/>
      <c r="T202" s="106"/>
      <c r="U202" s="106"/>
      <c r="V202" s="106"/>
    </row>
    <row r="203" spans="1:22">
      <c r="A203" s="91"/>
      <c r="B203" s="92"/>
      <c r="C203" s="93"/>
      <c r="D203" s="95"/>
      <c r="E203" s="95"/>
      <c r="F203" s="94"/>
      <c r="G203" s="95"/>
      <c r="H203" s="96"/>
      <c r="I203" s="96"/>
      <c r="J203" s="94"/>
      <c r="K203" s="94"/>
      <c r="L203" s="95"/>
      <c r="M203" s="96"/>
      <c r="N203" s="96"/>
      <c r="O203" s="94"/>
      <c r="P203" s="106"/>
      <c r="Q203" s="106"/>
      <c r="S203" s="105"/>
      <c r="T203" s="106"/>
      <c r="U203" s="106"/>
      <c r="V203" s="106"/>
    </row>
    <row r="204" spans="1:22">
      <c r="A204" s="91"/>
      <c r="B204" s="92"/>
      <c r="C204" s="93"/>
      <c r="D204" s="95"/>
      <c r="E204" s="95"/>
      <c r="F204" s="94"/>
      <c r="G204" s="95"/>
      <c r="H204" s="96"/>
      <c r="I204" s="96"/>
      <c r="J204" s="94"/>
      <c r="K204" s="94"/>
      <c r="L204" s="95"/>
      <c r="M204" s="96"/>
      <c r="N204" s="96"/>
      <c r="O204" s="94"/>
      <c r="P204" s="106"/>
      <c r="Q204" s="106"/>
      <c r="S204" s="105"/>
      <c r="T204" s="106"/>
      <c r="U204" s="106"/>
      <c r="V204" s="106"/>
    </row>
    <row r="205" spans="1:22">
      <c r="A205" s="91"/>
      <c r="B205" s="92"/>
      <c r="C205" s="93"/>
      <c r="D205" s="95"/>
      <c r="E205" s="95"/>
      <c r="F205" s="94"/>
      <c r="G205" s="95"/>
      <c r="H205" s="96"/>
      <c r="I205" s="96"/>
      <c r="J205" s="94"/>
      <c r="K205" s="94"/>
      <c r="L205" s="95"/>
      <c r="M205" s="96"/>
      <c r="N205" s="96"/>
      <c r="O205" s="94"/>
      <c r="P205" s="106"/>
      <c r="Q205" s="106"/>
      <c r="S205" s="105"/>
      <c r="T205" s="106"/>
      <c r="U205" s="106"/>
      <c r="V205" s="106"/>
    </row>
    <row r="206" spans="1:22">
      <c r="A206" s="91"/>
      <c r="B206" s="92"/>
      <c r="C206" s="93"/>
      <c r="D206" s="95"/>
      <c r="E206" s="95"/>
      <c r="F206" s="94"/>
      <c r="G206" s="95"/>
      <c r="H206" s="96"/>
      <c r="I206" s="96"/>
      <c r="J206" s="94"/>
      <c r="K206" s="94"/>
      <c r="L206" s="95"/>
      <c r="M206" s="96"/>
      <c r="N206" s="96"/>
      <c r="O206" s="94"/>
      <c r="P206" s="106"/>
      <c r="Q206" s="106"/>
      <c r="S206" s="105"/>
      <c r="T206" s="106"/>
      <c r="U206" s="106"/>
      <c r="V206" s="106"/>
    </row>
    <row r="207" spans="1:22">
      <c r="A207" s="91"/>
      <c r="B207" s="92"/>
      <c r="C207" s="93"/>
      <c r="D207" s="95"/>
      <c r="E207" s="95"/>
      <c r="F207" s="94"/>
      <c r="G207" s="95"/>
      <c r="H207" s="96"/>
      <c r="I207" s="96"/>
      <c r="J207" s="94"/>
      <c r="K207" s="94"/>
      <c r="L207" s="95"/>
      <c r="M207" s="96"/>
      <c r="N207" s="96"/>
      <c r="O207" s="94"/>
      <c r="P207" s="106"/>
      <c r="Q207" s="106"/>
      <c r="S207" s="105"/>
      <c r="T207" s="106"/>
      <c r="U207" s="106"/>
      <c r="V207" s="106"/>
    </row>
    <row r="208" spans="1:22">
      <c r="A208" s="91"/>
      <c r="B208" s="92"/>
      <c r="C208" s="93"/>
      <c r="D208" s="95"/>
      <c r="E208" s="95"/>
      <c r="F208" s="94"/>
      <c r="G208" s="95"/>
      <c r="H208" s="96"/>
      <c r="I208" s="96"/>
      <c r="J208" s="94"/>
      <c r="K208" s="94"/>
      <c r="L208" s="95"/>
      <c r="M208" s="96"/>
      <c r="N208" s="96"/>
      <c r="O208" s="94"/>
      <c r="P208" s="106"/>
      <c r="Q208" s="106"/>
      <c r="S208" s="105"/>
      <c r="T208" s="106"/>
      <c r="U208" s="106"/>
      <c r="V208" s="106"/>
    </row>
    <row r="209" spans="1:22">
      <c r="A209" s="91"/>
      <c r="B209" s="92"/>
      <c r="C209" s="93"/>
      <c r="D209" s="95"/>
      <c r="E209" s="95"/>
      <c r="F209" s="94"/>
      <c r="G209" s="95"/>
      <c r="H209" s="96"/>
      <c r="I209" s="96"/>
      <c r="J209" s="94"/>
      <c r="K209" s="94"/>
      <c r="L209" s="95"/>
      <c r="M209" s="96"/>
      <c r="N209" s="96"/>
      <c r="O209" s="94"/>
      <c r="P209" s="106"/>
      <c r="Q209" s="106"/>
      <c r="S209" s="105"/>
      <c r="T209" s="106"/>
      <c r="U209" s="106"/>
      <c r="V209" s="106"/>
    </row>
    <row r="210" spans="1:22">
      <c r="A210" s="91"/>
      <c r="B210" s="92"/>
      <c r="C210" s="93"/>
      <c r="D210" s="95"/>
      <c r="E210" s="95"/>
      <c r="F210" s="94"/>
      <c r="G210" s="95"/>
      <c r="H210" s="96"/>
      <c r="I210" s="96"/>
      <c r="J210" s="94"/>
      <c r="K210" s="94"/>
      <c r="L210" s="95"/>
      <c r="M210" s="96"/>
      <c r="N210" s="96"/>
      <c r="O210" s="94"/>
      <c r="P210" s="106"/>
      <c r="Q210" s="106"/>
      <c r="S210" s="105"/>
      <c r="T210" s="106"/>
      <c r="U210" s="106"/>
      <c r="V210" s="106"/>
    </row>
    <row r="211" spans="1:22">
      <c r="A211" s="91"/>
      <c r="B211" s="92"/>
      <c r="C211" s="93"/>
      <c r="D211" s="95"/>
      <c r="E211" s="95"/>
      <c r="F211" s="94"/>
      <c r="G211" s="95"/>
      <c r="H211" s="96"/>
      <c r="I211" s="96"/>
      <c r="J211" s="94"/>
      <c r="K211" s="94"/>
      <c r="L211" s="95"/>
      <c r="M211" s="96"/>
      <c r="N211" s="96"/>
      <c r="O211" s="94"/>
      <c r="P211" s="106"/>
      <c r="Q211" s="106"/>
      <c r="S211" s="105"/>
      <c r="T211" s="106"/>
      <c r="U211" s="106"/>
      <c r="V211" s="106"/>
    </row>
    <row r="212" spans="1:22">
      <c r="A212" s="91"/>
      <c r="B212" s="92"/>
      <c r="C212" s="93"/>
      <c r="D212" s="95"/>
      <c r="E212" s="95"/>
      <c r="F212" s="94"/>
      <c r="G212" s="95"/>
      <c r="H212" s="96"/>
      <c r="I212" s="96"/>
      <c r="J212" s="94"/>
      <c r="K212" s="94"/>
      <c r="L212" s="95"/>
      <c r="M212" s="96"/>
      <c r="N212" s="96"/>
      <c r="O212" s="94"/>
      <c r="P212" s="106"/>
      <c r="Q212" s="106"/>
      <c r="S212" s="105"/>
      <c r="T212" s="106"/>
      <c r="U212" s="106"/>
      <c r="V212" s="106"/>
    </row>
    <row r="213" spans="1:22">
      <c r="A213" s="91"/>
      <c r="B213" s="92"/>
      <c r="C213" s="93"/>
      <c r="D213" s="95"/>
      <c r="E213" s="95"/>
      <c r="F213" s="94"/>
      <c r="G213" s="95"/>
      <c r="H213" s="96"/>
      <c r="I213" s="96"/>
      <c r="J213" s="94"/>
      <c r="K213" s="94"/>
      <c r="L213" s="95"/>
      <c r="M213" s="96"/>
      <c r="N213" s="96"/>
      <c r="O213" s="94"/>
      <c r="P213" s="106"/>
      <c r="Q213" s="106"/>
      <c r="S213" s="105"/>
      <c r="T213" s="106"/>
      <c r="U213" s="106"/>
      <c r="V213" s="106"/>
    </row>
    <row r="214" spans="1:22">
      <c r="A214" s="91"/>
      <c r="B214" s="92"/>
      <c r="C214" s="93"/>
      <c r="D214" s="95"/>
      <c r="E214" s="95"/>
      <c r="F214" s="94"/>
      <c r="G214" s="95"/>
      <c r="H214" s="96"/>
      <c r="I214" s="96"/>
      <c r="J214" s="94"/>
      <c r="K214" s="94"/>
      <c r="L214" s="95"/>
      <c r="M214" s="96"/>
      <c r="N214" s="96"/>
      <c r="O214" s="94"/>
      <c r="P214" s="106"/>
      <c r="Q214" s="106"/>
      <c r="S214" s="105"/>
      <c r="T214" s="106"/>
      <c r="U214" s="106"/>
      <c r="V214" s="106"/>
    </row>
    <row r="215" spans="1:22">
      <c r="A215" s="91"/>
      <c r="B215" s="92"/>
      <c r="C215" s="93"/>
      <c r="D215" s="95"/>
      <c r="E215" s="95"/>
      <c r="F215" s="94"/>
      <c r="G215" s="95"/>
      <c r="H215" s="96"/>
      <c r="I215" s="96"/>
      <c r="J215" s="94"/>
      <c r="K215" s="94"/>
      <c r="L215" s="95"/>
      <c r="M215" s="96"/>
      <c r="N215" s="96"/>
      <c r="O215" s="94"/>
      <c r="P215" s="106"/>
      <c r="Q215" s="106"/>
      <c r="S215" s="105"/>
      <c r="T215" s="106"/>
      <c r="U215" s="106"/>
      <c r="V215" s="106"/>
    </row>
    <row r="216" spans="1:22">
      <c r="A216" s="91"/>
      <c r="B216" s="92"/>
      <c r="C216" s="93"/>
      <c r="D216" s="95"/>
      <c r="E216" s="95"/>
      <c r="F216" s="94"/>
      <c r="G216" s="95"/>
      <c r="H216" s="96"/>
      <c r="I216" s="96"/>
      <c r="J216" s="94"/>
      <c r="K216" s="94"/>
      <c r="L216" s="95"/>
      <c r="M216" s="96"/>
      <c r="N216" s="96"/>
      <c r="O216" s="94"/>
      <c r="P216" s="106"/>
      <c r="Q216" s="106"/>
      <c r="S216" s="105"/>
      <c r="T216" s="106"/>
      <c r="U216" s="106"/>
      <c r="V216" s="106"/>
    </row>
    <row r="217" spans="1:22">
      <c r="A217" s="91"/>
      <c r="B217" s="92"/>
      <c r="C217" s="93"/>
      <c r="D217" s="95"/>
      <c r="E217" s="95"/>
      <c r="F217" s="94"/>
      <c r="G217" s="95"/>
      <c r="H217" s="96"/>
      <c r="I217" s="96"/>
      <c r="J217" s="94"/>
      <c r="K217" s="94"/>
      <c r="L217" s="95"/>
      <c r="M217" s="96"/>
      <c r="N217" s="96"/>
      <c r="O217" s="94"/>
      <c r="P217" s="106"/>
      <c r="Q217" s="106"/>
      <c r="S217" s="105"/>
      <c r="T217" s="106"/>
      <c r="U217" s="106"/>
      <c r="V217" s="106"/>
    </row>
    <row r="218" spans="1:22">
      <c r="A218" s="91"/>
      <c r="B218" s="92"/>
      <c r="C218" s="93"/>
      <c r="D218" s="95"/>
      <c r="E218" s="95"/>
      <c r="F218" s="94"/>
      <c r="G218" s="95"/>
      <c r="H218" s="96"/>
      <c r="I218" s="96"/>
      <c r="J218" s="94"/>
      <c r="K218" s="94"/>
      <c r="L218" s="95"/>
      <c r="M218" s="96"/>
      <c r="N218" s="96"/>
      <c r="O218" s="94"/>
      <c r="P218" s="106"/>
      <c r="Q218" s="106"/>
      <c r="S218" s="105"/>
      <c r="T218" s="106"/>
      <c r="U218" s="106"/>
      <c r="V218" s="106"/>
    </row>
    <row r="219" spans="1:22">
      <c r="A219" s="91"/>
      <c r="B219" s="92"/>
      <c r="C219" s="93"/>
      <c r="D219" s="95"/>
      <c r="E219" s="95"/>
      <c r="F219" s="94"/>
      <c r="G219" s="95"/>
      <c r="H219" s="96"/>
      <c r="I219" s="96"/>
      <c r="J219" s="94"/>
      <c r="K219" s="94"/>
      <c r="L219" s="95"/>
      <c r="M219" s="96"/>
      <c r="N219" s="96"/>
      <c r="O219" s="94"/>
      <c r="P219" s="106"/>
      <c r="Q219" s="106"/>
      <c r="S219" s="105"/>
      <c r="T219" s="106"/>
      <c r="U219" s="106"/>
      <c r="V219" s="106"/>
    </row>
    <row r="220" spans="1:22">
      <c r="A220" s="91"/>
      <c r="B220" s="92"/>
      <c r="C220" s="93"/>
      <c r="D220" s="95"/>
      <c r="E220" s="95"/>
      <c r="F220" s="94"/>
      <c r="G220" s="95"/>
      <c r="H220" s="96"/>
      <c r="I220" s="96"/>
      <c r="J220" s="94"/>
      <c r="K220" s="94"/>
      <c r="L220" s="95"/>
      <c r="M220" s="96"/>
      <c r="N220" s="96"/>
      <c r="O220" s="94"/>
      <c r="P220" s="106"/>
      <c r="Q220" s="106"/>
      <c r="S220" s="105"/>
      <c r="T220" s="106"/>
      <c r="U220" s="106"/>
      <c r="V220" s="106"/>
    </row>
    <row r="221" spans="1:22">
      <c r="A221" s="91"/>
      <c r="B221" s="92"/>
      <c r="C221" s="93"/>
      <c r="D221" s="95"/>
      <c r="E221" s="95"/>
      <c r="F221" s="94"/>
      <c r="G221" s="95"/>
      <c r="H221" s="96"/>
      <c r="I221" s="96"/>
      <c r="J221" s="94"/>
      <c r="K221" s="94"/>
      <c r="L221" s="95"/>
      <c r="M221" s="96"/>
      <c r="N221" s="96"/>
      <c r="O221" s="94"/>
      <c r="P221" s="106"/>
      <c r="Q221" s="106"/>
      <c r="S221" s="105"/>
      <c r="T221" s="106"/>
      <c r="U221" s="106"/>
      <c r="V221" s="106"/>
    </row>
    <row r="222" spans="1:22">
      <c r="A222" s="91"/>
      <c r="B222" s="92"/>
      <c r="C222" s="93"/>
      <c r="D222" s="95"/>
      <c r="E222" s="95"/>
      <c r="F222" s="94"/>
      <c r="G222" s="95"/>
      <c r="H222" s="96"/>
      <c r="I222" s="96"/>
      <c r="J222" s="94"/>
      <c r="K222" s="94"/>
      <c r="L222" s="95"/>
      <c r="M222" s="96"/>
      <c r="N222" s="96"/>
      <c r="O222" s="94"/>
      <c r="P222" s="106"/>
      <c r="Q222" s="106"/>
      <c r="S222" s="105"/>
      <c r="T222" s="106"/>
      <c r="U222" s="106"/>
      <c r="V222" s="106"/>
    </row>
    <row r="223" spans="1:22">
      <c r="A223" s="91"/>
      <c r="B223" s="92"/>
      <c r="C223" s="93"/>
      <c r="D223" s="95"/>
      <c r="E223" s="95"/>
      <c r="F223" s="94"/>
      <c r="G223" s="95"/>
      <c r="H223" s="96"/>
      <c r="I223" s="96"/>
      <c r="J223" s="94"/>
      <c r="K223" s="94"/>
      <c r="L223" s="95"/>
      <c r="M223" s="96"/>
      <c r="N223" s="96"/>
      <c r="O223" s="94"/>
      <c r="P223" s="106"/>
      <c r="Q223" s="106"/>
      <c r="S223" s="105"/>
      <c r="T223" s="106"/>
      <c r="U223" s="106"/>
      <c r="V223" s="106"/>
    </row>
    <row r="224" spans="1:22">
      <c r="A224" s="91"/>
      <c r="B224" s="92"/>
      <c r="C224" s="93"/>
      <c r="D224" s="95"/>
      <c r="E224" s="95"/>
      <c r="F224" s="94"/>
      <c r="G224" s="95"/>
      <c r="H224" s="96"/>
      <c r="I224" s="96"/>
      <c r="J224" s="94"/>
      <c r="K224" s="94"/>
      <c r="L224" s="95"/>
      <c r="M224" s="96"/>
      <c r="N224" s="96"/>
      <c r="O224" s="94"/>
      <c r="P224" s="106"/>
      <c r="Q224" s="106"/>
      <c r="S224" s="105"/>
      <c r="T224" s="106"/>
      <c r="U224" s="106"/>
      <c r="V224" s="106"/>
    </row>
    <row r="225" spans="1:22">
      <c r="A225" s="91"/>
      <c r="B225" s="92"/>
      <c r="C225" s="93"/>
      <c r="D225" s="95"/>
      <c r="E225" s="95"/>
      <c r="F225" s="94"/>
      <c r="G225" s="95"/>
      <c r="H225" s="96"/>
      <c r="I225" s="96"/>
      <c r="J225" s="94"/>
      <c r="K225" s="94"/>
      <c r="L225" s="95"/>
      <c r="M225" s="96"/>
      <c r="N225" s="96"/>
      <c r="O225" s="94"/>
      <c r="P225" s="106"/>
      <c r="Q225" s="106"/>
      <c r="S225" s="105"/>
      <c r="T225" s="106"/>
      <c r="U225" s="106"/>
      <c r="V225" s="106"/>
    </row>
    <row r="226" spans="1:22">
      <c r="A226" s="91"/>
      <c r="B226" s="92"/>
      <c r="C226" s="93"/>
      <c r="D226" s="95"/>
      <c r="E226" s="95"/>
      <c r="F226" s="94"/>
      <c r="G226" s="95"/>
      <c r="H226" s="96"/>
      <c r="I226" s="96"/>
      <c r="J226" s="94"/>
      <c r="K226" s="94"/>
      <c r="L226" s="95"/>
      <c r="M226" s="96"/>
      <c r="N226" s="96"/>
      <c r="O226" s="94"/>
      <c r="P226" s="106"/>
      <c r="Q226" s="106"/>
      <c r="S226" s="105"/>
      <c r="T226" s="106"/>
      <c r="U226" s="106"/>
      <c r="V226" s="106"/>
    </row>
    <row r="227" spans="1:22">
      <c r="A227" s="91"/>
      <c r="B227" s="92"/>
      <c r="C227" s="93"/>
      <c r="D227" s="95"/>
      <c r="E227" s="95"/>
      <c r="F227" s="94"/>
      <c r="G227" s="95"/>
      <c r="H227" s="96"/>
      <c r="I227" s="96"/>
      <c r="J227" s="94"/>
      <c r="K227" s="94"/>
      <c r="L227" s="95"/>
      <c r="M227" s="96"/>
      <c r="N227" s="96"/>
      <c r="O227" s="94"/>
      <c r="P227" s="106"/>
      <c r="Q227" s="106"/>
      <c r="S227" s="105"/>
      <c r="T227" s="106"/>
      <c r="U227" s="106"/>
      <c r="V227" s="106"/>
    </row>
    <row r="228" spans="1:22">
      <c r="A228" s="91"/>
      <c r="B228" s="92"/>
      <c r="C228" s="93"/>
      <c r="D228" s="95"/>
      <c r="E228" s="95"/>
      <c r="F228" s="94"/>
      <c r="G228" s="95"/>
      <c r="H228" s="96"/>
      <c r="I228" s="96"/>
      <c r="J228" s="94"/>
      <c r="K228" s="94"/>
      <c r="L228" s="95"/>
      <c r="M228" s="96"/>
      <c r="N228" s="96"/>
      <c r="O228" s="94"/>
      <c r="P228" s="106"/>
      <c r="Q228" s="106"/>
      <c r="S228" s="105"/>
      <c r="T228" s="106"/>
      <c r="U228" s="106"/>
      <c r="V228" s="106"/>
    </row>
    <row r="229" spans="1:22">
      <c r="A229" s="91"/>
      <c r="B229" s="92"/>
      <c r="C229" s="93"/>
      <c r="D229" s="95"/>
      <c r="E229" s="95"/>
      <c r="F229" s="94"/>
      <c r="G229" s="95"/>
      <c r="H229" s="96"/>
      <c r="I229" s="96"/>
      <c r="J229" s="94"/>
      <c r="K229" s="94"/>
      <c r="L229" s="95"/>
      <c r="M229" s="96"/>
      <c r="N229" s="96"/>
      <c r="O229" s="94"/>
      <c r="P229" s="106"/>
      <c r="Q229" s="106"/>
      <c r="S229" s="105"/>
      <c r="T229" s="106"/>
      <c r="U229" s="106"/>
      <c r="V229" s="106"/>
    </row>
    <row r="230" spans="1:22">
      <c r="A230" s="91"/>
      <c r="B230" s="92"/>
      <c r="C230" s="93"/>
      <c r="D230" s="95"/>
      <c r="E230" s="95"/>
      <c r="F230" s="94"/>
      <c r="G230" s="95"/>
      <c r="H230" s="96"/>
      <c r="I230" s="96"/>
      <c r="J230" s="94"/>
      <c r="K230" s="94"/>
      <c r="L230" s="95"/>
      <c r="M230" s="96"/>
      <c r="N230" s="96"/>
      <c r="O230" s="94"/>
      <c r="P230" s="106"/>
      <c r="Q230" s="106"/>
      <c r="S230" s="105"/>
      <c r="T230" s="106"/>
      <c r="U230" s="106"/>
      <c r="V230" s="106"/>
    </row>
    <row r="231" spans="1:22">
      <c r="A231" s="91"/>
      <c r="B231" s="92"/>
      <c r="C231" s="93"/>
      <c r="D231" s="95"/>
      <c r="E231" s="95"/>
      <c r="F231" s="94"/>
      <c r="G231" s="95"/>
      <c r="H231" s="96"/>
      <c r="I231" s="96"/>
      <c r="J231" s="94"/>
      <c r="K231" s="94"/>
      <c r="L231" s="95"/>
      <c r="M231" s="96"/>
      <c r="N231" s="96"/>
      <c r="O231" s="94"/>
      <c r="P231" s="106"/>
      <c r="Q231" s="106"/>
      <c r="S231" s="105"/>
      <c r="T231" s="106"/>
      <c r="U231" s="106"/>
      <c r="V231" s="106"/>
    </row>
    <row r="232" spans="1:22">
      <c r="A232" s="91"/>
      <c r="B232" s="92"/>
      <c r="C232" s="93"/>
      <c r="D232" s="95"/>
      <c r="E232" s="95"/>
      <c r="F232" s="94"/>
      <c r="G232" s="95"/>
      <c r="H232" s="96"/>
      <c r="I232" s="96"/>
      <c r="J232" s="94"/>
      <c r="K232" s="94"/>
      <c r="L232" s="95"/>
      <c r="M232" s="96"/>
      <c r="N232" s="96"/>
      <c r="O232" s="94"/>
      <c r="P232" s="106"/>
      <c r="Q232" s="106"/>
      <c r="S232" s="105"/>
      <c r="T232" s="106"/>
      <c r="U232" s="106"/>
      <c r="V232" s="106"/>
    </row>
    <row r="233" spans="1:22">
      <c r="A233" s="91"/>
      <c r="B233" s="92"/>
      <c r="C233" s="93"/>
      <c r="D233" s="95"/>
      <c r="E233" s="95"/>
      <c r="F233" s="94"/>
      <c r="G233" s="95"/>
      <c r="H233" s="96"/>
      <c r="I233" s="96"/>
      <c r="J233" s="94"/>
      <c r="K233" s="94"/>
      <c r="L233" s="95"/>
      <c r="M233" s="96"/>
      <c r="N233" s="96"/>
      <c r="O233" s="94"/>
      <c r="P233" s="106"/>
      <c r="Q233" s="106"/>
      <c r="S233" s="105"/>
      <c r="T233" s="106"/>
      <c r="U233" s="106"/>
      <c r="V233" s="106"/>
    </row>
    <row r="234" spans="1:22">
      <c r="A234" s="91"/>
      <c r="B234" s="92"/>
      <c r="C234" s="93"/>
      <c r="D234" s="95"/>
      <c r="E234" s="95"/>
      <c r="F234" s="94"/>
      <c r="G234" s="95"/>
      <c r="H234" s="96"/>
      <c r="I234" s="96"/>
      <c r="J234" s="94"/>
      <c r="K234" s="94"/>
      <c r="L234" s="95"/>
      <c r="M234" s="96"/>
      <c r="N234" s="96"/>
      <c r="O234" s="94"/>
      <c r="P234" s="106"/>
      <c r="Q234" s="106"/>
      <c r="S234" s="105"/>
      <c r="T234" s="106"/>
      <c r="U234" s="106"/>
      <c r="V234" s="106"/>
    </row>
    <row r="235" spans="1:22">
      <c r="A235" s="91"/>
      <c r="B235" s="92"/>
      <c r="C235" s="93"/>
      <c r="D235" s="95"/>
      <c r="E235" s="95"/>
      <c r="F235" s="94"/>
      <c r="G235" s="95"/>
      <c r="H235" s="96"/>
      <c r="I235" s="96"/>
      <c r="J235" s="94"/>
      <c r="K235" s="94"/>
      <c r="L235" s="95"/>
      <c r="M235" s="96"/>
      <c r="N235" s="96"/>
      <c r="O235" s="94"/>
      <c r="P235" s="106"/>
      <c r="Q235" s="106"/>
      <c r="S235" s="105"/>
      <c r="T235" s="106"/>
      <c r="U235" s="106"/>
      <c r="V235" s="106"/>
    </row>
    <row r="236" spans="1:22">
      <c r="A236" s="91"/>
      <c r="B236" s="92"/>
      <c r="C236" s="93"/>
      <c r="D236" s="95"/>
      <c r="E236" s="95"/>
      <c r="F236" s="94"/>
      <c r="G236" s="95"/>
      <c r="H236" s="96"/>
      <c r="I236" s="96"/>
      <c r="J236" s="94"/>
      <c r="K236" s="94"/>
      <c r="L236" s="95"/>
      <c r="M236" s="96"/>
      <c r="N236" s="96"/>
      <c r="O236" s="94"/>
      <c r="P236" s="106"/>
      <c r="Q236" s="106"/>
      <c r="S236" s="105"/>
      <c r="T236" s="106"/>
      <c r="U236" s="106"/>
      <c r="V236" s="106"/>
    </row>
    <row r="237" spans="1:22">
      <c r="A237" s="91"/>
      <c r="B237" s="92"/>
      <c r="C237" s="93"/>
      <c r="D237" s="95"/>
      <c r="E237" s="95"/>
      <c r="F237" s="94"/>
      <c r="G237" s="95"/>
      <c r="H237" s="96"/>
      <c r="I237" s="96"/>
      <c r="J237" s="94"/>
      <c r="K237" s="94"/>
      <c r="L237" s="95"/>
      <c r="M237" s="96"/>
      <c r="N237" s="96"/>
      <c r="O237" s="94"/>
      <c r="P237" s="106"/>
      <c r="Q237" s="106"/>
      <c r="S237" s="105"/>
      <c r="T237" s="106"/>
      <c r="U237" s="106"/>
      <c r="V237" s="106"/>
    </row>
    <row r="238" spans="1:22">
      <c r="A238" s="91"/>
      <c r="B238" s="92"/>
      <c r="C238" s="93"/>
      <c r="D238" s="95"/>
      <c r="E238" s="95"/>
      <c r="F238" s="94"/>
      <c r="G238" s="95"/>
      <c r="H238" s="96"/>
      <c r="I238" s="96"/>
      <c r="J238" s="94"/>
      <c r="K238" s="94"/>
      <c r="L238" s="95"/>
      <c r="M238" s="96"/>
      <c r="N238" s="96"/>
      <c r="O238" s="94"/>
      <c r="P238" s="106"/>
      <c r="Q238" s="106"/>
      <c r="S238" s="105"/>
      <c r="T238" s="106"/>
      <c r="U238" s="106"/>
      <c r="V238" s="106"/>
    </row>
    <row r="239" spans="1:22">
      <c r="A239" s="91"/>
      <c r="B239" s="92"/>
      <c r="C239" s="93"/>
      <c r="D239" s="95"/>
      <c r="E239" s="95"/>
      <c r="F239" s="94"/>
      <c r="G239" s="95"/>
      <c r="H239" s="96"/>
      <c r="I239" s="96"/>
      <c r="J239" s="94"/>
      <c r="K239" s="94"/>
      <c r="L239" s="95"/>
      <c r="M239" s="96"/>
      <c r="N239" s="96"/>
      <c r="O239" s="94"/>
      <c r="P239" s="106"/>
      <c r="Q239" s="106"/>
      <c r="S239" s="105"/>
      <c r="T239" s="106"/>
      <c r="U239" s="106"/>
      <c r="V239" s="106"/>
    </row>
    <row r="240" spans="1:22">
      <c r="A240" s="91"/>
      <c r="B240" s="92"/>
      <c r="C240" s="93"/>
      <c r="D240" s="95"/>
      <c r="E240" s="95"/>
      <c r="F240" s="94"/>
      <c r="G240" s="95"/>
      <c r="H240" s="96"/>
      <c r="I240" s="96"/>
      <c r="J240" s="94"/>
      <c r="K240" s="94"/>
      <c r="L240" s="95"/>
      <c r="M240" s="96"/>
      <c r="N240" s="96"/>
      <c r="O240" s="94"/>
      <c r="P240" s="106"/>
      <c r="Q240" s="106"/>
      <c r="S240" s="105"/>
      <c r="T240" s="106"/>
      <c r="U240" s="106"/>
      <c r="V240" s="106"/>
    </row>
    <row r="241" spans="1:22">
      <c r="A241" s="91"/>
      <c r="B241" s="92"/>
      <c r="C241" s="93"/>
      <c r="D241" s="95"/>
      <c r="E241" s="95"/>
      <c r="F241" s="94"/>
      <c r="G241" s="95"/>
      <c r="H241" s="96"/>
      <c r="I241" s="96"/>
      <c r="J241" s="94"/>
      <c r="K241" s="94"/>
      <c r="L241" s="95"/>
      <c r="M241" s="96"/>
      <c r="N241" s="96"/>
      <c r="O241" s="94"/>
      <c r="P241" s="106"/>
      <c r="Q241" s="106"/>
      <c r="S241" s="105"/>
      <c r="T241" s="106"/>
      <c r="U241" s="106"/>
      <c r="V241" s="106"/>
    </row>
    <row r="242" spans="1:22">
      <c r="A242" s="91"/>
      <c r="B242" s="92"/>
      <c r="C242" s="93"/>
      <c r="D242" s="95"/>
      <c r="E242" s="95"/>
      <c r="F242" s="94"/>
      <c r="G242" s="95"/>
      <c r="H242" s="96"/>
      <c r="I242" s="96"/>
      <c r="J242" s="94"/>
      <c r="K242" s="94"/>
      <c r="L242" s="95"/>
      <c r="M242" s="96"/>
      <c r="N242" s="96"/>
      <c r="O242" s="94"/>
      <c r="P242" s="106"/>
      <c r="Q242" s="106"/>
      <c r="S242" s="105"/>
      <c r="T242" s="106"/>
      <c r="U242" s="106"/>
      <c r="V242" s="106"/>
    </row>
    <row r="243" spans="1:22">
      <c r="A243" s="91"/>
      <c r="B243" s="92"/>
      <c r="C243" s="93"/>
      <c r="D243" s="95"/>
      <c r="E243" s="95"/>
      <c r="F243" s="94"/>
      <c r="G243" s="95"/>
      <c r="H243" s="96"/>
      <c r="I243" s="96"/>
      <c r="J243" s="94"/>
      <c r="K243" s="94"/>
      <c r="L243" s="95"/>
      <c r="M243" s="96"/>
      <c r="N243" s="96"/>
      <c r="O243" s="94"/>
      <c r="P243" s="106"/>
      <c r="Q243" s="106"/>
      <c r="S243" s="105"/>
      <c r="T243" s="106"/>
      <c r="U243" s="106"/>
      <c r="V243" s="106"/>
    </row>
    <row r="244" spans="1:22">
      <c r="A244" s="91"/>
      <c r="B244" s="92"/>
      <c r="C244" s="93"/>
      <c r="D244" s="95"/>
      <c r="E244" s="95"/>
      <c r="F244" s="94"/>
      <c r="G244" s="95"/>
      <c r="H244" s="96"/>
      <c r="I244" s="96"/>
      <c r="J244" s="94"/>
      <c r="K244" s="94"/>
      <c r="L244" s="95"/>
      <c r="M244" s="96"/>
      <c r="N244" s="96"/>
      <c r="O244" s="94"/>
      <c r="P244" s="106"/>
      <c r="Q244" s="106"/>
      <c r="S244" s="105"/>
      <c r="T244" s="106"/>
      <c r="U244" s="106"/>
      <c r="V244" s="106"/>
    </row>
    <row r="245" spans="1:22">
      <c r="A245" s="91"/>
      <c r="B245" s="92"/>
      <c r="C245" s="93"/>
      <c r="D245" s="95"/>
      <c r="E245" s="95"/>
      <c r="F245" s="94"/>
      <c r="G245" s="95"/>
      <c r="H245" s="96"/>
      <c r="I245" s="96"/>
      <c r="J245" s="94"/>
      <c r="K245" s="94"/>
      <c r="L245" s="95"/>
      <c r="M245" s="96"/>
      <c r="N245" s="96"/>
      <c r="O245" s="94"/>
      <c r="P245" s="106"/>
      <c r="Q245" s="106"/>
      <c r="S245" s="105"/>
      <c r="T245" s="106"/>
      <c r="U245" s="106"/>
      <c r="V245" s="106"/>
    </row>
    <row r="246" spans="1:22">
      <c r="A246" s="91"/>
      <c r="B246" s="92"/>
      <c r="C246" s="93"/>
      <c r="D246" s="95"/>
      <c r="E246" s="95"/>
      <c r="F246" s="94"/>
      <c r="G246" s="95"/>
      <c r="H246" s="96"/>
      <c r="I246" s="96"/>
      <c r="J246" s="94"/>
      <c r="K246" s="94"/>
      <c r="L246" s="95"/>
      <c r="M246" s="96"/>
      <c r="N246" s="96"/>
      <c r="O246" s="94"/>
      <c r="P246" s="106"/>
      <c r="Q246" s="106"/>
      <c r="S246" s="105"/>
      <c r="T246" s="106"/>
      <c r="U246" s="106"/>
      <c r="V246" s="106"/>
    </row>
    <row r="247" spans="1:22">
      <c r="A247" s="91"/>
      <c r="B247" s="92"/>
      <c r="C247" s="93"/>
      <c r="D247" s="95"/>
      <c r="E247" s="95"/>
      <c r="F247" s="94"/>
      <c r="G247" s="95"/>
      <c r="H247" s="96"/>
      <c r="I247" s="96"/>
      <c r="J247" s="94"/>
      <c r="K247" s="94"/>
      <c r="L247" s="95"/>
      <c r="M247" s="96"/>
      <c r="N247" s="96"/>
      <c r="O247" s="94"/>
      <c r="P247" s="106"/>
      <c r="Q247" s="106"/>
      <c r="S247" s="105"/>
      <c r="T247" s="106"/>
      <c r="U247" s="106"/>
      <c r="V247" s="106"/>
    </row>
    <row r="248" spans="1:22">
      <c r="A248" s="91"/>
      <c r="B248" s="92"/>
      <c r="C248" s="93"/>
      <c r="D248" s="95"/>
      <c r="E248" s="95"/>
      <c r="F248" s="94"/>
      <c r="G248" s="95"/>
      <c r="H248" s="96"/>
      <c r="I248" s="96"/>
      <c r="J248" s="94"/>
      <c r="K248" s="94"/>
      <c r="L248" s="95"/>
      <c r="M248" s="96"/>
      <c r="N248" s="96"/>
      <c r="O248" s="94"/>
      <c r="P248" s="106"/>
      <c r="Q248" s="106"/>
      <c r="S248" s="105"/>
      <c r="T248" s="106"/>
      <c r="U248" s="106"/>
      <c r="V248" s="106"/>
    </row>
    <row r="249" spans="1:22">
      <c r="A249" s="91"/>
      <c r="B249" s="92"/>
      <c r="C249" s="93"/>
      <c r="D249" s="95"/>
      <c r="E249" s="95"/>
      <c r="F249" s="94"/>
      <c r="G249" s="95"/>
      <c r="H249" s="96"/>
      <c r="I249" s="96"/>
      <c r="J249" s="94"/>
      <c r="K249" s="94"/>
      <c r="L249" s="95"/>
      <c r="M249" s="96"/>
      <c r="N249" s="96"/>
      <c r="O249" s="94"/>
      <c r="P249" s="106"/>
      <c r="Q249" s="106"/>
      <c r="S249" s="105"/>
      <c r="T249" s="106"/>
      <c r="U249" s="106"/>
      <c r="V249" s="106"/>
    </row>
    <row r="250" spans="1:22">
      <c r="A250" s="91"/>
      <c r="B250" s="92"/>
      <c r="C250" s="93"/>
      <c r="D250" s="95"/>
      <c r="E250" s="95"/>
      <c r="F250" s="94"/>
      <c r="G250" s="95"/>
      <c r="H250" s="96"/>
      <c r="I250" s="96"/>
      <c r="J250" s="94"/>
      <c r="K250" s="94"/>
      <c r="L250" s="95"/>
      <c r="M250" s="96"/>
      <c r="N250" s="96"/>
      <c r="O250" s="94"/>
      <c r="P250" s="106"/>
      <c r="Q250" s="106"/>
      <c r="S250" s="105"/>
      <c r="T250" s="106"/>
      <c r="U250" s="106"/>
      <c r="V250" s="106"/>
    </row>
    <row r="251" spans="1:22">
      <c r="A251" s="91"/>
      <c r="B251" s="92"/>
      <c r="C251" s="93"/>
      <c r="D251" s="95"/>
      <c r="E251" s="95"/>
      <c r="F251" s="94"/>
      <c r="G251" s="95"/>
      <c r="H251" s="96"/>
      <c r="I251" s="96"/>
      <c r="J251" s="94"/>
      <c r="K251" s="94"/>
      <c r="L251" s="95"/>
      <c r="M251" s="96"/>
      <c r="N251" s="96"/>
      <c r="O251" s="94"/>
      <c r="P251" s="106"/>
      <c r="Q251" s="106"/>
      <c r="S251" s="105"/>
      <c r="T251" s="106"/>
      <c r="U251" s="106"/>
      <c r="V251" s="106"/>
    </row>
    <row r="252" spans="1:22">
      <c r="A252" s="91"/>
      <c r="B252" s="92"/>
      <c r="C252" s="93"/>
      <c r="D252" s="95"/>
      <c r="E252" s="95"/>
      <c r="F252" s="94"/>
      <c r="G252" s="95"/>
      <c r="H252" s="96"/>
      <c r="I252" s="96"/>
      <c r="J252" s="94"/>
      <c r="K252" s="94"/>
      <c r="L252" s="95"/>
      <c r="M252" s="96"/>
      <c r="N252" s="96"/>
      <c r="O252" s="94"/>
      <c r="P252" s="106"/>
      <c r="Q252" s="106"/>
      <c r="S252" s="105"/>
      <c r="T252" s="106"/>
      <c r="U252" s="106"/>
      <c r="V252" s="106"/>
    </row>
    <row r="253" spans="1:22">
      <c r="A253" s="91"/>
      <c r="B253" s="92"/>
      <c r="C253" s="93"/>
      <c r="D253" s="95"/>
      <c r="E253" s="95"/>
      <c r="F253" s="94"/>
      <c r="G253" s="95"/>
      <c r="H253" s="96"/>
      <c r="I253" s="96"/>
      <c r="J253" s="94"/>
      <c r="K253" s="94"/>
      <c r="L253" s="95"/>
      <c r="M253" s="96"/>
      <c r="N253" s="96"/>
      <c r="O253" s="94"/>
      <c r="P253" s="106"/>
      <c r="Q253" s="106"/>
      <c r="S253" s="105"/>
      <c r="T253" s="106"/>
      <c r="U253" s="106"/>
      <c r="V253" s="106"/>
    </row>
    <row r="254" spans="1:22">
      <c r="A254" s="91"/>
      <c r="B254" s="92"/>
      <c r="C254" s="93"/>
      <c r="D254" s="95"/>
      <c r="E254" s="95"/>
      <c r="F254" s="94"/>
      <c r="G254" s="95"/>
      <c r="H254" s="96"/>
      <c r="I254" s="96"/>
      <c r="J254" s="94"/>
      <c r="K254" s="94"/>
      <c r="L254" s="95"/>
      <c r="M254" s="96"/>
      <c r="N254" s="96"/>
      <c r="O254" s="94"/>
      <c r="P254" s="106"/>
      <c r="Q254" s="106"/>
      <c r="S254" s="105"/>
      <c r="T254" s="106"/>
      <c r="U254" s="106"/>
      <c r="V254" s="106"/>
    </row>
    <row r="255" spans="1:22">
      <c r="A255" s="91"/>
      <c r="B255" s="92"/>
      <c r="C255" s="93"/>
      <c r="D255" s="95"/>
      <c r="E255" s="95"/>
      <c r="F255" s="94"/>
      <c r="G255" s="95"/>
      <c r="H255" s="96"/>
      <c r="I255" s="96"/>
      <c r="J255" s="94"/>
      <c r="K255" s="94"/>
      <c r="L255" s="95"/>
      <c r="M255" s="96"/>
      <c r="N255" s="96"/>
      <c r="O255" s="94"/>
      <c r="P255" s="106"/>
      <c r="Q255" s="106"/>
      <c r="S255" s="105"/>
      <c r="T255" s="106"/>
      <c r="U255" s="106"/>
      <c r="V255" s="106"/>
    </row>
    <row r="256" spans="1:22">
      <c r="A256" s="91"/>
      <c r="B256" s="92"/>
      <c r="C256" s="93"/>
      <c r="D256" s="95"/>
      <c r="E256" s="95"/>
      <c r="F256" s="94"/>
      <c r="G256" s="95"/>
      <c r="H256" s="96"/>
      <c r="I256" s="96"/>
      <c r="J256" s="94"/>
      <c r="K256" s="94"/>
      <c r="L256" s="95"/>
      <c r="M256" s="96"/>
      <c r="N256" s="96"/>
      <c r="O256" s="94"/>
      <c r="P256" s="106"/>
      <c r="Q256" s="106"/>
      <c r="S256" s="105"/>
      <c r="T256" s="106"/>
      <c r="U256" s="106"/>
      <c r="V256" s="106"/>
    </row>
    <row r="257" spans="1:22">
      <c r="A257" s="91"/>
      <c r="B257" s="92"/>
      <c r="C257" s="93"/>
      <c r="D257" s="95"/>
      <c r="E257" s="95"/>
      <c r="F257" s="94"/>
      <c r="G257" s="95"/>
      <c r="H257" s="96"/>
      <c r="I257" s="96"/>
      <c r="J257" s="94"/>
      <c r="K257" s="94"/>
      <c r="L257" s="95"/>
      <c r="M257" s="96"/>
      <c r="N257" s="96"/>
      <c r="O257" s="94"/>
      <c r="P257" s="106"/>
      <c r="Q257" s="106"/>
      <c r="S257" s="105"/>
      <c r="T257" s="106"/>
      <c r="U257" s="106"/>
      <c r="V257" s="106"/>
    </row>
    <row r="258" spans="1:22">
      <c r="A258" s="91"/>
      <c r="B258" s="92"/>
      <c r="C258" s="93"/>
      <c r="D258" s="95"/>
      <c r="E258" s="95"/>
      <c r="F258" s="94"/>
      <c r="G258" s="95"/>
      <c r="H258" s="96"/>
      <c r="I258" s="96"/>
      <c r="J258" s="94"/>
      <c r="K258" s="94"/>
      <c r="L258" s="95"/>
      <c r="M258" s="96"/>
      <c r="N258" s="96"/>
      <c r="O258" s="94"/>
      <c r="P258" s="106"/>
      <c r="Q258" s="106"/>
      <c r="S258" s="105"/>
      <c r="T258" s="106"/>
      <c r="U258" s="106"/>
      <c r="V258" s="106"/>
    </row>
    <row r="259" spans="1:22">
      <c r="A259" s="91"/>
      <c r="B259" s="92"/>
      <c r="C259" s="93"/>
      <c r="D259" s="95"/>
      <c r="E259" s="95"/>
      <c r="F259" s="94"/>
      <c r="G259" s="95"/>
      <c r="H259" s="96"/>
      <c r="I259" s="96"/>
      <c r="J259" s="94"/>
      <c r="K259" s="94"/>
      <c r="L259" s="95"/>
      <c r="M259" s="96"/>
      <c r="N259" s="96"/>
      <c r="O259" s="94"/>
      <c r="P259" s="106"/>
      <c r="Q259" s="106"/>
      <c r="S259" s="105"/>
      <c r="T259" s="106"/>
      <c r="U259" s="106"/>
      <c r="V259" s="106"/>
    </row>
    <row r="260" spans="1:22">
      <c r="A260" s="91"/>
      <c r="B260" s="92"/>
      <c r="C260" s="93"/>
      <c r="D260" s="95"/>
      <c r="E260" s="95"/>
      <c r="F260" s="94"/>
      <c r="G260" s="95"/>
      <c r="H260" s="96"/>
      <c r="I260" s="96"/>
      <c r="J260" s="94"/>
      <c r="K260" s="94"/>
      <c r="L260" s="95"/>
      <c r="M260" s="96"/>
      <c r="N260" s="96"/>
      <c r="O260" s="94"/>
      <c r="P260" s="106"/>
      <c r="Q260" s="106"/>
      <c r="S260" s="105"/>
      <c r="T260" s="106"/>
      <c r="U260" s="106"/>
      <c r="V260" s="106"/>
    </row>
    <row r="261" spans="1:22">
      <c r="A261" s="91"/>
      <c r="B261" s="92"/>
      <c r="C261" s="93"/>
      <c r="D261" s="95"/>
      <c r="E261" s="95"/>
      <c r="F261" s="94"/>
      <c r="G261" s="95"/>
      <c r="H261" s="96"/>
      <c r="I261" s="96"/>
      <c r="J261" s="94"/>
      <c r="K261" s="94"/>
      <c r="L261" s="95"/>
      <c r="M261" s="96"/>
      <c r="N261" s="96"/>
      <c r="O261" s="94"/>
      <c r="P261" s="106"/>
      <c r="Q261" s="106"/>
      <c r="S261" s="105"/>
      <c r="T261" s="106"/>
      <c r="U261" s="106"/>
      <c r="V261" s="106"/>
    </row>
    <row r="262" spans="1:22">
      <c r="A262" s="91"/>
      <c r="B262" s="92"/>
      <c r="C262" s="93"/>
      <c r="D262" s="95"/>
      <c r="E262" s="95"/>
      <c r="F262" s="94"/>
      <c r="G262" s="95"/>
      <c r="H262" s="96"/>
      <c r="I262" s="96"/>
      <c r="J262" s="94"/>
      <c r="K262" s="94"/>
      <c r="L262" s="95"/>
      <c r="M262" s="96"/>
      <c r="N262" s="96"/>
      <c r="O262" s="94"/>
      <c r="P262" s="106"/>
      <c r="Q262" s="106"/>
      <c r="S262" s="105"/>
      <c r="T262" s="106"/>
      <c r="U262" s="106"/>
      <c r="V262" s="106"/>
    </row>
    <row r="263" spans="1:22">
      <c r="A263" s="91"/>
      <c r="B263" s="92"/>
      <c r="C263" s="93"/>
      <c r="D263" s="95"/>
      <c r="E263" s="95"/>
      <c r="F263" s="94"/>
      <c r="G263" s="95"/>
      <c r="H263" s="96"/>
      <c r="I263" s="96"/>
      <c r="J263" s="94"/>
      <c r="K263" s="94"/>
      <c r="L263" s="95"/>
      <c r="M263" s="96"/>
      <c r="N263" s="96"/>
      <c r="O263" s="94"/>
      <c r="P263" s="106"/>
      <c r="Q263" s="106"/>
      <c r="S263" s="105"/>
      <c r="T263" s="106"/>
      <c r="U263" s="106"/>
      <c r="V263" s="106"/>
    </row>
    <row r="264" spans="1:22">
      <c r="A264" s="91"/>
      <c r="B264" s="92"/>
      <c r="C264" s="93"/>
      <c r="D264" s="95"/>
      <c r="E264" s="95"/>
      <c r="F264" s="94"/>
      <c r="G264" s="95"/>
      <c r="H264" s="96"/>
      <c r="I264" s="96"/>
      <c r="J264" s="94"/>
      <c r="K264" s="94"/>
      <c r="L264" s="95"/>
      <c r="M264" s="96"/>
      <c r="N264" s="96"/>
      <c r="O264" s="94"/>
      <c r="P264" s="106"/>
      <c r="Q264" s="106"/>
      <c r="S264" s="105"/>
      <c r="T264" s="106"/>
      <c r="U264" s="106"/>
      <c r="V264" s="106"/>
    </row>
    <row r="265" spans="1:22">
      <c r="A265" s="91"/>
      <c r="B265" s="92"/>
      <c r="C265" s="93"/>
      <c r="D265" s="95"/>
      <c r="E265" s="95"/>
      <c r="F265" s="94"/>
      <c r="G265" s="95"/>
      <c r="H265" s="96"/>
      <c r="I265" s="96"/>
      <c r="J265" s="94"/>
      <c r="K265" s="94"/>
      <c r="L265" s="95"/>
      <c r="M265" s="96"/>
      <c r="N265" s="96"/>
      <c r="O265" s="94"/>
      <c r="P265" s="106"/>
      <c r="Q265" s="106"/>
      <c r="S265" s="105"/>
      <c r="T265" s="106"/>
      <c r="U265" s="106"/>
      <c r="V265" s="106"/>
    </row>
    <row r="266" spans="1:22">
      <c r="A266" s="91"/>
      <c r="B266" s="92"/>
      <c r="C266" s="93"/>
      <c r="D266" s="95"/>
      <c r="E266" s="95"/>
      <c r="F266" s="94"/>
      <c r="G266" s="95"/>
      <c r="H266" s="96"/>
      <c r="I266" s="96"/>
      <c r="J266" s="94"/>
      <c r="K266" s="94"/>
      <c r="L266" s="95"/>
      <c r="M266" s="96"/>
      <c r="N266" s="96"/>
      <c r="O266" s="94"/>
      <c r="P266" s="106"/>
      <c r="Q266" s="106"/>
      <c r="S266" s="105"/>
      <c r="T266" s="106"/>
      <c r="U266" s="106"/>
      <c r="V266" s="106"/>
    </row>
    <row r="267" spans="1:22">
      <c r="A267" s="91"/>
      <c r="B267" s="92"/>
      <c r="C267" s="93"/>
      <c r="D267" s="95"/>
      <c r="E267" s="95"/>
      <c r="F267" s="94"/>
      <c r="G267" s="95"/>
      <c r="H267" s="96"/>
      <c r="I267" s="96"/>
      <c r="J267" s="94"/>
      <c r="K267" s="94"/>
      <c r="L267" s="95"/>
      <c r="M267" s="96"/>
      <c r="N267" s="96"/>
      <c r="O267" s="94"/>
      <c r="P267" s="106"/>
      <c r="Q267" s="106"/>
      <c r="S267" s="105"/>
      <c r="T267" s="106"/>
      <c r="U267" s="106"/>
      <c r="V267" s="106"/>
    </row>
    <row r="268" spans="1:22">
      <c r="A268" s="91"/>
      <c r="B268" s="92"/>
      <c r="C268" s="93"/>
      <c r="D268" s="95"/>
      <c r="E268" s="95"/>
      <c r="F268" s="94"/>
      <c r="G268" s="95"/>
      <c r="H268" s="96"/>
      <c r="I268" s="96"/>
      <c r="J268" s="94"/>
      <c r="K268" s="94"/>
      <c r="L268" s="95"/>
      <c r="M268" s="96"/>
      <c r="N268" s="96"/>
      <c r="O268" s="94"/>
      <c r="P268" s="106"/>
      <c r="Q268" s="106"/>
      <c r="S268" s="105"/>
      <c r="T268" s="106"/>
      <c r="U268" s="106"/>
      <c r="V268" s="106"/>
    </row>
    <row r="269" spans="1:22">
      <c r="A269" s="91"/>
      <c r="B269" s="92"/>
      <c r="C269" s="93"/>
      <c r="D269" s="95"/>
      <c r="E269" s="95"/>
      <c r="F269" s="94"/>
      <c r="G269" s="95"/>
      <c r="H269" s="96"/>
      <c r="I269" s="96"/>
      <c r="J269" s="94"/>
      <c r="K269" s="94"/>
      <c r="L269" s="95"/>
      <c r="M269" s="96"/>
      <c r="N269" s="96"/>
      <c r="O269" s="94"/>
      <c r="P269" s="106"/>
      <c r="Q269" s="106"/>
      <c r="S269" s="105"/>
      <c r="T269" s="106"/>
      <c r="U269" s="106"/>
      <c r="V269" s="106"/>
    </row>
    <row r="270" spans="1:22">
      <c r="A270" s="91"/>
      <c r="B270" s="92"/>
      <c r="C270" s="93"/>
      <c r="D270" s="95"/>
      <c r="E270" s="95"/>
      <c r="F270" s="94"/>
      <c r="G270" s="95"/>
      <c r="H270" s="96"/>
      <c r="I270" s="96"/>
      <c r="J270" s="94"/>
      <c r="K270" s="94"/>
      <c r="L270" s="95"/>
      <c r="M270" s="96"/>
      <c r="N270" s="96"/>
      <c r="O270" s="94"/>
      <c r="P270" s="106"/>
      <c r="Q270" s="106"/>
      <c r="S270" s="105"/>
      <c r="T270" s="106"/>
      <c r="U270" s="106"/>
      <c r="V270" s="106"/>
    </row>
    <row r="271" spans="1:22">
      <c r="A271" s="91"/>
      <c r="B271" s="92"/>
      <c r="C271" s="93"/>
      <c r="D271" s="95"/>
      <c r="E271" s="95"/>
      <c r="F271" s="94"/>
      <c r="G271" s="95"/>
      <c r="H271" s="96"/>
      <c r="I271" s="96"/>
      <c r="J271" s="94"/>
      <c r="K271" s="94"/>
      <c r="L271" s="95"/>
      <c r="M271" s="96"/>
      <c r="N271" s="96"/>
      <c r="O271" s="94"/>
      <c r="P271" s="106"/>
      <c r="Q271" s="106"/>
      <c r="S271" s="105"/>
      <c r="T271" s="106"/>
      <c r="U271" s="106"/>
      <c r="V271" s="106"/>
    </row>
    <row r="272" spans="1:22">
      <c r="A272" s="91"/>
      <c r="B272" s="92"/>
      <c r="C272" s="93"/>
      <c r="D272" s="95"/>
      <c r="E272" s="95"/>
      <c r="F272" s="94"/>
      <c r="G272" s="95"/>
      <c r="H272" s="96"/>
      <c r="I272" s="96"/>
      <c r="J272" s="94"/>
      <c r="K272" s="94"/>
      <c r="L272" s="95"/>
      <c r="M272" s="96"/>
      <c r="N272" s="96"/>
      <c r="O272" s="94"/>
      <c r="P272" s="106"/>
      <c r="Q272" s="106"/>
      <c r="S272" s="105"/>
      <c r="T272" s="106"/>
      <c r="U272" s="106"/>
      <c r="V272" s="106"/>
    </row>
    <row r="273" spans="1:22">
      <c r="A273" s="91"/>
      <c r="B273" s="92"/>
      <c r="C273" s="93"/>
      <c r="D273" s="95"/>
      <c r="E273" s="95"/>
      <c r="F273" s="94"/>
      <c r="G273" s="95"/>
      <c r="H273" s="96"/>
      <c r="I273" s="96"/>
      <c r="J273" s="94"/>
      <c r="K273" s="94"/>
      <c r="L273" s="95"/>
      <c r="M273" s="96"/>
      <c r="N273" s="96"/>
      <c r="O273" s="94"/>
      <c r="P273" s="106"/>
      <c r="Q273" s="106"/>
      <c r="S273" s="105"/>
      <c r="T273" s="106"/>
      <c r="U273" s="106"/>
      <c r="V273" s="106"/>
    </row>
    <row r="274" spans="1:22">
      <c r="A274" s="91"/>
      <c r="B274" s="92"/>
      <c r="C274" s="93"/>
      <c r="D274" s="95"/>
      <c r="E274" s="95"/>
      <c r="F274" s="94"/>
      <c r="G274" s="95"/>
      <c r="H274" s="96"/>
      <c r="I274" s="96"/>
      <c r="J274" s="94"/>
      <c r="K274" s="94"/>
      <c r="L274" s="95"/>
      <c r="M274" s="96"/>
      <c r="N274" s="96"/>
      <c r="O274" s="94"/>
      <c r="P274" s="106"/>
      <c r="Q274" s="106"/>
      <c r="S274" s="105"/>
      <c r="T274" s="106"/>
      <c r="U274" s="106"/>
      <c r="V274" s="106"/>
    </row>
    <row r="275" spans="1:22">
      <c r="A275" s="91"/>
      <c r="B275" s="92"/>
      <c r="C275" s="93"/>
      <c r="D275" s="95"/>
      <c r="E275" s="95"/>
      <c r="F275" s="94"/>
      <c r="G275" s="95"/>
      <c r="H275" s="96"/>
      <c r="I275" s="96"/>
      <c r="J275" s="94"/>
      <c r="K275" s="94"/>
      <c r="L275" s="95"/>
      <c r="M275" s="96"/>
      <c r="N275" s="96"/>
      <c r="O275" s="94"/>
      <c r="P275" s="106"/>
      <c r="Q275" s="106"/>
      <c r="S275" s="105"/>
      <c r="T275" s="106"/>
      <c r="U275" s="106"/>
      <c r="V275" s="106"/>
    </row>
    <row r="276" spans="1:22">
      <c r="A276" s="91"/>
      <c r="B276" s="92"/>
      <c r="C276" s="93"/>
      <c r="D276" s="95"/>
      <c r="E276" s="95"/>
      <c r="F276" s="94"/>
      <c r="G276" s="95"/>
      <c r="H276" s="96"/>
      <c r="I276" s="96"/>
      <c r="J276" s="94"/>
      <c r="K276" s="94"/>
      <c r="L276" s="95"/>
      <c r="M276" s="96"/>
      <c r="N276" s="96"/>
      <c r="O276" s="94"/>
      <c r="P276" s="106"/>
      <c r="Q276" s="106"/>
      <c r="S276" s="105"/>
      <c r="T276" s="106"/>
      <c r="U276" s="106"/>
      <c r="V276" s="106"/>
    </row>
    <row r="277" spans="1:22">
      <c r="A277" s="91"/>
      <c r="B277" s="92"/>
      <c r="C277" s="93"/>
      <c r="D277" s="95"/>
      <c r="E277" s="95"/>
      <c r="F277" s="94"/>
      <c r="G277" s="95"/>
      <c r="H277" s="96"/>
      <c r="I277" s="96"/>
      <c r="J277" s="94"/>
      <c r="K277" s="94"/>
      <c r="L277" s="95"/>
      <c r="M277" s="96"/>
      <c r="N277" s="96"/>
      <c r="O277" s="94"/>
      <c r="P277" s="106"/>
      <c r="Q277" s="106"/>
      <c r="S277" s="105"/>
      <c r="T277" s="106"/>
      <c r="U277" s="106"/>
      <c r="V277" s="106"/>
    </row>
    <row r="278" spans="1:22">
      <c r="A278" s="91"/>
      <c r="B278" s="92"/>
      <c r="C278" s="93"/>
      <c r="D278" s="95"/>
      <c r="E278" s="95"/>
      <c r="F278" s="94"/>
      <c r="G278" s="95"/>
      <c r="H278" s="96"/>
      <c r="I278" s="96"/>
      <c r="J278" s="94"/>
      <c r="K278" s="94"/>
      <c r="L278" s="95"/>
      <c r="M278" s="96"/>
      <c r="N278" s="96"/>
      <c r="O278" s="94"/>
      <c r="P278" s="106"/>
      <c r="Q278" s="106"/>
      <c r="S278" s="105"/>
      <c r="T278" s="106"/>
      <c r="U278" s="106"/>
      <c r="V278" s="106"/>
    </row>
    <row r="279" spans="1:22">
      <c r="A279" s="91"/>
      <c r="B279" s="92"/>
      <c r="C279" s="93"/>
      <c r="D279" s="95"/>
      <c r="E279" s="95"/>
      <c r="F279" s="94"/>
      <c r="G279" s="95"/>
      <c r="H279" s="96"/>
      <c r="I279" s="96"/>
      <c r="J279" s="94"/>
      <c r="K279" s="94"/>
      <c r="L279" s="95"/>
      <c r="M279" s="96"/>
      <c r="N279" s="96"/>
      <c r="O279" s="94"/>
      <c r="P279" s="106"/>
      <c r="Q279" s="106"/>
      <c r="S279" s="105"/>
      <c r="T279" s="106"/>
      <c r="U279" s="106"/>
      <c r="V279" s="106"/>
    </row>
    <row r="280" spans="1:22">
      <c r="A280" s="91"/>
      <c r="B280" s="92"/>
      <c r="C280" s="93"/>
      <c r="D280" s="95"/>
      <c r="E280" s="95"/>
      <c r="F280" s="94"/>
      <c r="G280" s="95"/>
      <c r="H280" s="96"/>
      <c r="I280" s="96"/>
      <c r="J280" s="94"/>
      <c r="K280" s="94"/>
      <c r="L280" s="95"/>
      <c r="M280" s="96"/>
      <c r="N280" s="96"/>
      <c r="O280" s="94"/>
      <c r="P280" s="106"/>
      <c r="Q280" s="106"/>
      <c r="S280" s="105"/>
      <c r="T280" s="106"/>
      <c r="U280" s="106"/>
      <c r="V280" s="106"/>
    </row>
    <row r="281" spans="1:22">
      <c r="A281" s="91"/>
      <c r="B281" s="92"/>
      <c r="C281" s="93"/>
      <c r="D281" s="95"/>
      <c r="E281" s="95"/>
      <c r="F281" s="94"/>
      <c r="G281" s="95"/>
      <c r="H281" s="96"/>
      <c r="I281" s="96"/>
      <c r="J281" s="94"/>
      <c r="K281" s="94"/>
      <c r="L281" s="95"/>
      <c r="M281" s="96"/>
      <c r="N281" s="96"/>
      <c r="O281" s="94"/>
      <c r="P281" s="106"/>
      <c r="Q281" s="106"/>
      <c r="S281" s="105"/>
      <c r="T281" s="106"/>
      <c r="U281" s="106"/>
      <c r="V281" s="106"/>
    </row>
    <row r="282" spans="1:22">
      <c r="A282" s="91"/>
      <c r="B282" s="92"/>
      <c r="C282" s="93"/>
      <c r="D282" s="95"/>
      <c r="E282" s="95"/>
      <c r="F282" s="94"/>
      <c r="G282" s="95"/>
      <c r="H282" s="96"/>
      <c r="I282" s="96"/>
      <c r="J282" s="94"/>
      <c r="K282" s="94"/>
      <c r="L282" s="95"/>
      <c r="M282" s="96"/>
      <c r="N282" s="96"/>
      <c r="O282" s="94"/>
      <c r="P282" s="106"/>
      <c r="Q282" s="106"/>
      <c r="S282" s="105"/>
      <c r="T282" s="106"/>
      <c r="U282" s="106"/>
      <c r="V282" s="106"/>
    </row>
    <row r="283" spans="1:22">
      <c r="A283" s="91"/>
      <c r="B283" s="92"/>
      <c r="C283" s="93"/>
      <c r="D283" s="95"/>
      <c r="E283" s="95"/>
      <c r="F283" s="94"/>
      <c r="G283" s="95"/>
      <c r="H283" s="96"/>
      <c r="I283" s="96"/>
      <c r="J283" s="94"/>
      <c r="K283" s="94"/>
      <c r="L283" s="95"/>
      <c r="M283" s="96"/>
      <c r="N283" s="96"/>
      <c r="O283" s="94"/>
      <c r="P283" s="106"/>
      <c r="Q283" s="106"/>
      <c r="S283" s="105"/>
      <c r="T283" s="106"/>
      <c r="U283" s="106"/>
      <c r="V283" s="106"/>
    </row>
    <row r="284" spans="1:22">
      <c r="A284" s="91"/>
      <c r="B284" s="92"/>
      <c r="C284" s="93"/>
      <c r="D284" s="95"/>
      <c r="E284" s="95"/>
      <c r="F284" s="94"/>
      <c r="G284" s="95"/>
      <c r="H284" s="96"/>
      <c r="I284" s="96"/>
      <c r="J284" s="94"/>
      <c r="K284" s="94"/>
      <c r="L284" s="95"/>
      <c r="M284" s="96"/>
      <c r="N284" s="96"/>
      <c r="O284" s="94"/>
      <c r="P284" s="106"/>
      <c r="Q284" s="106"/>
      <c r="S284" s="105"/>
      <c r="T284" s="106"/>
      <c r="U284" s="106"/>
      <c r="V284" s="106"/>
    </row>
    <row r="285" spans="1:22">
      <c r="A285" s="91"/>
      <c r="B285" s="92"/>
      <c r="C285" s="93"/>
      <c r="D285" s="95"/>
      <c r="E285" s="95"/>
      <c r="F285" s="94"/>
      <c r="G285" s="95"/>
      <c r="H285" s="96"/>
      <c r="I285" s="96"/>
      <c r="J285" s="94"/>
      <c r="K285" s="94"/>
      <c r="L285" s="95"/>
      <c r="M285" s="96"/>
      <c r="N285" s="96"/>
      <c r="O285" s="94"/>
      <c r="P285" s="106"/>
      <c r="Q285" s="106"/>
      <c r="S285" s="105"/>
      <c r="T285" s="106"/>
      <c r="U285" s="106"/>
      <c r="V285" s="106"/>
    </row>
    <row r="286" spans="1:22">
      <c r="A286" s="91"/>
      <c r="B286" s="92"/>
      <c r="C286" s="93"/>
      <c r="D286" s="95"/>
      <c r="E286" s="95"/>
      <c r="F286" s="94"/>
      <c r="G286" s="95"/>
      <c r="H286" s="96"/>
      <c r="I286" s="96"/>
      <c r="J286" s="94"/>
      <c r="K286" s="94"/>
      <c r="L286" s="95"/>
      <c r="M286" s="96"/>
      <c r="N286" s="96"/>
      <c r="O286" s="94"/>
      <c r="P286" s="106"/>
      <c r="Q286" s="106"/>
      <c r="S286" s="105"/>
      <c r="T286" s="106"/>
      <c r="U286" s="106"/>
      <c r="V286" s="106"/>
    </row>
    <row r="287" spans="1:22">
      <c r="A287" s="91"/>
      <c r="B287" s="92"/>
      <c r="C287" s="93"/>
      <c r="D287" s="95"/>
      <c r="E287" s="95"/>
      <c r="F287" s="94"/>
      <c r="G287" s="95"/>
      <c r="H287" s="96"/>
      <c r="I287" s="96"/>
      <c r="J287" s="94"/>
      <c r="K287" s="94"/>
      <c r="L287" s="95"/>
      <c r="M287" s="96"/>
      <c r="N287" s="96"/>
      <c r="O287" s="94"/>
      <c r="P287" s="106"/>
      <c r="Q287" s="106"/>
      <c r="S287" s="105"/>
      <c r="T287" s="106"/>
      <c r="U287" s="106"/>
      <c r="V287" s="106"/>
    </row>
    <row r="288" spans="1:22">
      <c r="A288" s="91"/>
      <c r="B288" s="92"/>
      <c r="C288" s="93"/>
      <c r="D288" s="95"/>
      <c r="E288" s="95"/>
      <c r="F288" s="94"/>
      <c r="G288" s="95"/>
      <c r="H288" s="96"/>
      <c r="I288" s="96"/>
      <c r="J288" s="94"/>
      <c r="K288" s="94"/>
      <c r="L288" s="95"/>
      <c r="M288" s="96"/>
      <c r="N288" s="96"/>
      <c r="O288" s="94"/>
      <c r="P288" s="106"/>
      <c r="Q288" s="106"/>
      <c r="S288" s="105"/>
      <c r="T288" s="106"/>
      <c r="U288" s="106"/>
      <c r="V288" s="106"/>
    </row>
    <row r="289" spans="1:22">
      <c r="A289" s="91"/>
      <c r="B289" s="92"/>
      <c r="C289" s="93"/>
      <c r="D289" s="95"/>
      <c r="E289" s="95"/>
      <c r="F289" s="94"/>
      <c r="G289" s="95"/>
      <c r="H289" s="96"/>
      <c r="I289" s="96"/>
      <c r="J289" s="94"/>
      <c r="K289" s="94"/>
      <c r="L289" s="95"/>
      <c r="M289" s="96"/>
      <c r="N289" s="96"/>
      <c r="O289" s="94"/>
      <c r="P289" s="106"/>
      <c r="Q289" s="106"/>
      <c r="S289" s="105"/>
      <c r="T289" s="106"/>
      <c r="U289" s="106"/>
      <c r="V289" s="106"/>
    </row>
    <row r="290" spans="1:22">
      <c r="A290" s="91"/>
      <c r="B290" s="92"/>
      <c r="C290" s="93"/>
      <c r="D290" s="95"/>
      <c r="E290" s="95"/>
      <c r="F290" s="94"/>
      <c r="G290" s="95"/>
      <c r="H290" s="96"/>
      <c r="I290" s="96"/>
      <c r="J290" s="94"/>
      <c r="K290" s="94"/>
      <c r="L290" s="95"/>
      <c r="M290" s="96"/>
      <c r="N290" s="96"/>
      <c r="O290" s="94"/>
      <c r="P290" s="106"/>
      <c r="Q290" s="106"/>
      <c r="S290" s="105"/>
      <c r="T290" s="106"/>
      <c r="U290" s="106"/>
      <c r="V290" s="106"/>
    </row>
    <row r="291" spans="1:22">
      <c r="A291" s="91"/>
      <c r="B291" s="92"/>
      <c r="C291" s="93"/>
      <c r="D291" s="95"/>
      <c r="E291" s="95"/>
      <c r="F291" s="94"/>
      <c r="G291" s="95"/>
      <c r="H291" s="96"/>
      <c r="I291" s="96"/>
      <c r="J291" s="94"/>
      <c r="K291" s="94"/>
      <c r="L291" s="95"/>
      <c r="M291" s="96"/>
      <c r="N291" s="96"/>
      <c r="O291" s="94"/>
      <c r="P291" s="106"/>
      <c r="Q291" s="106"/>
      <c r="S291" s="105"/>
      <c r="T291" s="106"/>
      <c r="U291" s="106"/>
      <c r="V291" s="106"/>
    </row>
    <row r="292" spans="1:22">
      <c r="A292" s="91"/>
      <c r="B292" s="92"/>
      <c r="C292" s="93"/>
      <c r="D292" s="95"/>
      <c r="E292" s="95"/>
      <c r="F292" s="94"/>
      <c r="G292" s="95"/>
      <c r="H292" s="96"/>
      <c r="I292" s="96"/>
      <c r="J292" s="94"/>
      <c r="K292" s="94"/>
      <c r="L292" s="95"/>
      <c r="M292" s="96"/>
      <c r="N292" s="96"/>
      <c r="O292" s="94"/>
      <c r="P292" s="106"/>
      <c r="Q292" s="106"/>
      <c r="S292" s="105"/>
      <c r="T292" s="106"/>
      <c r="U292" s="106"/>
      <c r="V292" s="106"/>
    </row>
    <row r="293" spans="1:22">
      <c r="A293" s="91"/>
      <c r="B293" s="92"/>
      <c r="C293" s="93"/>
      <c r="D293" s="95"/>
      <c r="E293" s="95"/>
      <c r="F293" s="94"/>
      <c r="G293" s="95"/>
      <c r="H293" s="96"/>
      <c r="I293" s="96"/>
      <c r="J293" s="94"/>
      <c r="K293" s="94"/>
      <c r="L293" s="95"/>
      <c r="M293" s="96"/>
      <c r="N293" s="96"/>
      <c r="O293" s="94"/>
      <c r="P293" s="106"/>
      <c r="Q293" s="106"/>
      <c r="S293" s="105"/>
      <c r="T293" s="106"/>
      <c r="U293" s="106"/>
      <c r="V293" s="106"/>
    </row>
    <row r="294" spans="1:22">
      <c r="A294" s="91"/>
      <c r="B294" s="92"/>
      <c r="C294" s="93"/>
      <c r="D294" s="95"/>
      <c r="E294" s="95"/>
      <c r="F294" s="94"/>
      <c r="G294" s="95"/>
      <c r="H294" s="96"/>
      <c r="I294" s="96"/>
      <c r="J294" s="94"/>
      <c r="K294" s="94"/>
      <c r="L294" s="95"/>
      <c r="M294" s="96"/>
      <c r="N294" s="96"/>
      <c r="O294" s="94"/>
      <c r="P294" s="106"/>
      <c r="Q294" s="106"/>
      <c r="S294" s="105"/>
      <c r="T294" s="106"/>
      <c r="U294" s="106"/>
      <c r="V294" s="106"/>
    </row>
    <row r="295" spans="1:22">
      <c r="A295" s="91"/>
      <c r="B295" s="92"/>
      <c r="C295" s="93"/>
      <c r="D295" s="95"/>
      <c r="E295" s="95"/>
      <c r="F295" s="94"/>
      <c r="G295" s="95"/>
      <c r="H295" s="96"/>
      <c r="I295" s="96"/>
      <c r="J295" s="94"/>
      <c r="K295" s="94"/>
      <c r="L295" s="95"/>
      <c r="M295" s="96"/>
      <c r="N295" s="96"/>
      <c r="O295" s="94"/>
      <c r="P295" s="106"/>
      <c r="Q295" s="106"/>
      <c r="S295" s="105"/>
      <c r="T295" s="106"/>
      <c r="U295" s="106"/>
      <c r="V295" s="106"/>
    </row>
    <row r="296" spans="1:22">
      <c r="A296" s="91"/>
      <c r="B296" s="92"/>
      <c r="C296" s="93"/>
      <c r="D296" s="95"/>
      <c r="E296" s="95"/>
      <c r="F296" s="94"/>
      <c r="G296" s="95"/>
      <c r="H296" s="96"/>
      <c r="I296" s="96"/>
      <c r="J296" s="94"/>
      <c r="K296" s="94"/>
      <c r="L296" s="95"/>
      <c r="M296" s="96"/>
      <c r="N296" s="96"/>
      <c r="O296" s="94"/>
      <c r="P296" s="106"/>
      <c r="Q296" s="106"/>
      <c r="S296" s="105"/>
      <c r="T296" s="106"/>
      <c r="U296" s="106"/>
      <c r="V296" s="106"/>
    </row>
  </sheetData>
  <mergeCells count="14">
    <mergeCell ref="P3:P5"/>
    <mergeCell ref="A1:P1"/>
    <mergeCell ref="A2:P2"/>
    <mergeCell ref="D3:E3"/>
    <mergeCell ref="F3:J3"/>
    <mergeCell ref="K3:O3"/>
    <mergeCell ref="D4:E4"/>
    <mergeCell ref="F4:G4"/>
    <mergeCell ref="H4:J4"/>
    <mergeCell ref="K4:L4"/>
    <mergeCell ref="M4:O4"/>
    <mergeCell ref="A3:A5"/>
    <mergeCell ref="B3:B5"/>
    <mergeCell ref="C3:C5"/>
  </mergeCells>
  <phoneticPr fontId="76" type="noConversion"/>
  <pageMargins left="0.75" right="0.75" top="1" bottom="1" header="0.5" footer="0.5"/>
  <pageSetup paperSize="9" scale="47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07142-F0F1-46A1-A46E-C30C4EC36CF5}">
  <sheetPr>
    <tabColor rgb="FF92D050"/>
  </sheetPr>
  <dimension ref="A1:I44"/>
  <sheetViews>
    <sheetView view="pageBreakPreview" zoomScale="115" zoomScaleNormal="100" workbookViewId="0">
      <pane xSplit="2" ySplit="4" topLeftCell="C5" activePane="bottomRight" state="frozen"/>
      <selection pane="topRight"/>
      <selection pane="bottomLeft"/>
      <selection pane="bottomRight" activeCell="G24" sqref="G24"/>
    </sheetView>
  </sheetViews>
  <sheetFormatPr defaultColWidth="8.75" defaultRowHeight="23.1" customHeight="1"/>
  <cols>
    <col min="1" max="1" width="4.75" style="180" customWidth="1"/>
    <col min="2" max="2" width="17.625" style="180" customWidth="1"/>
    <col min="3" max="3" width="23.875" style="180" customWidth="1"/>
    <col min="4" max="6" width="19.25" style="180" customWidth="1"/>
    <col min="7" max="7" width="20.125" style="180" customWidth="1"/>
    <col min="8" max="8" width="9" style="180" bestFit="1" customWidth="1"/>
    <col min="9" max="9" width="13" style="180" customWidth="1"/>
    <col min="10" max="31" width="9" style="180" bestFit="1" customWidth="1"/>
    <col min="32" max="16384" width="8.75" style="180"/>
  </cols>
  <sheetData>
    <row r="1" spans="1:9" s="178" customFormat="1" ht="17.100000000000001" customHeight="1">
      <c r="A1" s="484" t="s">
        <v>1216</v>
      </c>
      <c r="B1" s="484"/>
      <c r="C1" s="484"/>
      <c r="D1" s="484"/>
      <c r="E1" s="484"/>
      <c r="F1" s="484"/>
      <c r="G1" s="484"/>
    </row>
    <row r="2" spans="1:9" s="178" customFormat="1" ht="17.100000000000001" customHeight="1">
      <c r="A2" s="484" t="s">
        <v>1217</v>
      </c>
      <c r="B2" s="484"/>
      <c r="C2" s="484"/>
      <c r="D2" s="484"/>
      <c r="E2" s="484"/>
      <c r="F2" s="484"/>
      <c r="G2" s="484"/>
    </row>
    <row r="3" spans="1:9" ht="17.100000000000001" customHeight="1">
      <c r="A3" s="485" t="s">
        <v>1051</v>
      </c>
      <c r="B3" s="485"/>
      <c r="C3" s="485"/>
      <c r="D3" s="485"/>
      <c r="E3" s="485"/>
      <c r="F3" s="485"/>
      <c r="G3" s="485"/>
    </row>
    <row r="4" spans="1:9" s="179" customFormat="1" ht="30.95" customHeight="1">
      <c r="A4" s="181" t="s">
        <v>32</v>
      </c>
      <c r="B4" s="181" t="s">
        <v>1218</v>
      </c>
      <c r="C4" s="181" t="s">
        <v>1219</v>
      </c>
      <c r="D4" s="181" t="s">
        <v>1220</v>
      </c>
      <c r="E4" s="182" t="s">
        <v>1221</v>
      </c>
      <c r="F4" s="182" t="s">
        <v>1222</v>
      </c>
      <c r="G4" s="181" t="s">
        <v>38</v>
      </c>
      <c r="I4" s="192" t="s">
        <v>1223</v>
      </c>
    </row>
    <row r="5" spans="1:9" s="179" customFormat="1" ht="23.1" customHeight="1">
      <c r="A5" s="181">
        <v>1</v>
      </c>
      <c r="B5" s="183" t="s">
        <v>1224</v>
      </c>
      <c r="C5" s="183" t="s">
        <v>1225</v>
      </c>
      <c r="D5" s="184">
        <v>7140600</v>
      </c>
      <c r="E5" s="181">
        <f t="shared" ref="E5:E21" si="0">+F5-I5</f>
        <v>102122.56000000006</v>
      </c>
      <c r="F5" s="181">
        <f>389799.58+2259993.28</f>
        <v>2649792.86</v>
      </c>
      <c r="G5" s="185"/>
      <c r="I5" s="192">
        <v>2547670.2999999998</v>
      </c>
    </row>
    <row r="6" spans="1:9" s="179" customFormat="1" ht="23.1" customHeight="1">
      <c r="A6" s="181">
        <v>2</v>
      </c>
      <c r="B6" s="183" t="s">
        <v>1226</v>
      </c>
      <c r="C6" s="183" t="s">
        <v>1227</v>
      </c>
      <c r="D6" s="184">
        <v>134750</v>
      </c>
      <c r="E6" s="181">
        <f t="shared" si="0"/>
        <v>0</v>
      </c>
      <c r="F6" s="181">
        <v>345487.7</v>
      </c>
      <c r="G6" s="185"/>
      <c r="I6" s="192">
        <v>345487.7</v>
      </c>
    </row>
    <row r="7" spans="1:9" s="179" customFormat="1" ht="23.1" customHeight="1">
      <c r="A7" s="181">
        <v>3</v>
      </c>
      <c r="B7" s="183" t="s">
        <v>1228</v>
      </c>
      <c r="C7" s="183" t="s">
        <v>1229</v>
      </c>
      <c r="D7" s="184">
        <v>171504.82559999998</v>
      </c>
      <c r="E7" s="181">
        <f t="shared" si="0"/>
        <v>1041.3599999999997</v>
      </c>
      <c r="F7" s="181">
        <v>6558.29</v>
      </c>
      <c r="G7" s="185"/>
      <c r="I7" s="192">
        <v>5516.93</v>
      </c>
    </row>
    <row r="8" spans="1:9" s="179" customFormat="1" ht="23.1" customHeight="1">
      <c r="A8" s="181">
        <v>4</v>
      </c>
      <c r="B8" s="183" t="s">
        <v>1230</v>
      </c>
      <c r="C8" s="183" t="s">
        <v>1231</v>
      </c>
      <c r="D8" s="184">
        <v>128628.61919999999</v>
      </c>
      <c r="E8" s="181">
        <f t="shared" si="0"/>
        <v>0</v>
      </c>
      <c r="F8" s="181">
        <v>686.53</v>
      </c>
      <c r="G8" s="185"/>
      <c r="I8" s="192">
        <v>686.53</v>
      </c>
    </row>
    <row r="9" spans="1:9" s="179" customFormat="1" ht="23.1" customHeight="1">
      <c r="A9" s="181">
        <v>5</v>
      </c>
      <c r="B9" s="183" t="s">
        <v>1232</v>
      </c>
      <c r="C9" s="183" t="s">
        <v>1233</v>
      </c>
      <c r="D9" s="184">
        <v>28775.040000000005</v>
      </c>
      <c r="E9" s="181">
        <f t="shared" si="0"/>
        <v>2226.8599999999997</v>
      </c>
      <c r="F9" s="181">
        <v>9674.98</v>
      </c>
      <c r="G9" s="185"/>
      <c r="I9" s="192">
        <v>7448.12</v>
      </c>
    </row>
    <row r="10" spans="1:9" s="179" customFormat="1" ht="23.1" customHeight="1">
      <c r="A10" s="181">
        <v>6</v>
      </c>
      <c r="B10" s="183" t="s">
        <v>1234</v>
      </c>
      <c r="C10" s="183" t="s">
        <v>1235</v>
      </c>
      <c r="D10" s="184">
        <v>23122.800000000003</v>
      </c>
      <c r="E10" s="181">
        <f t="shared" si="0"/>
        <v>936.31999999999971</v>
      </c>
      <c r="F10" s="181">
        <v>5292.5</v>
      </c>
      <c r="G10" s="185"/>
      <c r="I10" s="192">
        <v>4356.18</v>
      </c>
    </row>
    <row r="11" spans="1:9" s="179" customFormat="1" ht="23.1" customHeight="1">
      <c r="A11" s="181">
        <v>7</v>
      </c>
      <c r="B11" s="183" t="s">
        <v>1236</v>
      </c>
      <c r="C11" s="183" t="s">
        <v>1237</v>
      </c>
      <c r="D11" s="184">
        <v>20039.760000000002</v>
      </c>
      <c r="E11" s="181">
        <f t="shared" si="0"/>
        <v>1115.92</v>
      </c>
      <c r="F11" s="181">
        <v>6814.29</v>
      </c>
      <c r="G11" s="185"/>
      <c r="I11" s="192">
        <v>5698.37</v>
      </c>
    </row>
    <row r="12" spans="1:9" s="179" customFormat="1" ht="23.1" customHeight="1">
      <c r="A12" s="181">
        <v>8</v>
      </c>
      <c r="B12" s="183" t="s">
        <v>1238</v>
      </c>
      <c r="C12" s="183" t="s">
        <v>1239</v>
      </c>
      <c r="D12" s="184">
        <v>26719.68</v>
      </c>
      <c r="E12" s="181">
        <f t="shared" si="0"/>
        <v>15910.929999999993</v>
      </c>
      <c r="F12" s="181">
        <f>111865.23+514.19</f>
        <v>112379.42</v>
      </c>
      <c r="G12" s="185"/>
      <c r="I12" s="192">
        <v>96468.49</v>
      </c>
    </row>
    <row r="13" spans="1:9" s="179" customFormat="1" ht="23.1" customHeight="1">
      <c r="A13" s="181">
        <v>9</v>
      </c>
      <c r="B13" s="183" t="s">
        <v>1240</v>
      </c>
      <c r="C13" s="183" t="s">
        <v>1241</v>
      </c>
      <c r="D13" s="184">
        <v>719376.00000000012</v>
      </c>
      <c r="E13" s="181">
        <f t="shared" si="0"/>
        <v>39201.380000000005</v>
      </c>
      <c r="F13" s="181">
        <v>246827.64</v>
      </c>
      <c r="G13" s="185"/>
      <c r="I13" s="192">
        <v>207626.26</v>
      </c>
    </row>
    <row r="14" spans="1:9" s="179" customFormat="1" ht="23.1" customHeight="1">
      <c r="A14" s="181">
        <v>10</v>
      </c>
      <c r="B14" s="183" t="s">
        <v>1242</v>
      </c>
      <c r="C14" s="183" t="s">
        <v>1243</v>
      </c>
      <c r="D14" s="184">
        <v>616608</v>
      </c>
      <c r="E14" s="181">
        <f t="shared" si="0"/>
        <v>51329.089999999967</v>
      </c>
      <c r="F14" s="181">
        <f>210474.8+191555.19</f>
        <v>402029.99</v>
      </c>
      <c r="G14" s="185"/>
      <c r="I14" s="192">
        <v>350700.9</v>
      </c>
    </row>
    <row r="15" spans="1:9" s="179" customFormat="1" ht="23.1" customHeight="1">
      <c r="A15" s="181">
        <v>11</v>
      </c>
      <c r="B15" s="183" t="s">
        <v>1244</v>
      </c>
      <c r="C15" s="183" t="s">
        <v>1245</v>
      </c>
      <c r="D15" s="184">
        <v>0</v>
      </c>
      <c r="E15" s="181">
        <f t="shared" si="0"/>
        <v>0</v>
      </c>
      <c r="F15" s="181">
        <v>0</v>
      </c>
      <c r="G15" s="185"/>
      <c r="I15" s="192">
        <v>0</v>
      </c>
    </row>
    <row r="16" spans="1:9" s="179" customFormat="1" ht="23.1" customHeight="1">
      <c r="A16" s="181">
        <v>12</v>
      </c>
      <c r="B16" s="183" t="s">
        <v>1246</v>
      </c>
      <c r="C16" s="183" t="s">
        <v>1247</v>
      </c>
      <c r="D16" s="184">
        <v>662000</v>
      </c>
      <c r="E16" s="181">
        <f t="shared" si="0"/>
        <v>-424124.64</v>
      </c>
      <c r="F16" s="181"/>
      <c r="G16" s="185"/>
      <c r="I16" s="192">
        <v>424124.64</v>
      </c>
    </row>
    <row r="17" spans="1:9" s="179" customFormat="1" ht="23.1" customHeight="1">
      <c r="A17" s="181">
        <v>13</v>
      </c>
      <c r="B17" s="183" t="s">
        <v>1248</v>
      </c>
      <c r="C17" s="183" t="s">
        <v>1249</v>
      </c>
      <c r="D17" s="184">
        <v>54000</v>
      </c>
      <c r="E17" s="181">
        <f t="shared" si="0"/>
        <v>0</v>
      </c>
      <c r="F17" s="181"/>
      <c r="G17" s="185"/>
      <c r="I17" s="192"/>
    </row>
    <row r="18" spans="1:9" s="179" customFormat="1" ht="23.1" customHeight="1">
      <c r="A18" s="181">
        <v>14</v>
      </c>
      <c r="B18" s="183" t="s">
        <v>1250</v>
      </c>
      <c r="C18" s="183" t="s">
        <v>1249</v>
      </c>
      <c r="D18" s="184">
        <v>15435</v>
      </c>
      <c r="E18" s="181">
        <f t="shared" si="0"/>
        <v>0</v>
      </c>
      <c r="F18" s="181"/>
      <c r="G18" s="185"/>
      <c r="I18" s="192"/>
    </row>
    <row r="19" spans="1:9" s="179" customFormat="1" ht="23.1" customHeight="1">
      <c r="A19" s="181">
        <v>15</v>
      </c>
      <c r="B19" s="183" t="s">
        <v>1251</v>
      </c>
      <c r="C19" s="183" t="s">
        <v>1252</v>
      </c>
      <c r="D19" s="184">
        <v>184800</v>
      </c>
      <c r="E19" s="181">
        <f t="shared" si="0"/>
        <v>0</v>
      </c>
      <c r="F19" s="181">
        <v>30331.5</v>
      </c>
      <c r="G19" s="185"/>
      <c r="I19" s="192">
        <v>30331.5</v>
      </c>
    </row>
    <row r="20" spans="1:9" s="179" customFormat="1" ht="23.1" customHeight="1">
      <c r="A20" s="181">
        <v>16</v>
      </c>
      <c r="B20" s="186" t="s">
        <v>1253</v>
      </c>
      <c r="C20" s="183" t="s">
        <v>1254</v>
      </c>
      <c r="D20" s="184">
        <v>222227.41943119271</v>
      </c>
      <c r="E20" s="181">
        <f t="shared" si="0"/>
        <v>0</v>
      </c>
      <c r="F20" s="181">
        <v>9069.33</v>
      </c>
      <c r="G20" s="187"/>
      <c r="I20" s="192">
        <v>9069.33</v>
      </c>
    </row>
    <row r="21" spans="1:9" s="179" customFormat="1" ht="23.1" customHeight="1">
      <c r="A21" s="181">
        <v>17</v>
      </c>
      <c r="B21" s="183" t="s">
        <v>1255</v>
      </c>
      <c r="C21" s="183" t="s">
        <v>1256</v>
      </c>
      <c r="D21" s="184">
        <v>111113.70971559636</v>
      </c>
      <c r="E21" s="181">
        <f t="shared" si="0"/>
        <v>0</v>
      </c>
      <c r="F21" s="181">
        <f>56340</f>
        <v>56340</v>
      </c>
      <c r="G21" s="185"/>
      <c r="H21" s="188"/>
      <c r="I21" s="193">
        <v>56340</v>
      </c>
    </row>
    <row r="22" spans="1:9" s="179" customFormat="1" ht="23.1" customHeight="1">
      <c r="A22" s="181">
        <v>18</v>
      </c>
      <c r="B22" s="183" t="s">
        <v>1257</v>
      </c>
      <c r="C22" s="183" t="s">
        <v>1258</v>
      </c>
      <c r="D22" s="184" t="s">
        <v>351</v>
      </c>
      <c r="E22" s="181">
        <f t="shared" ref="E22:E40" si="1">+F22-I22</f>
        <v>0</v>
      </c>
      <c r="F22" s="181"/>
      <c r="G22" s="187"/>
      <c r="I22" s="192"/>
    </row>
    <row r="23" spans="1:9" s="179" customFormat="1" ht="23.1" customHeight="1">
      <c r="A23" s="181">
        <v>19</v>
      </c>
      <c r="B23" s="183" t="s">
        <v>1259</v>
      </c>
      <c r="C23" s="183" t="s">
        <v>1260</v>
      </c>
      <c r="D23" s="184" t="s">
        <v>351</v>
      </c>
      <c r="E23" s="181">
        <f t="shared" si="1"/>
        <v>0</v>
      </c>
      <c r="F23" s="181"/>
      <c r="G23" s="187"/>
      <c r="I23" s="192"/>
    </row>
    <row r="24" spans="1:9" s="179" customFormat="1" ht="23.1" customHeight="1">
      <c r="A24" s="181">
        <v>20</v>
      </c>
      <c r="B24" s="183" t="s">
        <v>1261</v>
      </c>
      <c r="C24" s="183" t="s">
        <v>1258</v>
      </c>
      <c r="D24" s="184">
        <v>1831200</v>
      </c>
      <c r="E24" s="181">
        <f t="shared" si="1"/>
        <v>0</v>
      </c>
      <c r="F24" s="181"/>
      <c r="G24" s="187"/>
      <c r="I24" s="192"/>
    </row>
    <row r="25" spans="1:9" s="179" customFormat="1" ht="23.1" customHeight="1">
      <c r="A25" s="181">
        <v>21</v>
      </c>
      <c r="B25" s="183" t="s">
        <v>1262</v>
      </c>
      <c r="C25" s="183" t="s">
        <v>1258</v>
      </c>
      <c r="D25" s="184" t="s">
        <v>351</v>
      </c>
      <c r="E25" s="181">
        <f t="shared" si="1"/>
        <v>0</v>
      </c>
      <c r="F25" s="181"/>
      <c r="G25" s="187"/>
      <c r="I25" s="192"/>
    </row>
    <row r="26" spans="1:9" s="179" customFormat="1" ht="23.1" customHeight="1">
      <c r="A26" s="181">
        <v>22</v>
      </c>
      <c r="B26" s="183" t="s">
        <v>1263</v>
      </c>
      <c r="C26" s="183" t="s">
        <v>1264</v>
      </c>
      <c r="D26" s="184" t="s">
        <v>351</v>
      </c>
      <c r="E26" s="181">
        <f t="shared" si="1"/>
        <v>0</v>
      </c>
      <c r="F26" s="181"/>
      <c r="G26" s="187"/>
      <c r="I26" s="192"/>
    </row>
    <row r="27" spans="1:9" s="179" customFormat="1" ht="23.1" customHeight="1">
      <c r="A27" s="181">
        <v>23</v>
      </c>
      <c r="B27" s="183" t="s">
        <v>1265</v>
      </c>
      <c r="C27" s="183" t="s">
        <v>1258</v>
      </c>
      <c r="D27" s="184" t="s">
        <v>351</v>
      </c>
      <c r="E27" s="181">
        <f t="shared" si="1"/>
        <v>0</v>
      </c>
      <c r="F27" s="181"/>
      <c r="G27" s="187"/>
      <c r="I27" s="192"/>
    </row>
    <row r="28" spans="1:9" s="179" customFormat="1" ht="23.1" customHeight="1">
      <c r="A28" s="181">
        <v>24</v>
      </c>
      <c r="B28" s="183" t="s">
        <v>1266</v>
      </c>
      <c r="C28" s="183" t="s">
        <v>1267</v>
      </c>
      <c r="D28" s="184">
        <v>833352.82286697254</v>
      </c>
      <c r="E28" s="181">
        <f t="shared" si="1"/>
        <v>0</v>
      </c>
      <c r="F28" s="181"/>
      <c r="G28" s="187"/>
      <c r="I28" s="192"/>
    </row>
    <row r="29" spans="1:9" s="179" customFormat="1" ht="23.1" customHeight="1">
      <c r="A29" s="181">
        <v>25</v>
      </c>
      <c r="B29" s="183" t="s">
        <v>1268</v>
      </c>
      <c r="C29" s="183" t="s">
        <v>1269</v>
      </c>
      <c r="D29" s="184">
        <v>33334.112914678903</v>
      </c>
      <c r="E29" s="181">
        <f t="shared" si="1"/>
        <v>0</v>
      </c>
      <c r="F29" s="181"/>
      <c r="G29" s="187"/>
      <c r="I29" s="192"/>
    </row>
    <row r="30" spans="1:9" s="179" customFormat="1" ht="23.1" customHeight="1">
      <c r="A30" s="181">
        <v>26</v>
      </c>
      <c r="B30" s="183" t="s">
        <v>1270</v>
      </c>
      <c r="C30" s="183" t="s">
        <v>1258</v>
      </c>
      <c r="D30" s="184" t="s">
        <v>351</v>
      </c>
      <c r="E30" s="181">
        <f t="shared" si="1"/>
        <v>0</v>
      </c>
      <c r="F30" s="181"/>
      <c r="G30" s="187"/>
      <c r="I30" s="192"/>
    </row>
    <row r="31" spans="1:9" s="179" customFormat="1" ht="23.1" customHeight="1">
      <c r="A31" s="181">
        <v>27</v>
      </c>
      <c r="B31" s="183" t="s">
        <v>1271</v>
      </c>
      <c r="C31" s="183" t="s">
        <v>1258</v>
      </c>
      <c r="D31" s="184">
        <v>131114.17746440371</v>
      </c>
      <c r="E31" s="181">
        <f t="shared" si="1"/>
        <v>-64695.309999999969</v>
      </c>
      <c r="F31" s="181">
        <v>234781.66</v>
      </c>
      <c r="G31" s="187"/>
      <c r="I31" s="192">
        <v>299476.96999999997</v>
      </c>
    </row>
    <row r="32" spans="1:9" s="179" customFormat="1" ht="23.1" customHeight="1">
      <c r="A32" s="181">
        <v>28</v>
      </c>
      <c r="B32" s="183" t="s">
        <v>1272</v>
      </c>
      <c r="C32" s="183" t="s">
        <v>1273</v>
      </c>
      <c r="D32" s="184" t="s">
        <v>351</v>
      </c>
      <c r="E32" s="181">
        <f t="shared" si="1"/>
        <v>0</v>
      </c>
      <c r="F32" s="181"/>
      <c r="G32" s="187"/>
      <c r="I32" s="192"/>
    </row>
    <row r="33" spans="1:9" s="179" customFormat="1" ht="23.1" customHeight="1">
      <c r="A33" s="181">
        <v>29</v>
      </c>
      <c r="B33" s="183" t="s">
        <v>1274</v>
      </c>
      <c r="C33" s="183" t="s">
        <v>1273</v>
      </c>
      <c r="D33" s="184" t="s">
        <v>351</v>
      </c>
      <c r="E33" s="181">
        <f t="shared" si="1"/>
        <v>0</v>
      </c>
      <c r="F33" s="181"/>
      <c r="G33" s="187"/>
      <c r="I33" s="192"/>
    </row>
    <row r="34" spans="1:9" s="179" customFormat="1" ht="23.1" customHeight="1">
      <c r="A34" s="181">
        <v>30</v>
      </c>
      <c r="B34" s="183" t="s">
        <v>1275</v>
      </c>
      <c r="C34" s="183" t="s">
        <v>1258</v>
      </c>
      <c r="D34" s="184">
        <v>20000.467748807343</v>
      </c>
      <c r="E34" s="181">
        <f t="shared" si="1"/>
        <v>0</v>
      </c>
      <c r="F34" s="181"/>
      <c r="G34" s="187"/>
      <c r="I34" s="192"/>
    </row>
    <row r="35" spans="1:9" s="179" customFormat="1" ht="23.1" customHeight="1">
      <c r="A35" s="181">
        <v>31</v>
      </c>
      <c r="B35" s="183" t="s">
        <v>1276</v>
      </c>
      <c r="C35" s="183" t="s">
        <v>1277</v>
      </c>
      <c r="D35" s="184">
        <v>12000</v>
      </c>
      <c r="E35" s="181">
        <f t="shared" si="1"/>
        <v>0</v>
      </c>
      <c r="F35" s="181"/>
      <c r="G35" s="187"/>
      <c r="I35" s="192"/>
    </row>
    <row r="36" spans="1:9" s="179" customFormat="1" ht="23.1" customHeight="1">
      <c r="A36" s="181">
        <v>32</v>
      </c>
      <c r="B36" s="183" t="s">
        <v>1278</v>
      </c>
      <c r="C36" s="183" t="s">
        <v>1279</v>
      </c>
      <c r="D36" s="184">
        <v>80000</v>
      </c>
      <c r="E36" s="181">
        <f t="shared" si="1"/>
        <v>0</v>
      </c>
      <c r="F36" s="181"/>
      <c r="G36" s="187"/>
      <c r="I36" s="192"/>
    </row>
    <row r="37" spans="1:9" s="179" customFormat="1" ht="23.1" customHeight="1">
      <c r="A37" s="181">
        <v>33</v>
      </c>
      <c r="B37" s="186" t="s">
        <v>1280</v>
      </c>
      <c r="C37" s="183" t="s">
        <v>1281</v>
      </c>
      <c r="D37" s="184" t="s">
        <v>351</v>
      </c>
      <c r="E37" s="181">
        <f t="shared" si="1"/>
        <v>0</v>
      </c>
      <c r="F37" s="181"/>
      <c r="G37" s="187"/>
      <c r="I37" s="192"/>
    </row>
    <row r="38" spans="1:9" s="179" customFormat="1" ht="23.1" customHeight="1">
      <c r="A38" s="181">
        <v>34</v>
      </c>
      <c r="B38" s="186" t="s">
        <v>1282</v>
      </c>
      <c r="C38" s="183"/>
      <c r="D38" s="184"/>
      <c r="E38" s="181">
        <f t="shared" si="1"/>
        <v>-16782.689999999995</v>
      </c>
      <c r="F38" s="184">
        <v>62715.15</v>
      </c>
      <c r="G38" s="187" t="s">
        <v>1283</v>
      </c>
      <c r="I38" s="192">
        <v>79497.84</v>
      </c>
    </row>
    <row r="39" spans="1:9" s="179" customFormat="1" ht="23.1" customHeight="1">
      <c r="A39" s="181">
        <v>35</v>
      </c>
      <c r="B39" s="186" t="s">
        <v>1284</v>
      </c>
      <c r="C39" s="183"/>
      <c r="D39" s="184"/>
      <c r="E39" s="181">
        <f t="shared" si="1"/>
        <v>-81704</v>
      </c>
      <c r="F39" s="184"/>
      <c r="G39" s="187"/>
      <c r="I39" s="192">
        <v>81704</v>
      </c>
    </row>
    <row r="40" spans="1:9" s="179" customFormat="1" ht="23.1" customHeight="1">
      <c r="A40" s="181">
        <v>36</v>
      </c>
      <c r="B40" s="186" t="s">
        <v>823</v>
      </c>
      <c r="C40" s="183"/>
      <c r="D40" s="184"/>
      <c r="E40" s="181">
        <f t="shared" si="1"/>
        <v>-355574.37000000005</v>
      </c>
      <c r="F40" s="184">
        <v>6952.36</v>
      </c>
      <c r="G40" s="187"/>
      <c r="I40" s="192">
        <v>362526.73000000004</v>
      </c>
    </row>
    <row r="41" spans="1:9" s="179" customFormat="1" ht="23.1" customHeight="1">
      <c r="A41" s="486" t="s">
        <v>63</v>
      </c>
      <c r="B41" s="486"/>
      <c r="C41" s="183"/>
      <c r="D41" s="181">
        <f>SUM(D5:D40)</f>
        <v>13200702.434941651</v>
      </c>
      <c r="E41" s="181">
        <f>SUM(E5:E40)</f>
        <v>-728996.59</v>
      </c>
      <c r="F41" s="181">
        <f>SUM(F5:F40)+600000</f>
        <v>4785734.2</v>
      </c>
      <c r="G41" s="183"/>
      <c r="I41" s="192">
        <v>4914730.790000001</v>
      </c>
    </row>
    <row r="42" spans="1:9" ht="23.1" customHeight="1">
      <c r="B42" s="189"/>
      <c r="C42" s="189"/>
      <c r="D42" s="189"/>
      <c r="E42" s="190"/>
      <c r="F42" s="190"/>
    </row>
    <row r="43" spans="1:9" ht="23.1" customHeight="1">
      <c r="E43" s="191"/>
      <c r="F43" s="191"/>
    </row>
    <row r="44" spans="1:9" ht="23.1" customHeight="1">
      <c r="E44" s="191"/>
      <c r="F44" s="191"/>
    </row>
  </sheetData>
  <mergeCells count="4">
    <mergeCell ref="A1:G1"/>
    <mergeCell ref="A2:G2"/>
    <mergeCell ref="A3:G3"/>
    <mergeCell ref="A41:B41"/>
  </mergeCells>
  <phoneticPr fontId="76" type="noConversion"/>
  <printOptions horizontalCentered="1"/>
  <pageMargins left="0.44" right="0.52" top="0.45999999999999996" bottom="0.19" header="0.51" footer="0.22999999999999998"/>
  <pageSetup paperSize="9" scale="42"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DCC0-241D-43CF-B1F9-D775BC82A7CF}">
  <dimension ref="A1:L14"/>
  <sheetViews>
    <sheetView view="pageBreakPreview" zoomScale="140" zoomScaleNormal="100" workbookViewId="0">
      <selection sqref="A1:J1"/>
    </sheetView>
  </sheetViews>
  <sheetFormatPr defaultColWidth="8.75" defaultRowHeight="15.75"/>
  <cols>
    <col min="1" max="1" width="9.625" style="161" customWidth="1"/>
    <col min="2" max="2" width="17.875" style="161" customWidth="1"/>
    <col min="3" max="3" width="9.625" style="161" customWidth="1"/>
    <col min="4" max="5" width="13.875" style="162" customWidth="1"/>
    <col min="6" max="9" width="11.625" style="162" customWidth="1"/>
    <col min="10" max="10" width="12.375" style="161" customWidth="1"/>
    <col min="11" max="11" width="14.375" style="163" customWidth="1"/>
    <col min="12" max="12" width="15.5" style="161" customWidth="1"/>
    <col min="13" max="32" width="9" style="161" bestFit="1" customWidth="1"/>
    <col min="33" max="16384" width="8.75" style="161"/>
  </cols>
  <sheetData>
    <row r="1" spans="1:12" s="159" customFormat="1" ht="23.1" customHeight="1">
      <c r="A1" s="412" t="s">
        <v>1482</v>
      </c>
      <c r="B1" s="412"/>
      <c r="C1" s="412"/>
      <c r="D1" s="487"/>
      <c r="E1" s="487"/>
      <c r="F1" s="487"/>
      <c r="G1" s="487"/>
      <c r="H1" s="487"/>
      <c r="I1" s="487"/>
      <c r="J1" s="412"/>
      <c r="K1" s="176"/>
    </row>
    <row r="2" spans="1:12" s="160" customFormat="1" ht="23.1" customHeight="1">
      <c r="A2" s="488" t="s">
        <v>1051</v>
      </c>
      <c r="B2" s="488"/>
      <c r="C2" s="488"/>
      <c r="D2" s="489"/>
      <c r="E2" s="489"/>
      <c r="F2" s="489"/>
      <c r="G2" s="489"/>
      <c r="H2" s="489"/>
      <c r="I2" s="489"/>
      <c r="J2" s="488"/>
      <c r="K2" s="163"/>
    </row>
    <row r="3" spans="1:12" s="160" customFormat="1" ht="23.1" customHeight="1">
      <c r="A3" s="418" t="s">
        <v>32</v>
      </c>
      <c r="B3" s="418" t="s">
        <v>1285</v>
      </c>
      <c r="C3" s="418" t="s">
        <v>34</v>
      </c>
      <c r="D3" s="431" t="s">
        <v>92</v>
      </c>
      <c r="E3" s="431"/>
      <c r="F3" s="431" t="s">
        <v>36</v>
      </c>
      <c r="G3" s="431"/>
      <c r="H3" s="431" t="s">
        <v>37</v>
      </c>
      <c r="I3" s="431"/>
      <c r="J3" s="420" t="s">
        <v>38</v>
      </c>
      <c r="K3" s="163"/>
    </row>
    <row r="4" spans="1:12" s="160" customFormat="1" ht="23.1" customHeight="1">
      <c r="A4" s="419"/>
      <c r="B4" s="419"/>
      <c r="C4" s="419"/>
      <c r="D4" s="165" t="s">
        <v>42</v>
      </c>
      <c r="E4" s="165" t="s">
        <v>94</v>
      </c>
      <c r="F4" s="165" t="s">
        <v>42</v>
      </c>
      <c r="G4" s="165" t="s">
        <v>43</v>
      </c>
      <c r="H4" s="165" t="s">
        <v>42</v>
      </c>
      <c r="I4" s="165" t="s">
        <v>43</v>
      </c>
      <c r="J4" s="420"/>
      <c r="K4" s="163"/>
    </row>
    <row r="5" spans="1:12" s="160" customFormat="1" ht="23.1" customHeight="1">
      <c r="A5" s="166">
        <v>1</v>
      </c>
      <c r="B5" s="164" t="s">
        <v>1286</v>
      </c>
      <c r="C5" s="167" t="s">
        <v>47</v>
      </c>
      <c r="D5" s="165">
        <v>4884475.8892660541</v>
      </c>
      <c r="E5" s="165">
        <v>13200702.434941651</v>
      </c>
      <c r="F5" s="165">
        <f>D5*汇总表!$G$25/汇总表!$D$25</f>
        <v>189947.02992568415</v>
      </c>
      <c r="G5" s="165">
        <f>现场经费!$E$41</f>
        <v>-728996.59</v>
      </c>
      <c r="H5" s="165">
        <f>汇总表!$K$25/汇总表!$D$25*D5</f>
        <v>2001364.8016769497</v>
      </c>
      <c r="I5" s="165">
        <f>现场经费!F41</f>
        <v>4785734.2</v>
      </c>
      <c r="J5" s="113"/>
      <c r="K5" s="163"/>
    </row>
    <row r="6" spans="1:12" s="160" customFormat="1" ht="23.1" customHeight="1">
      <c r="A6" s="167">
        <v>2</v>
      </c>
      <c r="B6" s="167" t="s">
        <v>377</v>
      </c>
      <c r="C6" s="167" t="s">
        <v>47</v>
      </c>
      <c r="D6" s="165">
        <v>4867994.59534516</v>
      </c>
      <c r="E6" s="165"/>
      <c r="F6" s="165">
        <f>D6*汇总表!$G$25/汇总表!$D$25</f>
        <v>189306.10694836211</v>
      </c>
      <c r="G6" s="168"/>
      <c r="H6" s="165">
        <f>汇总表!$K$25/汇总表!$D$25*D6</f>
        <v>1994611.7574840493</v>
      </c>
      <c r="I6" s="168"/>
      <c r="J6" s="169"/>
      <c r="K6" s="176"/>
    </row>
    <row r="7" spans="1:12" s="160" customFormat="1" ht="23.1" customHeight="1">
      <c r="A7" s="167">
        <v>3</v>
      </c>
      <c r="B7" s="167" t="s">
        <v>1287</v>
      </c>
      <c r="C7" s="167" t="s">
        <v>47</v>
      </c>
      <c r="D7" s="165">
        <v>5142966.3899999997</v>
      </c>
      <c r="E7" s="165"/>
      <c r="F7" s="165">
        <f>D7*汇总表!$G$25/汇总表!$D$25</f>
        <v>199999.18372714214</v>
      </c>
      <c r="G7" s="168"/>
      <c r="H7" s="165">
        <f>汇总表!$K$25/汇总表!$D$25*D7</f>
        <v>2107278.680968204</v>
      </c>
      <c r="I7" s="168"/>
      <c r="J7" s="113"/>
      <c r="K7" s="176"/>
      <c r="L7" s="177"/>
    </row>
    <row r="8" spans="1:12" s="160" customFormat="1" ht="23.1" customHeight="1">
      <c r="A8" s="113">
        <v>4</v>
      </c>
      <c r="B8" s="113" t="s">
        <v>1288</v>
      </c>
      <c r="C8" s="167" t="s">
        <v>47</v>
      </c>
      <c r="D8" s="165"/>
      <c r="E8" s="165"/>
      <c r="F8" s="168"/>
      <c r="G8" s="168"/>
      <c r="H8" s="168"/>
      <c r="I8" s="168"/>
      <c r="J8" s="113" t="s">
        <v>1289</v>
      </c>
      <c r="K8" s="176"/>
      <c r="L8" s="177"/>
    </row>
    <row r="9" spans="1:12" s="160" customFormat="1" ht="23.1" customHeight="1">
      <c r="A9" s="113"/>
      <c r="B9" s="113"/>
      <c r="C9" s="113"/>
      <c r="D9" s="168"/>
      <c r="E9" s="168"/>
      <c r="F9" s="168"/>
      <c r="G9" s="168"/>
      <c r="H9" s="168"/>
      <c r="I9" s="168"/>
      <c r="J9" s="113"/>
      <c r="K9" s="176"/>
      <c r="L9" s="177"/>
    </row>
    <row r="10" spans="1:12" s="160" customFormat="1" ht="23.1" customHeight="1">
      <c r="A10" s="113"/>
      <c r="B10" s="113"/>
      <c r="C10" s="113"/>
      <c r="D10" s="168"/>
      <c r="E10" s="168"/>
      <c r="F10" s="168"/>
      <c r="G10" s="168"/>
      <c r="H10" s="168"/>
      <c r="I10" s="168"/>
      <c r="J10" s="113"/>
      <c r="K10" s="176"/>
      <c r="L10" s="177"/>
    </row>
    <row r="11" spans="1:12" s="160" customFormat="1" ht="23.1" customHeight="1">
      <c r="A11" s="113"/>
      <c r="B11" s="113"/>
      <c r="C11" s="113"/>
      <c r="D11" s="168"/>
      <c r="E11" s="168"/>
      <c r="F11" s="168"/>
      <c r="G11" s="168"/>
      <c r="H11" s="168"/>
      <c r="I11" s="168"/>
      <c r="J11" s="113"/>
      <c r="K11" s="176"/>
      <c r="L11" s="177"/>
    </row>
    <row r="12" spans="1:12" s="160" customFormat="1" ht="23.1" customHeight="1">
      <c r="A12" s="113"/>
      <c r="B12" s="169"/>
      <c r="C12" s="113"/>
      <c r="D12" s="168"/>
      <c r="E12" s="168"/>
      <c r="F12" s="168"/>
      <c r="G12" s="168"/>
      <c r="H12" s="168"/>
      <c r="I12" s="168"/>
      <c r="J12" s="169"/>
      <c r="K12" s="163"/>
    </row>
    <row r="13" spans="1:12" s="160" customFormat="1" ht="23.1" customHeight="1">
      <c r="A13" s="170"/>
      <c r="B13" s="171" t="s">
        <v>63</v>
      </c>
      <c r="C13" s="172"/>
      <c r="D13" s="173">
        <f t="shared" ref="D13:I13" si="0">SUM(D5:D12)</f>
        <v>14895436.874611214</v>
      </c>
      <c r="E13" s="173">
        <f t="shared" si="0"/>
        <v>13200702.434941651</v>
      </c>
      <c r="F13" s="173">
        <f t="shared" si="0"/>
        <v>579252.32060118846</v>
      </c>
      <c r="G13" s="173">
        <f t="shared" si="0"/>
        <v>-728996.59</v>
      </c>
      <c r="H13" s="173">
        <f t="shared" si="0"/>
        <v>6103255.2401292026</v>
      </c>
      <c r="I13" s="173">
        <f t="shared" si="0"/>
        <v>4785734.2</v>
      </c>
      <c r="J13" s="169"/>
      <c r="K13" s="163"/>
    </row>
    <row r="14" spans="1:12">
      <c r="A14" s="174"/>
      <c r="B14" s="174"/>
      <c r="C14" s="174"/>
      <c r="D14" s="175"/>
      <c r="E14" s="175"/>
      <c r="F14" s="175"/>
      <c r="G14" s="175"/>
      <c r="H14" s="175"/>
      <c r="I14" s="175"/>
      <c r="J14" s="174"/>
    </row>
  </sheetData>
  <mergeCells count="9">
    <mergeCell ref="A1:J1"/>
    <mergeCell ref="A2:J2"/>
    <mergeCell ref="D3:E3"/>
    <mergeCell ref="F3:G3"/>
    <mergeCell ref="H3:I3"/>
    <mergeCell ref="A3:A4"/>
    <mergeCell ref="B3:B4"/>
    <mergeCell ref="C3:C4"/>
    <mergeCell ref="J3:J4"/>
  </mergeCells>
  <phoneticPr fontId="76" type="noConversion"/>
  <pageMargins left="0.75" right="0.75" top="1" bottom="1" header="0.5" footer="0.5"/>
  <pageSetup paperSize="9" scale="65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9DD3-B0B5-4027-B3F9-53C5870554CF}">
  <dimension ref="A1:R291"/>
  <sheetViews>
    <sheetView workbookViewId="0">
      <selection activeCell="A2" sqref="A2:M2"/>
    </sheetView>
  </sheetViews>
  <sheetFormatPr defaultColWidth="8.75" defaultRowHeight="14.25"/>
  <cols>
    <col min="1" max="1" width="5.625" style="142" customWidth="1"/>
    <col min="2" max="2" width="7.625" style="142" customWidth="1"/>
    <col min="3" max="3" width="5.625" style="142" customWidth="1"/>
    <col min="4" max="4" width="7.625" style="142" customWidth="1"/>
    <col min="5" max="5" width="7" style="142" customWidth="1"/>
    <col min="6" max="13" width="7.625" style="142" customWidth="1"/>
    <col min="14" max="32" width="9" style="142" bestFit="1" customWidth="1"/>
    <col min="33" max="16384" width="8.75" style="142"/>
  </cols>
  <sheetData>
    <row r="1" spans="1:18" ht="23.1" customHeight="1">
      <c r="A1" s="493" t="s">
        <v>1290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134"/>
      <c r="O1" s="134"/>
      <c r="P1" s="134"/>
      <c r="Q1" s="134"/>
      <c r="R1" s="106"/>
    </row>
    <row r="2" spans="1:18" s="140" customFormat="1" ht="23.1" customHeight="1">
      <c r="A2" s="494" t="s">
        <v>1051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135"/>
      <c r="O2" s="135"/>
      <c r="P2" s="135"/>
      <c r="Q2" s="135"/>
      <c r="R2" s="139"/>
    </row>
    <row r="3" spans="1:18" s="140" customFormat="1" ht="23.1" customHeight="1">
      <c r="A3" s="461" t="s">
        <v>32</v>
      </c>
      <c r="B3" s="455" t="s">
        <v>90</v>
      </c>
      <c r="C3" s="491" t="s">
        <v>34</v>
      </c>
      <c r="D3" s="461" t="s">
        <v>92</v>
      </c>
      <c r="E3" s="461"/>
      <c r="F3" s="461"/>
      <c r="G3" s="461" t="s">
        <v>36</v>
      </c>
      <c r="H3" s="461"/>
      <c r="I3" s="461"/>
      <c r="J3" s="461" t="s">
        <v>37</v>
      </c>
      <c r="K3" s="461"/>
      <c r="L3" s="461"/>
      <c r="M3" s="492" t="s">
        <v>38</v>
      </c>
      <c r="N3" s="135"/>
      <c r="O3" s="135"/>
      <c r="P3" s="135"/>
      <c r="Q3" s="135"/>
      <c r="R3" s="139"/>
    </row>
    <row r="4" spans="1:18" s="140" customFormat="1" ht="23.1" customHeight="1">
      <c r="A4" s="490"/>
      <c r="B4" s="490"/>
      <c r="C4" s="490"/>
      <c r="D4" s="458" t="s">
        <v>42</v>
      </c>
      <c r="E4" s="458"/>
      <c r="F4" s="144" t="s">
        <v>1291</v>
      </c>
      <c r="G4" s="458" t="s">
        <v>42</v>
      </c>
      <c r="H4" s="458"/>
      <c r="I4" s="158" t="s">
        <v>43</v>
      </c>
      <c r="J4" s="458" t="s">
        <v>42</v>
      </c>
      <c r="K4" s="458"/>
      <c r="L4" s="158" t="s">
        <v>43</v>
      </c>
      <c r="M4" s="492"/>
      <c r="N4" s="135"/>
      <c r="O4" s="135"/>
      <c r="P4" s="135"/>
      <c r="Q4" s="135"/>
      <c r="R4" s="139"/>
    </row>
    <row r="5" spans="1:18" s="140" customFormat="1" ht="23.1" customHeight="1">
      <c r="A5" s="490"/>
      <c r="B5" s="490"/>
      <c r="C5" s="490"/>
      <c r="D5" s="64" t="s">
        <v>1053</v>
      </c>
      <c r="E5" s="145" t="s">
        <v>97</v>
      </c>
      <c r="F5" s="63" t="s">
        <v>63</v>
      </c>
      <c r="G5" s="64" t="s">
        <v>1053</v>
      </c>
      <c r="H5" s="145" t="s">
        <v>97</v>
      </c>
      <c r="I5" s="63" t="s">
        <v>97</v>
      </c>
      <c r="J5" s="64" t="s">
        <v>1053</v>
      </c>
      <c r="K5" s="145" t="s">
        <v>97</v>
      </c>
      <c r="L5" s="63" t="s">
        <v>97</v>
      </c>
      <c r="M5" s="492"/>
      <c r="N5" s="135"/>
      <c r="O5" s="135"/>
      <c r="P5" s="135"/>
      <c r="Q5" s="135"/>
      <c r="R5" s="139"/>
    </row>
    <row r="6" spans="1:18" s="140" customFormat="1" ht="24" customHeight="1">
      <c r="A6" s="146"/>
      <c r="B6" s="147"/>
      <c r="C6" s="148"/>
      <c r="D6" s="147"/>
      <c r="E6" s="122"/>
      <c r="F6" s="122"/>
      <c r="G6" s="147"/>
      <c r="H6" s="122"/>
      <c r="I6" s="122"/>
      <c r="J6" s="147"/>
      <c r="K6" s="122"/>
      <c r="L6" s="122"/>
      <c r="M6" s="89"/>
      <c r="N6" s="135"/>
      <c r="O6" s="135"/>
      <c r="P6" s="135"/>
      <c r="Q6" s="135"/>
      <c r="R6" s="139"/>
    </row>
    <row r="7" spans="1:18" s="140" customFormat="1" ht="23.1" customHeight="1">
      <c r="A7" s="149"/>
      <c r="B7" s="150"/>
      <c r="C7" s="118"/>
      <c r="D7" s="107"/>
      <c r="E7" s="122"/>
      <c r="F7" s="107"/>
      <c r="G7" s="107"/>
      <c r="H7" s="122"/>
      <c r="I7" s="107"/>
      <c r="J7" s="107"/>
      <c r="K7" s="122"/>
      <c r="L7" s="107"/>
      <c r="M7" s="107"/>
      <c r="N7" s="135"/>
      <c r="O7" s="135"/>
      <c r="P7" s="135"/>
      <c r="Q7" s="135"/>
      <c r="R7" s="139"/>
    </row>
    <row r="8" spans="1:18" s="140" customFormat="1" ht="23.1" customHeight="1">
      <c r="A8" s="149"/>
      <c r="B8" s="147"/>
      <c r="C8" s="118"/>
      <c r="D8" s="107"/>
      <c r="E8" s="122"/>
      <c r="F8" s="107"/>
      <c r="G8" s="107"/>
      <c r="H8" s="122"/>
      <c r="I8" s="107"/>
      <c r="J8" s="107"/>
      <c r="K8" s="122"/>
      <c r="L8" s="107"/>
      <c r="M8" s="107"/>
      <c r="N8" s="135"/>
      <c r="O8" s="135"/>
      <c r="P8" s="135"/>
      <c r="Q8" s="135"/>
      <c r="R8" s="139"/>
    </row>
    <row r="9" spans="1:18" s="140" customFormat="1" ht="23.1" customHeight="1">
      <c r="A9" s="149"/>
      <c r="B9" s="151"/>
      <c r="C9" s="118"/>
      <c r="D9" s="107"/>
      <c r="E9" s="122"/>
      <c r="F9" s="107"/>
      <c r="G9" s="107"/>
      <c r="H9" s="122"/>
      <c r="I9" s="107"/>
      <c r="J9" s="107"/>
      <c r="K9" s="122"/>
      <c r="L9" s="107"/>
      <c r="M9" s="107"/>
      <c r="N9" s="135"/>
      <c r="O9" s="135"/>
      <c r="P9" s="135"/>
      <c r="Q9" s="135"/>
      <c r="R9" s="139"/>
    </row>
    <row r="10" spans="1:18" s="140" customFormat="1" ht="23.1" customHeight="1">
      <c r="A10" s="149"/>
      <c r="B10" s="151"/>
      <c r="C10" s="118"/>
      <c r="D10" s="107"/>
      <c r="E10" s="122"/>
      <c r="F10" s="107"/>
      <c r="G10" s="107"/>
      <c r="H10" s="122"/>
      <c r="I10" s="107"/>
      <c r="J10" s="107"/>
      <c r="K10" s="122"/>
      <c r="L10" s="107"/>
      <c r="M10" s="107"/>
      <c r="N10" s="135"/>
      <c r="O10" s="135"/>
      <c r="P10" s="135"/>
      <c r="Q10" s="135"/>
      <c r="R10" s="139"/>
    </row>
    <row r="11" spans="1:18" s="140" customFormat="1" ht="23.1" customHeight="1">
      <c r="A11" s="149"/>
      <c r="B11" s="151"/>
      <c r="C11" s="118"/>
      <c r="D11" s="107"/>
      <c r="E11" s="122"/>
      <c r="F11" s="122"/>
      <c r="G11" s="107"/>
      <c r="H11" s="122"/>
      <c r="I11" s="107"/>
      <c r="J11" s="107"/>
      <c r="K11" s="122"/>
      <c r="L11" s="107"/>
      <c r="M11" s="107"/>
      <c r="N11" s="135"/>
      <c r="O11" s="135"/>
      <c r="P11" s="135"/>
      <c r="Q11" s="135"/>
      <c r="R11" s="139"/>
    </row>
    <row r="12" spans="1:18" s="140" customFormat="1" ht="23.1" customHeight="1">
      <c r="A12" s="149"/>
      <c r="B12" s="151"/>
      <c r="C12" s="118"/>
      <c r="D12" s="107"/>
      <c r="E12" s="122"/>
      <c r="F12" s="122"/>
      <c r="G12" s="107"/>
      <c r="H12" s="122"/>
      <c r="I12" s="107"/>
      <c r="J12" s="107"/>
      <c r="K12" s="122"/>
      <c r="L12" s="107"/>
      <c r="M12" s="107"/>
      <c r="N12" s="135"/>
      <c r="O12" s="135"/>
      <c r="P12" s="135"/>
      <c r="Q12" s="135"/>
      <c r="R12" s="139"/>
    </row>
    <row r="13" spans="1:18" s="140" customFormat="1" ht="23.1" customHeight="1">
      <c r="A13" s="149"/>
      <c r="B13" s="151"/>
      <c r="C13" s="118"/>
      <c r="D13" s="107"/>
      <c r="E13" s="122"/>
      <c r="F13" s="122"/>
      <c r="G13" s="107"/>
      <c r="H13" s="122"/>
      <c r="I13" s="107"/>
      <c r="J13" s="107"/>
      <c r="K13" s="122"/>
      <c r="L13" s="107"/>
      <c r="M13" s="107"/>
      <c r="N13" s="135"/>
      <c r="O13" s="135"/>
      <c r="P13" s="135"/>
      <c r="Q13" s="135"/>
      <c r="R13" s="139"/>
    </row>
    <row r="14" spans="1:18" s="140" customFormat="1" ht="23.1" customHeight="1">
      <c r="A14" s="149"/>
      <c r="B14" s="151"/>
      <c r="C14" s="118"/>
      <c r="D14" s="107"/>
      <c r="E14" s="122"/>
      <c r="F14" s="107"/>
      <c r="G14" s="107"/>
      <c r="H14" s="122"/>
      <c r="I14" s="107"/>
      <c r="J14" s="107"/>
      <c r="K14" s="122"/>
      <c r="L14" s="107"/>
      <c r="M14" s="107"/>
      <c r="N14" s="135"/>
      <c r="O14" s="135"/>
      <c r="P14" s="135"/>
      <c r="Q14" s="135"/>
      <c r="R14" s="135"/>
    </row>
    <row r="15" spans="1:18" s="140" customFormat="1" ht="23.1" customHeight="1">
      <c r="A15" s="149"/>
      <c r="B15" s="151"/>
      <c r="C15" s="118"/>
      <c r="D15" s="107"/>
      <c r="E15" s="122"/>
      <c r="F15" s="107"/>
      <c r="G15" s="107"/>
      <c r="H15" s="122"/>
      <c r="I15" s="107"/>
      <c r="J15" s="107"/>
      <c r="K15" s="122"/>
      <c r="L15" s="107"/>
      <c r="M15" s="107"/>
      <c r="N15" s="135"/>
      <c r="O15" s="135"/>
      <c r="P15" s="135"/>
      <c r="Q15" s="135"/>
      <c r="R15" s="135"/>
    </row>
    <row r="16" spans="1:18" s="140" customFormat="1" ht="23.1" customHeight="1">
      <c r="A16" s="149"/>
      <c r="B16" s="151"/>
      <c r="C16" s="118"/>
      <c r="D16" s="107"/>
      <c r="E16" s="122"/>
      <c r="F16" s="107"/>
      <c r="G16" s="107"/>
      <c r="H16" s="122"/>
      <c r="I16" s="107"/>
      <c r="J16" s="107"/>
      <c r="K16" s="122"/>
      <c r="L16" s="107"/>
      <c r="M16" s="107"/>
      <c r="N16" s="135"/>
      <c r="O16" s="135"/>
      <c r="P16" s="135"/>
      <c r="Q16" s="135"/>
      <c r="R16" s="135"/>
    </row>
    <row r="17" spans="1:18" s="140" customFormat="1" ht="23.1" customHeight="1">
      <c r="A17" s="155"/>
      <c r="B17" s="156" t="s">
        <v>63</v>
      </c>
      <c r="C17" s="157"/>
      <c r="D17" s="107"/>
      <c r="E17" s="122"/>
      <c r="F17" s="107"/>
      <c r="G17" s="107"/>
      <c r="H17" s="122"/>
      <c r="I17" s="107"/>
      <c r="J17" s="107"/>
      <c r="K17" s="122"/>
      <c r="L17" s="107"/>
      <c r="M17" s="107"/>
      <c r="N17" s="135"/>
      <c r="O17" s="135"/>
      <c r="P17" s="135"/>
      <c r="Q17" s="135"/>
      <c r="R17" s="135"/>
    </row>
    <row r="18" spans="1:18">
      <c r="A18" s="91"/>
      <c r="B18" s="92"/>
      <c r="C18" s="93"/>
      <c r="D18" s="94"/>
      <c r="E18" s="95"/>
      <c r="F18" s="96"/>
      <c r="G18" s="94"/>
      <c r="H18" s="95"/>
      <c r="I18" s="96"/>
      <c r="J18" s="94"/>
      <c r="K18" s="95"/>
      <c r="L18" s="96"/>
      <c r="M18" s="104"/>
      <c r="N18" s="106"/>
      <c r="O18" s="106"/>
      <c r="P18" s="106"/>
      <c r="Q18" s="106"/>
      <c r="R18" s="106"/>
    </row>
    <row r="19" spans="1:18">
      <c r="A19" s="91"/>
      <c r="B19" s="92"/>
      <c r="C19" s="93"/>
      <c r="D19" s="94"/>
      <c r="E19" s="95"/>
      <c r="F19" s="96"/>
      <c r="G19" s="94"/>
      <c r="H19" s="95"/>
      <c r="I19" s="96"/>
      <c r="J19" s="94"/>
      <c r="K19" s="95"/>
      <c r="L19" s="96"/>
      <c r="M19" s="104"/>
      <c r="N19" s="106"/>
      <c r="O19" s="106"/>
      <c r="P19" s="106"/>
      <c r="Q19" s="106"/>
      <c r="R19" s="106"/>
    </row>
    <row r="20" spans="1:18">
      <c r="A20" s="91"/>
      <c r="B20" s="92"/>
      <c r="C20" s="93"/>
      <c r="D20" s="94"/>
      <c r="E20" s="95"/>
      <c r="F20" s="96"/>
      <c r="G20" s="94"/>
      <c r="H20" s="95"/>
      <c r="I20" s="96"/>
      <c r="J20" s="94"/>
      <c r="K20" s="95"/>
      <c r="L20" s="96"/>
      <c r="M20" s="104"/>
      <c r="N20" s="106"/>
      <c r="O20" s="106"/>
      <c r="P20" s="106"/>
      <c r="Q20" s="106"/>
      <c r="R20" s="106"/>
    </row>
    <row r="21" spans="1:18">
      <c r="A21" s="91"/>
      <c r="B21" s="92"/>
      <c r="C21" s="93"/>
      <c r="D21" s="94"/>
      <c r="E21" s="95"/>
      <c r="F21" s="96"/>
      <c r="G21" s="94"/>
      <c r="H21" s="95"/>
      <c r="I21" s="96"/>
      <c r="J21" s="94"/>
      <c r="K21" s="95"/>
      <c r="L21" s="96"/>
      <c r="M21" s="104"/>
      <c r="N21" s="106"/>
      <c r="O21" s="106"/>
      <c r="P21" s="106"/>
      <c r="Q21" s="106"/>
      <c r="R21" s="106"/>
    </row>
    <row r="22" spans="1:18">
      <c r="A22" s="91"/>
      <c r="B22" s="92"/>
      <c r="C22" s="93"/>
      <c r="D22" s="94"/>
      <c r="E22" s="95"/>
      <c r="F22" s="96"/>
      <c r="G22" s="94"/>
      <c r="H22" s="95"/>
      <c r="I22" s="96"/>
      <c r="J22" s="94"/>
      <c r="K22" s="95"/>
      <c r="L22" s="96"/>
      <c r="M22" s="104"/>
      <c r="N22" s="106"/>
      <c r="O22" s="106"/>
      <c r="P22" s="106"/>
      <c r="Q22" s="106"/>
      <c r="R22" s="106"/>
    </row>
    <row r="23" spans="1:18">
      <c r="A23" s="91"/>
      <c r="B23" s="92"/>
      <c r="C23" s="93"/>
      <c r="D23" s="94"/>
      <c r="E23" s="95"/>
      <c r="F23" s="96"/>
      <c r="G23" s="94"/>
      <c r="H23" s="95"/>
      <c r="I23" s="96"/>
      <c r="J23" s="94"/>
      <c r="K23" s="95"/>
      <c r="L23" s="96"/>
      <c r="M23" s="104"/>
      <c r="N23" s="106"/>
      <c r="O23" s="106"/>
      <c r="P23" s="106"/>
      <c r="Q23" s="106"/>
      <c r="R23" s="106"/>
    </row>
    <row r="24" spans="1:18">
      <c r="A24" s="91"/>
      <c r="B24" s="92"/>
      <c r="C24" s="93"/>
      <c r="D24" s="94"/>
      <c r="E24" s="95"/>
      <c r="F24" s="96"/>
      <c r="G24" s="94"/>
      <c r="H24" s="95"/>
      <c r="I24" s="96"/>
      <c r="J24" s="94"/>
      <c r="K24" s="95"/>
      <c r="L24" s="96"/>
      <c r="M24" s="104"/>
      <c r="N24" s="106"/>
      <c r="O24" s="106"/>
      <c r="P24" s="106"/>
      <c r="Q24" s="106"/>
      <c r="R24" s="106"/>
    </row>
    <row r="25" spans="1:18">
      <c r="A25" s="91"/>
      <c r="B25" s="92"/>
      <c r="C25" s="93"/>
      <c r="D25" s="94"/>
      <c r="E25" s="95"/>
      <c r="F25" s="96"/>
      <c r="G25" s="94"/>
      <c r="H25" s="95"/>
      <c r="I25" s="96"/>
      <c r="J25" s="94"/>
      <c r="K25" s="95"/>
      <c r="L25" s="96"/>
      <c r="M25" s="104"/>
      <c r="N25" s="106"/>
      <c r="O25" s="106"/>
      <c r="P25" s="106"/>
      <c r="Q25" s="106"/>
      <c r="R25" s="106"/>
    </row>
    <row r="26" spans="1:18">
      <c r="A26" s="91"/>
      <c r="B26" s="92"/>
      <c r="C26" s="93"/>
      <c r="D26" s="94"/>
      <c r="E26" s="95"/>
      <c r="F26" s="96"/>
      <c r="G26" s="94"/>
      <c r="H26" s="95"/>
      <c r="I26" s="96"/>
      <c r="J26" s="94"/>
      <c r="K26" s="95"/>
      <c r="L26" s="96"/>
      <c r="M26" s="104"/>
      <c r="N26" s="106"/>
      <c r="O26" s="106"/>
      <c r="P26" s="106"/>
      <c r="Q26" s="106"/>
      <c r="R26" s="106"/>
    </row>
    <row r="27" spans="1:18">
      <c r="A27" s="91"/>
      <c r="B27" s="92"/>
      <c r="C27" s="93"/>
      <c r="D27" s="94"/>
      <c r="E27" s="95"/>
      <c r="F27" s="96"/>
      <c r="G27" s="94"/>
      <c r="H27" s="95"/>
      <c r="I27" s="96"/>
      <c r="J27" s="94"/>
      <c r="K27" s="95"/>
      <c r="L27" s="96"/>
      <c r="M27" s="104"/>
      <c r="N27" s="106"/>
      <c r="O27" s="106"/>
      <c r="P27" s="106"/>
      <c r="Q27" s="106"/>
      <c r="R27" s="106"/>
    </row>
    <row r="28" spans="1:18">
      <c r="A28" s="91"/>
      <c r="B28" s="92"/>
      <c r="C28" s="93"/>
      <c r="D28" s="94"/>
      <c r="E28" s="95"/>
      <c r="F28" s="96"/>
      <c r="G28" s="94"/>
      <c r="H28" s="95"/>
      <c r="I28" s="96"/>
      <c r="J28" s="94"/>
      <c r="K28" s="95"/>
      <c r="L28" s="96"/>
      <c r="M28" s="104"/>
      <c r="N28" s="106"/>
      <c r="O28" s="106"/>
      <c r="P28" s="106"/>
      <c r="Q28" s="106"/>
      <c r="R28" s="106"/>
    </row>
    <row r="29" spans="1:18">
      <c r="A29" s="91"/>
      <c r="B29" s="92"/>
      <c r="C29" s="93"/>
      <c r="D29" s="94"/>
      <c r="E29" s="95"/>
      <c r="F29" s="96"/>
      <c r="G29" s="94"/>
      <c r="H29" s="95"/>
      <c r="I29" s="96"/>
      <c r="J29" s="94"/>
      <c r="K29" s="95"/>
      <c r="L29" s="96"/>
      <c r="M29" s="104"/>
      <c r="N29" s="106"/>
      <c r="O29" s="106"/>
      <c r="P29" s="106"/>
      <c r="Q29" s="106"/>
      <c r="R29" s="106"/>
    </row>
    <row r="30" spans="1:18">
      <c r="A30" s="91"/>
      <c r="B30" s="92"/>
      <c r="C30" s="93"/>
      <c r="D30" s="94"/>
      <c r="E30" s="95"/>
      <c r="F30" s="96"/>
      <c r="G30" s="94"/>
      <c r="H30" s="95"/>
      <c r="I30" s="96"/>
      <c r="J30" s="94"/>
      <c r="K30" s="95"/>
      <c r="L30" s="96"/>
      <c r="M30" s="106"/>
      <c r="N30" s="106"/>
      <c r="O30" s="106"/>
      <c r="P30" s="106"/>
      <c r="Q30" s="106"/>
      <c r="R30" s="106"/>
    </row>
    <row r="31" spans="1:18">
      <c r="A31" s="91"/>
      <c r="B31" s="92"/>
      <c r="C31" s="93"/>
      <c r="D31" s="94"/>
      <c r="E31" s="95"/>
      <c r="F31" s="96"/>
      <c r="G31" s="94"/>
      <c r="H31" s="95"/>
      <c r="I31" s="96"/>
      <c r="J31" s="94"/>
      <c r="K31" s="95"/>
      <c r="L31" s="96"/>
      <c r="M31" s="106"/>
      <c r="N31" s="106"/>
      <c r="O31" s="106"/>
      <c r="P31" s="106"/>
      <c r="Q31" s="106"/>
      <c r="R31" s="106"/>
    </row>
    <row r="32" spans="1:18">
      <c r="A32" s="91"/>
      <c r="B32" s="92"/>
      <c r="C32" s="93"/>
      <c r="D32" s="94"/>
      <c r="E32" s="95"/>
      <c r="F32" s="96"/>
      <c r="G32" s="94"/>
      <c r="H32" s="95"/>
      <c r="I32" s="96"/>
      <c r="J32" s="94"/>
      <c r="K32" s="95"/>
      <c r="L32" s="96"/>
      <c r="M32" s="106"/>
      <c r="N32" s="106"/>
      <c r="O32" s="106"/>
      <c r="P32" s="106"/>
      <c r="Q32" s="106"/>
      <c r="R32" s="106"/>
    </row>
    <row r="33" spans="1:18">
      <c r="A33" s="91"/>
      <c r="B33" s="92"/>
      <c r="C33" s="93"/>
      <c r="D33" s="94"/>
      <c r="E33" s="95"/>
      <c r="F33" s="96"/>
      <c r="G33" s="94"/>
      <c r="H33" s="95"/>
      <c r="I33" s="96"/>
      <c r="J33" s="94"/>
      <c r="K33" s="95"/>
      <c r="L33" s="96"/>
      <c r="M33" s="106"/>
      <c r="N33" s="106"/>
      <c r="O33" s="106"/>
      <c r="P33" s="106"/>
      <c r="Q33" s="106"/>
      <c r="R33" s="106"/>
    </row>
    <row r="34" spans="1:18">
      <c r="A34" s="91"/>
      <c r="B34" s="92"/>
      <c r="C34" s="93"/>
      <c r="D34" s="94"/>
      <c r="E34" s="95"/>
      <c r="F34" s="96"/>
      <c r="G34" s="94"/>
      <c r="H34" s="95"/>
      <c r="I34" s="96"/>
      <c r="J34" s="94"/>
      <c r="K34" s="95"/>
      <c r="L34" s="96"/>
      <c r="M34" s="106"/>
      <c r="N34" s="106"/>
      <c r="O34" s="106"/>
      <c r="P34" s="106"/>
      <c r="Q34" s="106"/>
      <c r="R34" s="106"/>
    </row>
    <row r="35" spans="1:18">
      <c r="A35" s="91"/>
      <c r="B35" s="92"/>
      <c r="C35" s="93"/>
      <c r="D35" s="94"/>
      <c r="E35" s="95"/>
      <c r="F35" s="96"/>
      <c r="G35" s="94"/>
      <c r="H35" s="95"/>
      <c r="I35" s="96"/>
      <c r="J35" s="94"/>
      <c r="K35" s="95"/>
      <c r="L35" s="96"/>
      <c r="M35" s="106"/>
      <c r="N35" s="106"/>
      <c r="O35" s="106"/>
      <c r="P35" s="106"/>
      <c r="Q35" s="106"/>
      <c r="R35" s="106"/>
    </row>
    <row r="36" spans="1:18">
      <c r="A36" s="91"/>
      <c r="B36" s="92"/>
      <c r="C36" s="93"/>
      <c r="D36" s="94"/>
      <c r="E36" s="95"/>
      <c r="F36" s="96"/>
      <c r="G36" s="94"/>
      <c r="H36" s="95"/>
      <c r="I36" s="96"/>
      <c r="J36" s="94"/>
      <c r="K36" s="95"/>
      <c r="L36" s="96"/>
      <c r="M36" s="106"/>
      <c r="N36" s="106"/>
      <c r="O36" s="106"/>
      <c r="P36" s="106"/>
      <c r="Q36" s="106"/>
      <c r="R36" s="106"/>
    </row>
    <row r="37" spans="1:18">
      <c r="A37" s="91"/>
      <c r="B37" s="92"/>
      <c r="C37" s="93"/>
      <c r="D37" s="94"/>
      <c r="E37" s="95"/>
      <c r="F37" s="96"/>
      <c r="G37" s="94"/>
      <c r="H37" s="95"/>
      <c r="I37" s="96"/>
      <c r="J37" s="94"/>
      <c r="K37" s="95"/>
      <c r="L37" s="96"/>
      <c r="M37" s="106"/>
      <c r="N37" s="106"/>
      <c r="O37" s="106"/>
      <c r="P37" s="106"/>
      <c r="Q37" s="106"/>
      <c r="R37" s="106"/>
    </row>
    <row r="38" spans="1:18">
      <c r="A38" s="91"/>
      <c r="B38" s="92"/>
      <c r="C38" s="93"/>
      <c r="D38" s="94"/>
      <c r="E38" s="95"/>
      <c r="F38" s="96"/>
      <c r="G38" s="94"/>
      <c r="H38" s="95"/>
      <c r="I38" s="96"/>
      <c r="J38" s="94"/>
      <c r="K38" s="95"/>
      <c r="L38" s="96"/>
      <c r="M38" s="106"/>
      <c r="N38" s="106"/>
      <c r="O38" s="106"/>
      <c r="P38" s="106"/>
      <c r="Q38" s="106"/>
      <c r="R38" s="106"/>
    </row>
    <row r="39" spans="1:18">
      <c r="A39" s="91"/>
      <c r="B39" s="92"/>
      <c r="C39" s="93"/>
      <c r="D39" s="94"/>
      <c r="E39" s="95"/>
      <c r="F39" s="96"/>
      <c r="G39" s="94"/>
      <c r="H39" s="95"/>
      <c r="I39" s="96"/>
      <c r="J39" s="94"/>
      <c r="K39" s="95"/>
      <c r="L39" s="96"/>
      <c r="M39" s="106"/>
      <c r="N39" s="106"/>
      <c r="O39" s="106"/>
      <c r="P39" s="106"/>
      <c r="Q39" s="106"/>
      <c r="R39" s="106"/>
    </row>
    <row r="40" spans="1:18">
      <c r="A40" s="91"/>
      <c r="B40" s="92"/>
      <c r="C40" s="93"/>
      <c r="D40" s="94"/>
      <c r="E40" s="95"/>
      <c r="F40" s="96"/>
      <c r="G40" s="94"/>
      <c r="H40" s="95"/>
      <c r="I40" s="96"/>
      <c r="J40" s="94"/>
      <c r="K40" s="95"/>
      <c r="L40" s="96"/>
      <c r="M40" s="106"/>
      <c r="N40" s="106"/>
      <c r="O40" s="106"/>
      <c r="P40" s="106"/>
      <c r="Q40" s="106"/>
      <c r="R40" s="106"/>
    </row>
    <row r="41" spans="1:18">
      <c r="A41" s="91"/>
      <c r="B41" s="92"/>
      <c r="C41" s="93"/>
      <c r="D41" s="94"/>
      <c r="E41" s="95"/>
      <c r="F41" s="96"/>
      <c r="G41" s="94"/>
      <c r="H41" s="95"/>
      <c r="I41" s="96"/>
      <c r="J41" s="94"/>
      <c r="K41" s="95"/>
      <c r="L41" s="96"/>
      <c r="M41" s="106"/>
      <c r="N41" s="106"/>
      <c r="O41" s="106"/>
      <c r="P41" s="106"/>
      <c r="Q41" s="106"/>
      <c r="R41" s="106"/>
    </row>
    <row r="42" spans="1:18">
      <c r="A42" s="91"/>
      <c r="B42" s="92"/>
      <c r="C42" s="93"/>
      <c r="D42" s="94"/>
      <c r="E42" s="95"/>
      <c r="F42" s="96"/>
      <c r="G42" s="94"/>
      <c r="H42" s="95"/>
      <c r="I42" s="96"/>
      <c r="J42" s="94"/>
      <c r="K42" s="95"/>
      <c r="L42" s="96"/>
      <c r="M42" s="106"/>
      <c r="N42" s="106"/>
      <c r="O42" s="106"/>
      <c r="P42" s="106"/>
      <c r="Q42" s="106"/>
      <c r="R42" s="106"/>
    </row>
    <row r="43" spans="1:18">
      <c r="A43" s="91"/>
      <c r="B43" s="92"/>
      <c r="C43" s="93"/>
      <c r="D43" s="94"/>
      <c r="E43" s="95"/>
      <c r="F43" s="96"/>
      <c r="G43" s="94"/>
      <c r="H43" s="95"/>
      <c r="I43" s="96"/>
      <c r="J43" s="94"/>
      <c r="K43" s="95"/>
      <c r="L43" s="96"/>
      <c r="M43" s="106"/>
      <c r="N43" s="106"/>
      <c r="O43" s="106"/>
      <c r="P43" s="106"/>
      <c r="Q43" s="106"/>
      <c r="R43" s="106"/>
    </row>
    <row r="44" spans="1:18">
      <c r="A44" s="91"/>
      <c r="B44" s="92"/>
      <c r="C44" s="93"/>
      <c r="D44" s="94"/>
      <c r="E44" s="95"/>
      <c r="F44" s="96"/>
      <c r="G44" s="94"/>
      <c r="H44" s="95"/>
      <c r="I44" s="96"/>
      <c r="J44" s="94"/>
      <c r="K44" s="95"/>
      <c r="L44" s="96"/>
      <c r="M44" s="106"/>
      <c r="N44" s="106"/>
      <c r="O44" s="106"/>
      <c r="P44" s="106"/>
      <c r="Q44" s="106"/>
      <c r="R44" s="106"/>
    </row>
    <row r="45" spans="1:18">
      <c r="A45" s="91"/>
      <c r="B45" s="92"/>
      <c r="C45" s="93"/>
      <c r="D45" s="94"/>
      <c r="E45" s="95"/>
      <c r="F45" s="96"/>
      <c r="G45" s="94"/>
      <c r="H45" s="95"/>
      <c r="I45" s="96"/>
      <c r="J45" s="94"/>
      <c r="K45" s="95"/>
      <c r="L45" s="96"/>
      <c r="M45" s="106"/>
      <c r="N45" s="106"/>
      <c r="O45" s="106"/>
      <c r="P45" s="106"/>
      <c r="Q45" s="106"/>
      <c r="R45" s="106"/>
    </row>
    <row r="46" spans="1:18">
      <c r="A46" s="91"/>
      <c r="B46" s="92"/>
      <c r="C46" s="93"/>
      <c r="D46" s="94"/>
      <c r="E46" s="95"/>
      <c r="F46" s="96"/>
      <c r="G46" s="94"/>
      <c r="H46" s="95"/>
      <c r="I46" s="96"/>
      <c r="J46" s="94"/>
      <c r="K46" s="95"/>
      <c r="L46" s="96"/>
      <c r="M46" s="106"/>
      <c r="N46" s="106"/>
      <c r="O46" s="106"/>
      <c r="P46" s="106"/>
      <c r="Q46" s="106"/>
      <c r="R46" s="106"/>
    </row>
    <row r="47" spans="1:18">
      <c r="A47" s="91"/>
      <c r="B47" s="92"/>
      <c r="C47" s="93"/>
      <c r="D47" s="94"/>
      <c r="E47" s="95"/>
      <c r="F47" s="96"/>
      <c r="G47" s="94"/>
      <c r="H47" s="95"/>
      <c r="I47" s="96"/>
      <c r="J47" s="94"/>
      <c r="K47" s="95"/>
      <c r="L47" s="96"/>
      <c r="M47" s="106"/>
      <c r="N47" s="106"/>
      <c r="O47" s="106"/>
      <c r="P47" s="106"/>
      <c r="Q47" s="106"/>
      <c r="R47" s="106"/>
    </row>
    <row r="48" spans="1:18">
      <c r="A48" s="91"/>
      <c r="B48" s="92"/>
      <c r="C48" s="93"/>
      <c r="D48" s="94"/>
      <c r="E48" s="95"/>
      <c r="F48" s="96"/>
      <c r="G48" s="94"/>
      <c r="H48" s="95"/>
      <c r="I48" s="96"/>
      <c r="J48" s="94"/>
      <c r="K48" s="95"/>
      <c r="L48" s="96"/>
      <c r="M48" s="106"/>
      <c r="N48" s="106"/>
      <c r="O48" s="106"/>
      <c r="P48" s="106"/>
      <c r="Q48" s="106"/>
      <c r="R48" s="106"/>
    </row>
    <row r="49" spans="1:18">
      <c r="A49" s="91"/>
      <c r="B49" s="92"/>
      <c r="C49" s="93"/>
      <c r="D49" s="94"/>
      <c r="E49" s="95"/>
      <c r="F49" s="96"/>
      <c r="G49" s="94"/>
      <c r="H49" s="95"/>
      <c r="I49" s="96"/>
      <c r="J49" s="94"/>
      <c r="K49" s="95"/>
      <c r="L49" s="96"/>
      <c r="M49" s="106"/>
      <c r="N49" s="106"/>
      <c r="O49" s="106"/>
      <c r="P49" s="106"/>
      <c r="Q49" s="106"/>
      <c r="R49" s="106"/>
    </row>
    <row r="50" spans="1:18">
      <c r="A50" s="91"/>
      <c r="B50" s="92"/>
      <c r="C50" s="93"/>
      <c r="D50" s="94"/>
      <c r="E50" s="95"/>
      <c r="F50" s="96"/>
      <c r="G50" s="94"/>
      <c r="H50" s="95"/>
      <c r="I50" s="96"/>
      <c r="J50" s="94"/>
      <c r="K50" s="95"/>
      <c r="L50" s="96"/>
      <c r="M50" s="106"/>
      <c r="N50" s="106"/>
      <c r="O50" s="106"/>
      <c r="P50" s="106"/>
      <c r="Q50" s="106"/>
      <c r="R50" s="106"/>
    </row>
    <row r="51" spans="1:18">
      <c r="A51" s="91"/>
      <c r="B51" s="92"/>
      <c r="C51" s="93"/>
      <c r="D51" s="94"/>
      <c r="E51" s="95"/>
      <c r="F51" s="96"/>
      <c r="G51" s="94"/>
      <c r="H51" s="95"/>
      <c r="I51" s="96"/>
      <c r="J51" s="94"/>
      <c r="K51" s="95"/>
      <c r="L51" s="96"/>
      <c r="M51" s="106"/>
      <c r="N51" s="106"/>
      <c r="O51" s="106"/>
      <c r="P51" s="106"/>
      <c r="Q51" s="106"/>
      <c r="R51" s="106"/>
    </row>
    <row r="52" spans="1:18">
      <c r="A52" s="91"/>
      <c r="B52" s="92"/>
      <c r="C52" s="93"/>
      <c r="D52" s="94"/>
      <c r="E52" s="95"/>
      <c r="F52" s="96"/>
      <c r="G52" s="94"/>
      <c r="H52" s="95"/>
      <c r="I52" s="96"/>
      <c r="J52" s="94"/>
      <c r="K52" s="95"/>
      <c r="L52" s="96"/>
      <c r="M52" s="106"/>
      <c r="N52" s="106"/>
      <c r="O52" s="106"/>
      <c r="P52" s="106"/>
      <c r="Q52" s="106"/>
      <c r="R52" s="106"/>
    </row>
    <row r="53" spans="1:18">
      <c r="A53" s="91"/>
      <c r="B53" s="92"/>
      <c r="C53" s="93"/>
      <c r="D53" s="94"/>
      <c r="E53" s="95"/>
      <c r="F53" s="96"/>
      <c r="G53" s="94"/>
      <c r="H53" s="95"/>
      <c r="I53" s="96"/>
      <c r="J53" s="94"/>
      <c r="K53" s="95"/>
      <c r="L53" s="96"/>
      <c r="M53" s="106"/>
      <c r="N53" s="106"/>
      <c r="O53" s="106"/>
      <c r="P53" s="106"/>
      <c r="Q53" s="106"/>
      <c r="R53" s="106"/>
    </row>
    <row r="54" spans="1:18">
      <c r="A54" s="91"/>
      <c r="B54" s="92"/>
      <c r="C54" s="93"/>
      <c r="D54" s="94"/>
      <c r="E54" s="95"/>
      <c r="F54" s="96"/>
      <c r="G54" s="94"/>
      <c r="H54" s="95"/>
      <c r="I54" s="96"/>
      <c r="J54" s="94"/>
      <c r="K54" s="95"/>
      <c r="L54" s="96"/>
      <c r="M54" s="106"/>
      <c r="N54" s="106"/>
      <c r="O54" s="106"/>
      <c r="P54" s="106"/>
      <c r="Q54" s="106"/>
      <c r="R54" s="106"/>
    </row>
    <row r="55" spans="1:18">
      <c r="A55" s="91"/>
      <c r="B55" s="92"/>
      <c r="C55" s="93"/>
      <c r="D55" s="94"/>
      <c r="E55" s="95"/>
      <c r="F55" s="96"/>
      <c r="G55" s="94"/>
      <c r="H55" s="95"/>
      <c r="I55" s="96"/>
      <c r="J55" s="94"/>
      <c r="K55" s="95"/>
      <c r="L55" s="96"/>
      <c r="M55" s="106"/>
      <c r="N55" s="106"/>
      <c r="O55" s="106"/>
      <c r="P55" s="106"/>
      <c r="Q55" s="106"/>
      <c r="R55" s="106"/>
    </row>
    <row r="56" spans="1:18">
      <c r="A56" s="91"/>
      <c r="B56" s="92"/>
      <c r="C56" s="93"/>
      <c r="D56" s="94"/>
      <c r="E56" s="95"/>
      <c r="F56" s="96"/>
      <c r="G56" s="94"/>
      <c r="H56" s="95"/>
      <c r="I56" s="96"/>
      <c r="J56" s="94"/>
      <c r="K56" s="95"/>
      <c r="L56" s="96"/>
      <c r="M56" s="106"/>
      <c r="N56" s="106"/>
      <c r="O56" s="106"/>
      <c r="P56" s="106"/>
      <c r="Q56" s="106"/>
      <c r="R56" s="106"/>
    </row>
    <row r="57" spans="1:18">
      <c r="A57" s="91"/>
      <c r="B57" s="92"/>
      <c r="C57" s="93"/>
      <c r="D57" s="94"/>
      <c r="E57" s="95"/>
      <c r="F57" s="96"/>
      <c r="G57" s="94"/>
      <c r="H57" s="95"/>
      <c r="I57" s="96"/>
      <c r="J57" s="94"/>
      <c r="K57" s="95"/>
      <c r="L57" s="96"/>
      <c r="M57" s="106"/>
      <c r="N57" s="106"/>
      <c r="O57" s="106"/>
      <c r="P57" s="106"/>
      <c r="Q57" s="106"/>
      <c r="R57" s="106"/>
    </row>
    <row r="58" spans="1:18">
      <c r="A58" s="91"/>
      <c r="B58" s="92"/>
      <c r="C58" s="93"/>
      <c r="D58" s="94"/>
      <c r="E58" s="95"/>
      <c r="F58" s="96"/>
      <c r="G58" s="94"/>
      <c r="H58" s="95"/>
      <c r="I58" s="96"/>
      <c r="J58" s="94"/>
      <c r="K58" s="95"/>
      <c r="L58" s="96"/>
      <c r="M58" s="106"/>
      <c r="N58" s="106"/>
      <c r="O58" s="106"/>
      <c r="P58" s="106"/>
      <c r="Q58" s="106"/>
      <c r="R58" s="106"/>
    </row>
    <row r="59" spans="1:18">
      <c r="A59" s="91"/>
      <c r="B59" s="92"/>
      <c r="C59" s="93"/>
      <c r="D59" s="94"/>
      <c r="E59" s="95"/>
      <c r="F59" s="96"/>
      <c r="G59" s="94"/>
      <c r="H59" s="95"/>
      <c r="I59" s="96"/>
      <c r="J59" s="94"/>
      <c r="K59" s="95"/>
      <c r="L59" s="96"/>
      <c r="M59" s="106"/>
      <c r="N59" s="106"/>
      <c r="O59" s="106"/>
      <c r="P59" s="106"/>
      <c r="Q59" s="106"/>
      <c r="R59" s="106"/>
    </row>
    <row r="60" spans="1:18">
      <c r="A60" s="91"/>
      <c r="B60" s="92"/>
      <c r="C60" s="93"/>
      <c r="D60" s="94"/>
      <c r="E60" s="95"/>
      <c r="F60" s="96"/>
      <c r="G60" s="94"/>
      <c r="H60" s="95"/>
      <c r="I60" s="96"/>
      <c r="J60" s="94"/>
      <c r="K60" s="95"/>
      <c r="L60" s="96"/>
      <c r="M60" s="106"/>
      <c r="N60" s="106"/>
      <c r="O60" s="106"/>
      <c r="P60" s="106"/>
      <c r="Q60" s="106"/>
      <c r="R60" s="106"/>
    </row>
    <row r="61" spans="1:18">
      <c r="A61" s="91"/>
      <c r="B61" s="92"/>
      <c r="C61" s="93"/>
      <c r="D61" s="94"/>
      <c r="E61" s="95"/>
      <c r="F61" s="96"/>
      <c r="G61" s="94"/>
      <c r="H61" s="95"/>
      <c r="I61" s="96"/>
      <c r="J61" s="94"/>
      <c r="K61" s="95"/>
      <c r="L61" s="96"/>
      <c r="M61" s="106"/>
      <c r="N61" s="106"/>
      <c r="O61" s="106"/>
      <c r="P61" s="106"/>
      <c r="Q61" s="106"/>
      <c r="R61" s="106"/>
    </row>
    <row r="62" spans="1:18">
      <c r="A62" s="91"/>
      <c r="B62" s="92"/>
      <c r="C62" s="93"/>
      <c r="D62" s="94"/>
      <c r="E62" s="95"/>
      <c r="F62" s="96"/>
      <c r="G62" s="94"/>
      <c r="H62" s="95"/>
      <c r="I62" s="96"/>
      <c r="J62" s="94"/>
      <c r="K62" s="95"/>
      <c r="L62" s="96"/>
      <c r="M62" s="106"/>
      <c r="N62" s="106"/>
      <c r="O62" s="106"/>
      <c r="P62" s="106"/>
      <c r="Q62" s="106"/>
      <c r="R62" s="106"/>
    </row>
    <row r="63" spans="1:18">
      <c r="A63" s="91"/>
      <c r="B63" s="92"/>
      <c r="C63" s="93"/>
      <c r="D63" s="94"/>
      <c r="E63" s="95"/>
      <c r="F63" s="96"/>
      <c r="G63" s="94"/>
      <c r="H63" s="95"/>
      <c r="I63" s="96"/>
      <c r="J63" s="94"/>
      <c r="K63" s="95"/>
      <c r="L63" s="96"/>
      <c r="M63" s="106"/>
      <c r="N63" s="106"/>
      <c r="O63" s="106"/>
      <c r="P63" s="106"/>
      <c r="Q63" s="106"/>
      <c r="R63" s="106"/>
    </row>
    <row r="64" spans="1:18">
      <c r="A64" s="91"/>
      <c r="B64" s="92"/>
      <c r="C64" s="93"/>
      <c r="D64" s="94"/>
      <c r="E64" s="95"/>
      <c r="F64" s="96"/>
      <c r="G64" s="94"/>
      <c r="H64" s="95"/>
      <c r="I64" s="96"/>
      <c r="J64" s="94"/>
      <c r="K64" s="95"/>
      <c r="L64" s="96"/>
      <c r="M64" s="106"/>
      <c r="N64" s="106"/>
      <c r="O64" s="106"/>
      <c r="P64" s="106"/>
      <c r="Q64" s="106"/>
      <c r="R64" s="106"/>
    </row>
    <row r="65" spans="1:18">
      <c r="A65" s="91"/>
      <c r="B65" s="92"/>
      <c r="C65" s="93"/>
      <c r="D65" s="94"/>
      <c r="E65" s="95"/>
      <c r="F65" s="96"/>
      <c r="G65" s="94"/>
      <c r="H65" s="95"/>
      <c r="I65" s="96"/>
      <c r="J65" s="94"/>
      <c r="K65" s="95"/>
      <c r="L65" s="96"/>
      <c r="M65" s="106"/>
      <c r="N65" s="106"/>
      <c r="O65" s="106"/>
      <c r="P65" s="106"/>
      <c r="Q65" s="106"/>
      <c r="R65" s="106"/>
    </row>
    <row r="66" spans="1:18">
      <c r="A66" s="91"/>
      <c r="B66" s="92"/>
      <c r="C66" s="93"/>
      <c r="D66" s="94"/>
      <c r="E66" s="95"/>
      <c r="F66" s="96"/>
      <c r="G66" s="94"/>
      <c r="H66" s="95"/>
      <c r="I66" s="96"/>
      <c r="J66" s="94"/>
      <c r="K66" s="95"/>
      <c r="L66" s="96"/>
      <c r="M66" s="106"/>
      <c r="N66" s="106"/>
      <c r="O66" s="106"/>
      <c r="P66" s="106"/>
      <c r="Q66" s="106"/>
      <c r="R66" s="106"/>
    </row>
    <row r="67" spans="1:18">
      <c r="A67" s="91"/>
      <c r="B67" s="92"/>
      <c r="C67" s="93"/>
      <c r="D67" s="94"/>
      <c r="E67" s="95"/>
      <c r="F67" s="96"/>
      <c r="G67" s="94"/>
      <c r="H67" s="95"/>
      <c r="I67" s="96"/>
      <c r="J67" s="94"/>
      <c r="K67" s="95"/>
      <c r="L67" s="96"/>
      <c r="M67" s="106"/>
      <c r="N67" s="106"/>
      <c r="O67" s="106"/>
      <c r="P67" s="106"/>
      <c r="Q67" s="106"/>
      <c r="R67" s="106"/>
    </row>
    <row r="68" spans="1:18">
      <c r="A68" s="91"/>
      <c r="B68" s="92"/>
      <c r="C68" s="93"/>
      <c r="D68" s="94"/>
      <c r="E68" s="95"/>
      <c r="F68" s="96"/>
      <c r="G68" s="94"/>
      <c r="H68" s="95"/>
      <c r="I68" s="96"/>
      <c r="J68" s="94"/>
      <c r="K68" s="95"/>
      <c r="L68" s="96"/>
      <c r="M68" s="106"/>
      <c r="N68" s="106"/>
      <c r="O68" s="106"/>
      <c r="P68" s="106"/>
      <c r="Q68" s="106"/>
      <c r="R68" s="106"/>
    </row>
    <row r="69" spans="1:18">
      <c r="A69" s="91"/>
      <c r="B69" s="92"/>
      <c r="C69" s="93"/>
      <c r="D69" s="94"/>
      <c r="E69" s="95"/>
      <c r="F69" s="96"/>
      <c r="G69" s="94"/>
      <c r="H69" s="95"/>
      <c r="I69" s="96"/>
      <c r="J69" s="94"/>
      <c r="K69" s="95"/>
      <c r="L69" s="96"/>
      <c r="M69" s="106"/>
      <c r="N69" s="106"/>
      <c r="O69" s="106"/>
      <c r="P69" s="106"/>
      <c r="Q69" s="106"/>
      <c r="R69" s="106"/>
    </row>
    <row r="70" spans="1:18">
      <c r="A70" s="91"/>
      <c r="B70" s="92"/>
      <c r="C70" s="93"/>
      <c r="D70" s="94"/>
      <c r="E70" s="95"/>
      <c r="F70" s="96"/>
      <c r="G70" s="94"/>
      <c r="H70" s="95"/>
      <c r="I70" s="96"/>
      <c r="J70" s="94"/>
      <c r="K70" s="95"/>
      <c r="L70" s="96"/>
      <c r="M70" s="106"/>
      <c r="N70" s="106"/>
      <c r="O70" s="106"/>
      <c r="P70" s="106"/>
      <c r="Q70" s="106"/>
      <c r="R70" s="106"/>
    </row>
    <row r="71" spans="1:18">
      <c r="A71" s="91"/>
      <c r="B71" s="92"/>
      <c r="C71" s="93"/>
      <c r="D71" s="94"/>
      <c r="E71" s="95"/>
      <c r="F71" s="96"/>
      <c r="G71" s="94"/>
      <c r="H71" s="95"/>
      <c r="I71" s="96"/>
      <c r="J71" s="94"/>
      <c r="K71" s="95"/>
      <c r="L71" s="96"/>
      <c r="M71" s="106"/>
      <c r="N71" s="106"/>
      <c r="O71" s="106"/>
      <c r="P71" s="106"/>
      <c r="Q71" s="106"/>
      <c r="R71" s="106"/>
    </row>
    <row r="72" spans="1:18">
      <c r="A72" s="91"/>
      <c r="B72" s="92"/>
      <c r="C72" s="93"/>
      <c r="D72" s="94"/>
      <c r="E72" s="95"/>
      <c r="F72" s="96"/>
      <c r="G72" s="94"/>
      <c r="H72" s="95"/>
      <c r="I72" s="96"/>
      <c r="J72" s="94"/>
      <c r="K72" s="95"/>
      <c r="L72" s="96"/>
      <c r="M72" s="106"/>
      <c r="N72" s="106"/>
      <c r="O72" s="106"/>
      <c r="P72" s="106"/>
      <c r="Q72" s="106"/>
      <c r="R72" s="106"/>
    </row>
    <row r="73" spans="1:18">
      <c r="A73" s="91"/>
      <c r="B73" s="92"/>
      <c r="C73" s="93"/>
      <c r="D73" s="94"/>
      <c r="E73" s="95"/>
      <c r="F73" s="96"/>
      <c r="G73" s="94"/>
      <c r="H73" s="95"/>
      <c r="I73" s="96"/>
      <c r="J73" s="94"/>
      <c r="K73" s="95"/>
      <c r="L73" s="96"/>
      <c r="M73" s="106"/>
      <c r="N73" s="106"/>
      <c r="O73" s="106"/>
      <c r="P73" s="106"/>
      <c r="Q73" s="106"/>
      <c r="R73" s="106"/>
    </row>
    <row r="74" spans="1:18">
      <c r="A74" s="91"/>
      <c r="B74" s="92"/>
      <c r="C74" s="93"/>
      <c r="D74" s="94"/>
      <c r="E74" s="95"/>
      <c r="F74" s="96"/>
      <c r="G74" s="94"/>
      <c r="H74" s="95"/>
      <c r="I74" s="96"/>
      <c r="J74" s="94"/>
      <c r="K74" s="95"/>
      <c r="L74" s="96"/>
      <c r="M74" s="106"/>
      <c r="N74" s="106"/>
      <c r="O74" s="106"/>
      <c r="P74" s="106"/>
      <c r="Q74" s="106"/>
      <c r="R74" s="106"/>
    </row>
    <row r="75" spans="1:18">
      <c r="A75" s="91"/>
      <c r="B75" s="92"/>
      <c r="C75" s="93"/>
      <c r="D75" s="94"/>
      <c r="E75" s="95"/>
      <c r="F75" s="96"/>
      <c r="G75" s="94"/>
      <c r="H75" s="95"/>
      <c r="I75" s="96"/>
      <c r="J75" s="94"/>
      <c r="K75" s="95"/>
      <c r="L75" s="96"/>
      <c r="M75" s="106"/>
      <c r="N75" s="106"/>
      <c r="O75" s="106"/>
      <c r="P75" s="106"/>
      <c r="Q75" s="106"/>
      <c r="R75" s="106"/>
    </row>
    <row r="76" spans="1:18">
      <c r="A76" s="91"/>
      <c r="B76" s="92"/>
      <c r="C76" s="93"/>
      <c r="D76" s="94"/>
      <c r="E76" s="95"/>
      <c r="F76" s="96"/>
      <c r="G76" s="94"/>
      <c r="H76" s="95"/>
      <c r="I76" s="96"/>
      <c r="J76" s="94"/>
      <c r="K76" s="95"/>
      <c r="L76" s="96"/>
      <c r="M76" s="106"/>
      <c r="N76" s="106"/>
      <c r="O76" s="106"/>
      <c r="P76" s="106"/>
      <c r="Q76" s="106"/>
      <c r="R76" s="106"/>
    </row>
    <row r="77" spans="1:18">
      <c r="A77" s="91"/>
      <c r="B77" s="92"/>
      <c r="C77" s="93"/>
      <c r="D77" s="94"/>
      <c r="E77" s="95"/>
      <c r="F77" s="96"/>
      <c r="G77" s="94"/>
      <c r="H77" s="95"/>
      <c r="I77" s="96"/>
      <c r="J77" s="94"/>
      <c r="K77" s="95"/>
      <c r="L77" s="96"/>
      <c r="M77" s="106"/>
      <c r="N77" s="106"/>
      <c r="O77" s="106"/>
      <c r="P77" s="106"/>
      <c r="Q77" s="106"/>
      <c r="R77" s="106"/>
    </row>
    <row r="78" spans="1:18">
      <c r="A78" s="91"/>
      <c r="B78" s="92"/>
      <c r="C78" s="93"/>
      <c r="D78" s="94"/>
      <c r="E78" s="95"/>
      <c r="F78" s="96"/>
      <c r="G78" s="94"/>
      <c r="H78" s="95"/>
      <c r="I78" s="96"/>
      <c r="J78" s="94"/>
      <c r="K78" s="95"/>
      <c r="L78" s="96"/>
      <c r="M78" s="106"/>
      <c r="N78" s="106"/>
      <c r="O78" s="106"/>
      <c r="P78" s="106"/>
      <c r="Q78" s="106"/>
      <c r="R78" s="106"/>
    </row>
    <row r="79" spans="1:18">
      <c r="A79" s="91"/>
      <c r="B79" s="92"/>
      <c r="C79" s="93"/>
      <c r="D79" s="94"/>
      <c r="E79" s="95"/>
      <c r="F79" s="96"/>
      <c r="G79" s="94"/>
      <c r="H79" s="95"/>
      <c r="I79" s="96"/>
      <c r="J79" s="94"/>
      <c r="K79" s="95"/>
      <c r="L79" s="96"/>
      <c r="M79" s="106"/>
      <c r="N79" s="106"/>
      <c r="O79" s="106"/>
      <c r="P79" s="106"/>
      <c r="Q79" s="106"/>
      <c r="R79" s="106"/>
    </row>
    <row r="80" spans="1:18">
      <c r="A80" s="91"/>
      <c r="B80" s="92"/>
      <c r="C80" s="93"/>
      <c r="D80" s="94"/>
      <c r="E80" s="95"/>
      <c r="F80" s="96"/>
      <c r="G80" s="94"/>
      <c r="H80" s="95"/>
      <c r="I80" s="96"/>
      <c r="J80" s="94"/>
      <c r="K80" s="95"/>
      <c r="L80" s="96"/>
      <c r="M80" s="106"/>
      <c r="N80" s="106"/>
      <c r="O80" s="106"/>
      <c r="P80" s="106"/>
      <c r="Q80" s="106"/>
      <c r="R80" s="106"/>
    </row>
    <row r="81" spans="1:18">
      <c r="A81" s="91"/>
      <c r="B81" s="92"/>
      <c r="C81" s="93"/>
      <c r="D81" s="94"/>
      <c r="E81" s="95"/>
      <c r="F81" s="96"/>
      <c r="G81" s="94"/>
      <c r="H81" s="95"/>
      <c r="I81" s="96"/>
      <c r="J81" s="94"/>
      <c r="K81" s="95"/>
      <c r="L81" s="96"/>
      <c r="M81" s="106"/>
      <c r="N81" s="106"/>
      <c r="O81" s="106"/>
      <c r="P81" s="106"/>
      <c r="Q81" s="106"/>
      <c r="R81" s="106"/>
    </row>
    <row r="82" spans="1:18">
      <c r="A82" s="91"/>
      <c r="B82" s="92"/>
      <c r="C82" s="93"/>
      <c r="D82" s="94"/>
      <c r="E82" s="95"/>
      <c r="F82" s="96"/>
      <c r="G82" s="94"/>
      <c r="H82" s="95"/>
      <c r="I82" s="96"/>
      <c r="J82" s="94"/>
      <c r="K82" s="95"/>
      <c r="L82" s="96"/>
      <c r="M82" s="106"/>
      <c r="N82" s="106"/>
      <c r="O82" s="106"/>
      <c r="P82" s="106"/>
      <c r="Q82" s="106"/>
      <c r="R82" s="106"/>
    </row>
    <row r="83" spans="1:18">
      <c r="A83" s="91"/>
      <c r="B83" s="92"/>
      <c r="C83" s="93"/>
      <c r="D83" s="94"/>
      <c r="E83" s="95"/>
      <c r="F83" s="96"/>
      <c r="G83" s="94"/>
      <c r="H83" s="95"/>
      <c r="I83" s="96"/>
      <c r="J83" s="94"/>
      <c r="K83" s="95"/>
      <c r="L83" s="96"/>
      <c r="M83" s="106"/>
      <c r="N83" s="106"/>
      <c r="O83" s="106"/>
      <c r="P83" s="106"/>
      <c r="Q83" s="106"/>
      <c r="R83" s="106"/>
    </row>
    <row r="84" spans="1:18">
      <c r="A84" s="91"/>
      <c r="B84" s="92"/>
      <c r="C84" s="93"/>
      <c r="D84" s="94"/>
      <c r="E84" s="95"/>
      <c r="F84" s="96"/>
      <c r="G84" s="94"/>
      <c r="H84" s="95"/>
      <c r="I84" s="96"/>
      <c r="J84" s="94"/>
      <c r="K84" s="95"/>
      <c r="L84" s="96"/>
      <c r="M84" s="106"/>
      <c r="N84" s="106"/>
      <c r="O84" s="106"/>
      <c r="P84" s="106"/>
      <c r="Q84" s="106"/>
      <c r="R84" s="106"/>
    </row>
    <row r="85" spans="1:18">
      <c r="A85" s="91"/>
      <c r="B85" s="92"/>
      <c r="C85" s="93"/>
      <c r="D85" s="94"/>
      <c r="E85" s="95"/>
      <c r="F85" s="96"/>
      <c r="G85" s="94"/>
      <c r="H85" s="95"/>
      <c r="I85" s="96"/>
      <c r="J85" s="94"/>
      <c r="K85" s="95"/>
      <c r="L85" s="96"/>
      <c r="M85" s="106"/>
      <c r="N85" s="106"/>
      <c r="O85" s="106"/>
      <c r="P85" s="106"/>
      <c r="Q85" s="106"/>
      <c r="R85" s="106"/>
    </row>
    <row r="86" spans="1:18">
      <c r="A86" s="91"/>
      <c r="B86" s="92"/>
      <c r="C86" s="93"/>
      <c r="D86" s="94"/>
      <c r="E86" s="95"/>
      <c r="F86" s="96"/>
      <c r="G86" s="94"/>
      <c r="H86" s="95"/>
      <c r="I86" s="96"/>
      <c r="J86" s="94"/>
      <c r="K86" s="95"/>
      <c r="L86" s="96"/>
      <c r="M86" s="106"/>
      <c r="N86" s="106"/>
      <c r="O86" s="106"/>
      <c r="P86" s="106"/>
      <c r="Q86" s="106"/>
      <c r="R86" s="106"/>
    </row>
    <row r="87" spans="1:18">
      <c r="A87" s="91"/>
      <c r="B87" s="92"/>
      <c r="C87" s="93"/>
      <c r="D87" s="94"/>
      <c r="E87" s="95"/>
      <c r="F87" s="96"/>
      <c r="G87" s="94"/>
      <c r="H87" s="95"/>
      <c r="I87" s="96"/>
      <c r="J87" s="94"/>
      <c r="K87" s="95"/>
      <c r="L87" s="96"/>
      <c r="M87" s="106"/>
      <c r="N87" s="106"/>
      <c r="O87" s="106"/>
      <c r="P87" s="106"/>
      <c r="Q87" s="106"/>
      <c r="R87" s="106"/>
    </row>
    <row r="88" spans="1:18">
      <c r="A88" s="91"/>
      <c r="B88" s="92"/>
      <c r="C88" s="93"/>
      <c r="D88" s="94"/>
      <c r="E88" s="95"/>
      <c r="F88" s="96"/>
      <c r="G88" s="94"/>
      <c r="H88" s="95"/>
      <c r="I88" s="96"/>
      <c r="J88" s="94"/>
      <c r="K88" s="95"/>
      <c r="L88" s="96"/>
      <c r="M88" s="106"/>
      <c r="N88" s="106"/>
      <c r="O88" s="106"/>
      <c r="P88" s="106"/>
      <c r="Q88" s="106"/>
      <c r="R88" s="106"/>
    </row>
    <row r="89" spans="1:18">
      <c r="A89" s="91"/>
      <c r="B89" s="92"/>
      <c r="C89" s="93"/>
      <c r="D89" s="94"/>
      <c r="E89" s="95"/>
      <c r="F89" s="96"/>
      <c r="G89" s="94"/>
      <c r="H89" s="95"/>
      <c r="I89" s="96"/>
      <c r="J89" s="94"/>
      <c r="K89" s="95"/>
      <c r="L89" s="96"/>
      <c r="M89" s="106"/>
      <c r="N89" s="106"/>
      <c r="O89" s="106"/>
      <c r="P89" s="106"/>
      <c r="Q89" s="106"/>
      <c r="R89" s="106"/>
    </row>
    <row r="90" spans="1:18">
      <c r="A90" s="91"/>
      <c r="B90" s="92"/>
      <c r="C90" s="93"/>
      <c r="D90" s="94"/>
      <c r="E90" s="95"/>
      <c r="F90" s="96"/>
      <c r="G90" s="94"/>
      <c r="H90" s="95"/>
      <c r="I90" s="96"/>
      <c r="J90" s="94"/>
      <c r="K90" s="95"/>
      <c r="L90" s="96"/>
      <c r="M90" s="106"/>
      <c r="N90" s="106"/>
      <c r="O90" s="106"/>
      <c r="P90" s="106"/>
      <c r="Q90" s="106"/>
      <c r="R90" s="106"/>
    </row>
    <row r="91" spans="1:18">
      <c r="A91" s="91"/>
      <c r="B91" s="92"/>
      <c r="C91" s="93"/>
      <c r="D91" s="94"/>
      <c r="E91" s="95"/>
      <c r="F91" s="96"/>
      <c r="G91" s="94"/>
      <c r="H91" s="95"/>
      <c r="I91" s="96"/>
      <c r="J91" s="94"/>
      <c r="K91" s="95"/>
      <c r="L91" s="96"/>
      <c r="M91" s="106"/>
      <c r="N91" s="106"/>
      <c r="O91" s="106"/>
      <c r="P91" s="106"/>
      <c r="Q91" s="106"/>
      <c r="R91" s="106"/>
    </row>
    <row r="92" spans="1:18">
      <c r="A92" s="91"/>
      <c r="B92" s="92"/>
      <c r="C92" s="93"/>
      <c r="D92" s="94"/>
      <c r="E92" s="95"/>
      <c r="F92" s="96"/>
      <c r="G92" s="94"/>
      <c r="H92" s="95"/>
      <c r="I92" s="96"/>
      <c r="J92" s="94"/>
      <c r="K92" s="95"/>
      <c r="L92" s="96"/>
      <c r="M92" s="106"/>
      <c r="N92" s="106"/>
      <c r="O92" s="106"/>
      <c r="P92" s="106"/>
      <c r="Q92" s="106"/>
      <c r="R92" s="106"/>
    </row>
    <row r="93" spans="1:18">
      <c r="A93" s="91"/>
      <c r="B93" s="92"/>
      <c r="C93" s="93"/>
      <c r="D93" s="94"/>
      <c r="E93" s="95"/>
      <c r="F93" s="96"/>
      <c r="G93" s="94"/>
      <c r="H93" s="95"/>
      <c r="I93" s="96"/>
      <c r="J93" s="94"/>
      <c r="K93" s="95"/>
      <c r="L93" s="96"/>
      <c r="M93" s="106"/>
      <c r="N93" s="106"/>
      <c r="O93" s="106"/>
      <c r="P93" s="106"/>
      <c r="Q93" s="106"/>
      <c r="R93" s="106"/>
    </row>
    <row r="94" spans="1:18">
      <c r="A94" s="91"/>
      <c r="B94" s="92"/>
      <c r="C94" s="93"/>
      <c r="D94" s="94"/>
      <c r="E94" s="95"/>
      <c r="F94" s="96"/>
      <c r="G94" s="94"/>
      <c r="H94" s="95"/>
      <c r="I94" s="96"/>
      <c r="J94" s="94"/>
      <c r="K94" s="95"/>
      <c r="L94" s="96"/>
      <c r="M94" s="106"/>
      <c r="N94" s="106"/>
      <c r="O94" s="106"/>
      <c r="P94" s="106"/>
      <c r="Q94" s="106"/>
      <c r="R94" s="106"/>
    </row>
    <row r="95" spans="1:18">
      <c r="A95" s="91"/>
      <c r="B95" s="92"/>
      <c r="C95" s="93"/>
      <c r="D95" s="94"/>
      <c r="E95" s="95"/>
      <c r="F95" s="96"/>
      <c r="G95" s="94"/>
      <c r="H95" s="95"/>
      <c r="I95" s="96"/>
      <c r="J95" s="94"/>
      <c r="K95" s="95"/>
      <c r="L95" s="96"/>
      <c r="M95" s="106"/>
      <c r="N95" s="106"/>
      <c r="O95" s="106"/>
      <c r="P95" s="106"/>
      <c r="Q95" s="106"/>
      <c r="R95" s="106"/>
    </row>
    <row r="96" spans="1:18">
      <c r="A96" s="91"/>
      <c r="B96" s="92"/>
      <c r="C96" s="93"/>
      <c r="D96" s="94"/>
      <c r="E96" s="95"/>
      <c r="F96" s="96"/>
      <c r="G96" s="94"/>
      <c r="H96" s="95"/>
      <c r="I96" s="96"/>
      <c r="J96" s="94"/>
      <c r="K96" s="95"/>
      <c r="L96" s="96"/>
      <c r="M96" s="106"/>
      <c r="N96" s="106"/>
      <c r="O96" s="106"/>
      <c r="P96" s="106"/>
      <c r="Q96" s="106"/>
      <c r="R96" s="106"/>
    </row>
    <row r="97" spans="1:18">
      <c r="A97" s="91"/>
      <c r="B97" s="92"/>
      <c r="C97" s="93"/>
      <c r="D97" s="94"/>
      <c r="E97" s="95"/>
      <c r="F97" s="96"/>
      <c r="G97" s="94"/>
      <c r="H97" s="95"/>
      <c r="I97" s="96"/>
      <c r="J97" s="94"/>
      <c r="K97" s="95"/>
      <c r="L97" s="96"/>
      <c r="M97" s="106"/>
      <c r="N97" s="106"/>
      <c r="O97" s="106"/>
      <c r="P97" s="106"/>
      <c r="Q97" s="106"/>
      <c r="R97" s="106"/>
    </row>
    <row r="98" spans="1:18">
      <c r="A98" s="91"/>
      <c r="B98" s="92"/>
      <c r="C98" s="93"/>
      <c r="D98" s="94"/>
      <c r="E98" s="95"/>
      <c r="F98" s="96"/>
      <c r="G98" s="94"/>
      <c r="H98" s="95"/>
      <c r="I98" s="96"/>
      <c r="J98" s="94"/>
      <c r="K98" s="95"/>
      <c r="L98" s="96"/>
      <c r="M98" s="106"/>
      <c r="N98" s="106"/>
      <c r="O98" s="106"/>
      <c r="P98" s="106"/>
      <c r="Q98" s="106"/>
      <c r="R98" s="106"/>
    </row>
    <row r="99" spans="1:18">
      <c r="A99" s="91"/>
      <c r="B99" s="92"/>
      <c r="C99" s="93"/>
      <c r="D99" s="94"/>
      <c r="E99" s="95"/>
      <c r="F99" s="96"/>
      <c r="G99" s="94"/>
      <c r="H99" s="95"/>
      <c r="I99" s="96"/>
      <c r="J99" s="94"/>
      <c r="K99" s="95"/>
      <c r="L99" s="96"/>
      <c r="M99" s="106"/>
      <c r="N99" s="106"/>
      <c r="O99" s="106"/>
      <c r="P99" s="106"/>
      <c r="Q99" s="106"/>
      <c r="R99" s="106"/>
    </row>
    <row r="100" spans="1:18">
      <c r="A100" s="91"/>
      <c r="B100" s="92"/>
      <c r="C100" s="93"/>
      <c r="D100" s="94"/>
      <c r="E100" s="95"/>
      <c r="F100" s="96"/>
      <c r="G100" s="94"/>
      <c r="H100" s="95"/>
      <c r="I100" s="96"/>
      <c r="J100" s="94"/>
      <c r="K100" s="95"/>
      <c r="L100" s="96"/>
      <c r="M100" s="106"/>
      <c r="N100" s="106"/>
      <c r="O100" s="106"/>
      <c r="P100" s="106"/>
      <c r="Q100" s="106"/>
      <c r="R100" s="106"/>
    </row>
    <row r="101" spans="1:18">
      <c r="A101" s="91"/>
      <c r="B101" s="92"/>
      <c r="C101" s="93"/>
      <c r="D101" s="94"/>
      <c r="E101" s="95"/>
      <c r="F101" s="96"/>
      <c r="G101" s="94"/>
      <c r="H101" s="95"/>
      <c r="I101" s="96"/>
      <c r="J101" s="94"/>
      <c r="K101" s="95"/>
      <c r="L101" s="96"/>
      <c r="M101" s="106"/>
      <c r="N101" s="106"/>
      <c r="O101" s="106"/>
      <c r="P101" s="106"/>
      <c r="Q101" s="106"/>
      <c r="R101" s="106"/>
    </row>
    <row r="102" spans="1:18">
      <c r="A102" s="91"/>
      <c r="B102" s="92"/>
      <c r="C102" s="93"/>
      <c r="D102" s="94"/>
      <c r="E102" s="95"/>
      <c r="F102" s="96"/>
      <c r="G102" s="94"/>
      <c r="H102" s="95"/>
      <c r="I102" s="96"/>
      <c r="J102" s="94"/>
      <c r="K102" s="95"/>
      <c r="L102" s="96"/>
      <c r="M102" s="106"/>
      <c r="N102" s="106"/>
      <c r="O102" s="106"/>
      <c r="P102" s="106"/>
      <c r="Q102" s="106"/>
      <c r="R102" s="106"/>
    </row>
    <row r="103" spans="1:18">
      <c r="A103" s="91"/>
      <c r="B103" s="92"/>
      <c r="C103" s="93"/>
      <c r="D103" s="94"/>
      <c r="E103" s="95"/>
      <c r="F103" s="96"/>
      <c r="G103" s="94"/>
      <c r="H103" s="95"/>
      <c r="I103" s="96"/>
      <c r="J103" s="94"/>
      <c r="K103" s="95"/>
      <c r="L103" s="96"/>
      <c r="M103" s="106"/>
      <c r="N103" s="106"/>
      <c r="O103" s="106"/>
      <c r="P103" s="106"/>
      <c r="Q103" s="106"/>
      <c r="R103" s="106"/>
    </row>
    <row r="104" spans="1:18">
      <c r="A104" s="91"/>
      <c r="B104" s="92"/>
      <c r="C104" s="93"/>
      <c r="D104" s="94"/>
      <c r="E104" s="95"/>
      <c r="F104" s="96"/>
      <c r="G104" s="94"/>
      <c r="H104" s="95"/>
      <c r="I104" s="96"/>
      <c r="J104" s="94"/>
      <c r="K104" s="95"/>
      <c r="L104" s="96"/>
      <c r="M104" s="106"/>
      <c r="N104" s="106"/>
      <c r="O104" s="106"/>
      <c r="P104" s="106"/>
      <c r="Q104" s="106"/>
      <c r="R104" s="106"/>
    </row>
    <row r="105" spans="1:18">
      <c r="A105" s="91"/>
      <c r="B105" s="92"/>
      <c r="C105" s="93"/>
      <c r="D105" s="94"/>
      <c r="E105" s="95"/>
      <c r="F105" s="96"/>
      <c r="G105" s="94"/>
      <c r="H105" s="95"/>
      <c r="I105" s="96"/>
      <c r="J105" s="94"/>
      <c r="K105" s="95"/>
      <c r="L105" s="96"/>
      <c r="M105" s="106"/>
      <c r="N105" s="106"/>
      <c r="O105" s="106"/>
      <c r="P105" s="106"/>
      <c r="Q105" s="106"/>
      <c r="R105" s="106"/>
    </row>
    <row r="106" spans="1:18">
      <c r="A106" s="91"/>
      <c r="B106" s="92"/>
      <c r="C106" s="93"/>
      <c r="D106" s="94"/>
      <c r="E106" s="95"/>
      <c r="F106" s="96"/>
      <c r="G106" s="94"/>
      <c r="H106" s="95"/>
      <c r="I106" s="96"/>
      <c r="J106" s="94"/>
      <c r="K106" s="95"/>
      <c r="L106" s="96"/>
      <c r="M106" s="106"/>
      <c r="N106" s="106"/>
      <c r="O106" s="106"/>
      <c r="P106" s="106"/>
      <c r="Q106" s="106"/>
      <c r="R106" s="106"/>
    </row>
    <row r="107" spans="1:18">
      <c r="A107" s="91"/>
      <c r="B107" s="92"/>
      <c r="C107" s="93"/>
      <c r="D107" s="94"/>
      <c r="E107" s="95"/>
      <c r="F107" s="96"/>
      <c r="G107" s="94"/>
      <c r="H107" s="95"/>
      <c r="I107" s="96"/>
      <c r="J107" s="94"/>
      <c r="K107" s="95"/>
      <c r="L107" s="96"/>
      <c r="M107" s="106"/>
      <c r="N107" s="106"/>
      <c r="O107" s="106"/>
      <c r="P107" s="106"/>
      <c r="Q107" s="106"/>
      <c r="R107" s="106"/>
    </row>
    <row r="108" spans="1:18">
      <c r="A108" s="91"/>
      <c r="B108" s="92"/>
      <c r="C108" s="93"/>
      <c r="D108" s="94"/>
      <c r="E108" s="95"/>
      <c r="F108" s="96"/>
      <c r="G108" s="94"/>
      <c r="H108" s="95"/>
      <c r="I108" s="96"/>
      <c r="J108" s="94"/>
      <c r="K108" s="95"/>
      <c r="L108" s="96"/>
      <c r="M108" s="106"/>
      <c r="N108" s="106"/>
      <c r="O108" s="106"/>
      <c r="P108" s="106"/>
      <c r="Q108" s="106"/>
      <c r="R108" s="106"/>
    </row>
    <row r="109" spans="1:18">
      <c r="A109" s="91"/>
      <c r="B109" s="92"/>
      <c r="C109" s="93"/>
      <c r="D109" s="94"/>
      <c r="E109" s="95"/>
      <c r="F109" s="96"/>
      <c r="G109" s="94"/>
      <c r="H109" s="95"/>
      <c r="I109" s="96"/>
      <c r="J109" s="94"/>
      <c r="K109" s="95"/>
      <c r="L109" s="96"/>
      <c r="M109" s="106"/>
      <c r="N109" s="106"/>
      <c r="O109" s="106"/>
      <c r="P109" s="106"/>
      <c r="Q109" s="106"/>
      <c r="R109" s="106"/>
    </row>
    <row r="110" spans="1:18">
      <c r="A110" s="91"/>
      <c r="B110" s="92"/>
      <c r="C110" s="93"/>
      <c r="D110" s="94"/>
      <c r="E110" s="95"/>
      <c r="F110" s="96"/>
      <c r="G110" s="94"/>
      <c r="H110" s="95"/>
      <c r="I110" s="96"/>
      <c r="J110" s="94"/>
      <c r="K110" s="95"/>
      <c r="L110" s="96"/>
      <c r="M110" s="106"/>
      <c r="N110" s="106"/>
      <c r="O110" s="106"/>
      <c r="P110" s="106"/>
      <c r="Q110" s="106"/>
      <c r="R110" s="106"/>
    </row>
    <row r="111" spans="1:18">
      <c r="A111" s="91"/>
      <c r="B111" s="92"/>
      <c r="C111" s="93"/>
      <c r="D111" s="94"/>
      <c r="E111" s="95"/>
      <c r="F111" s="96"/>
      <c r="G111" s="94"/>
      <c r="H111" s="95"/>
      <c r="I111" s="96"/>
      <c r="J111" s="94"/>
      <c r="K111" s="95"/>
      <c r="L111" s="96"/>
      <c r="M111" s="106"/>
      <c r="N111" s="106"/>
      <c r="O111" s="106"/>
      <c r="P111" s="106"/>
      <c r="Q111" s="106"/>
      <c r="R111" s="106"/>
    </row>
    <row r="112" spans="1:18">
      <c r="A112" s="91"/>
      <c r="B112" s="92"/>
      <c r="C112" s="93"/>
      <c r="D112" s="94"/>
      <c r="E112" s="95"/>
      <c r="F112" s="96"/>
      <c r="G112" s="94"/>
      <c r="H112" s="95"/>
      <c r="I112" s="96"/>
      <c r="J112" s="94"/>
      <c r="K112" s="95"/>
      <c r="L112" s="96"/>
      <c r="M112" s="106"/>
      <c r="N112" s="106"/>
      <c r="O112" s="106"/>
      <c r="P112" s="106"/>
      <c r="Q112" s="106"/>
      <c r="R112" s="106"/>
    </row>
    <row r="113" spans="1:18">
      <c r="A113" s="91"/>
      <c r="B113" s="92"/>
      <c r="C113" s="93"/>
      <c r="D113" s="94"/>
      <c r="E113" s="95"/>
      <c r="F113" s="96"/>
      <c r="G113" s="94"/>
      <c r="H113" s="95"/>
      <c r="I113" s="96"/>
      <c r="J113" s="94"/>
      <c r="K113" s="95"/>
      <c r="L113" s="96"/>
      <c r="M113" s="106"/>
      <c r="N113" s="106"/>
      <c r="O113" s="106"/>
      <c r="P113" s="106"/>
      <c r="Q113" s="106"/>
      <c r="R113" s="106"/>
    </row>
    <row r="114" spans="1:18">
      <c r="A114" s="91"/>
      <c r="B114" s="92"/>
      <c r="C114" s="93"/>
      <c r="D114" s="94"/>
      <c r="E114" s="95"/>
      <c r="F114" s="96"/>
      <c r="G114" s="94"/>
      <c r="H114" s="95"/>
      <c r="I114" s="96"/>
      <c r="J114" s="94"/>
      <c r="K114" s="95"/>
      <c r="L114" s="96"/>
      <c r="M114" s="106"/>
      <c r="N114" s="106"/>
      <c r="O114" s="106"/>
      <c r="P114" s="106"/>
      <c r="Q114" s="106"/>
      <c r="R114" s="106"/>
    </row>
    <row r="115" spans="1:18">
      <c r="A115" s="91"/>
      <c r="B115" s="92"/>
      <c r="C115" s="93"/>
      <c r="D115" s="94"/>
      <c r="E115" s="95"/>
      <c r="F115" s="96"/>
      <c r="G115" s="94"/>
      <c r="H115" s="95"/>
      <c r="I115" s="96"/>
      <c r="J115" s="94"/>
      <c r="K115" s="95"/>
      <c r="L115" s="96"/>
      <c r="M115" s="106"/>
      <c r="N115" s="106"/>
      <c r="O115" s="106"/>
      <c r="P115" s="106"/>
      <c r="Q115" s="106"/>
      <c r="R115" s="106"/>
    </row>
    <row r="116" spans="1:18">
      <c r="A116" s="91"/>
      <c r="B116" s="92"/>
      <c r="C116" s="93"/>
      <c r="D116" s="94"/>
      <c r="E116" s="95"/>
      <c r="F116" s="96"/>
      <c r="G116" s="94"/>
      <c r="H116" s="95"/>
      <c r="I116" s="96"/>
      <c r="J116" s="94"/>
      <c r="K116" s="95"/>
      <c r="L116" s="96"/>
      <c r="M116" s="106"/>
      <c r="N116" s="106"/>
      <c r="O116" s="106"/>
      <c r="P116" s="106"/>
      <c r="Q116" s="106"/>
      <c r="R116" s="106"/>
    </row>
    <row r="117" spans="1:18">
      <c r="A117" s="91"/>
      <c r="B117" s="92"/>
      <c r="C117" s="93"/>
      <c r="D117" s="94"/>
      <c r="E117" s="95"/>
      <c r="F117" s="96"/>
      <c r="G117" s="94"/>
      <c r="H117" s="95"/>
      <c r="I117" s="96"/>
      <c r="J117" s="94"/>
      <c r="K117" s="95"/>
      <c r="L117" s="96"/>
      <c r="M117" s="106"/>
      <c r="N117" s="106"/>
      <c r="O117" s="106"/>
      <c r="P117" s="106"/>
      <c r="Q117" s="106"/>
      <c r="R117" s="106"/>
    </row>
    <row r="118" spans="1:18">
      <c r="A118" s="91"/>
      <c r="B118" s="92"/>
      <c r="C118" s="93"/>
      <c r="D118" s="94"/>
      <c r="E118" s="95"/>
      <c r="F118" s="96"/>
      <c r="G118" s="94"/>
      <c r="H118" s="95"/>
      <c r="I118" s="96"/>
      <c r="J118" s="94"/>
      <c r="K118" s="95"/>
      <c r="L118" s="96"/>
      <c r="M118" s="106"/>
      <c r="N118" s="106"/>
      <c r="O118" s="106"/>
      <c r="P118" s="106"/>
      <c r="Q118" s="106"/>
      <c r="R118" s="106"/>
    </row>
    <row r="119" spans="1:18">
      <c r="A119" s="91"/>
      <c r="B119" s="92"/>
      <c r="C119" s="93"/>
      <c r="D119" s="94"/>
      <c r="E119" s="95"/>
      <c r="F119" s="96"/>
      <c r="G119" s="94"/>
      <c r="H119" s="95"/>
      <c r="I119" s="96"/>
      <c r="J119" s="94"/>
      <c r="K119" s="95"/>
      <c r="L119" s="96"/>
      <c r="M119" s="106"/>
      <c r="N119" s="106"/>
      <c r="O119" s="106"/>
      <c r="P119" s="106"/>
      <c r="Q119" s="106"/>
      <c r="R119" s="106"/>
    </row>
    <row r="120" spans="1:18">
      <c r="A120" s="91"/>
      <c r="B120" s="92"/>
      <c r="C120" s="93"/>
      <c r="D120" s="94"/>
      <c r="E120" s="95"/>
      <c r="F120" s="96"/>
      <c r="G120" s="94"/>
      <c r="H120" s="95"/>
      <c r="I120" s="96"/>
      <c r="J120" s="94"/>
      <c r="K120" s="95"/>
      <c r="L120" s="96"/>
      <c r="M120" s="106"/>
      <c r="N120" s="106"/>
      <c r="O120" s="106"/>
      <c r="P120" s="106"/>
      <c r="Q120" s="106"/>
      <c r="R120" s="106"/>
    </row>
    <row r="121" spans="1:18">
      <c r="A121" s="91"/>
      <c r="B121" s="92"/>
      <c r="C121" s="93"/>
      <c r="D121" s="94"/>
      <c r="E121" s="95"/>
      <c r="F121" s="96"/>
      <c r="G121" s="94"/>
      <c r="H121" s="95"/>
      <c r="I121" s="96"/>
      <c r="J121" s="94"/>
      <c r="K121" s="95"/>
      <c r="L121" s="96"/>
      <c r="M121" s="106"/>
      <c r="N121" s="106"/>
      <c r="O121" s="106"/>
      <c r="P121" s="106"/>
      <c r="Q121" s="106"/>
      <c r="R121" s="106"/>
    </row>
    <row r="122" spans="1:18">
      <c r="A122" s="91"/>
      <c r="B122" s="92"/>
      <c r="C122" s="93"/>
      <c r="D122" s="94"/>
      <c r="E122" s="95"/>
      <c r="F122" s="96"/>
      <c r="G122" s="94"/>
      <c r="H122" s="95"/>
      <c r="I122" s="96"/>
      <c r="J122" s="94"/>
      <c r="K122" s="95"/>
      <c r="L122" s="96"/>
      <c r="M122" s="106"/>
      <c r="N122" s="106"/>
      <c r="O122" s="106"/>
      <c r="P122" s="106"/>
      <c r="Q122" s="106"/>
      <c r="R122" s="106"/>
    </row>
    <row r="123" spans="1:18">
      <c r="A123" s="91"/>
      <c r="B123" s="92"/>
      <c r="C123" s="93"/>
      <c r="D123" s="94"/>
      <c r="E123" s="95"/>
      <c r="F123" s="96"/>
      <c r="G123" s="94"/>
      <c r="H123" s="95"/>
      <c r="I123" s="96"/>
      <c r="J123" s="94"/>
      <c r="K123" s="95"/>
      <c r="L123" s="96"/>
      <c r="M123" s="106"/>
      <c r="N123" s="106"/>
      <c r="O123" s="106"/>
      <c r="P123" s="106"/>
      <c r="Q123" s="106"/>
      <c r="R123" s="106"/>
    </row>
    <row r="124" spans="1:18">
      <c r="A124" s="91"/>
      <c r="B124" s="92"/>
      <c r="C124" s="93"/>
      <c r="D124" s="94"/>
      <c r="E124" s="95"/>
      <c r="F124" s="96"/>
      <c r="G124" s="94"/>
      <c r="H124" s="95"/>
      <c r="I124" s="96"/>
      <c r="J124" s="94"/>
      <c r="K124" s="95"/>
      <c r="L124" s="96"/>
      <c r="M124" s="106"/>
      <c r="N124" s="106"/>
      <c r="O124" s="106"/>
      <c r="P124" s="106"/>
      <c r="Q124" s="106"/>
      <c r="R124" s="106"/>
    </row>
    <row r="125" spans="1:18">
      <c r="A125" s="91"/>
      <c r="B125" s="92"/>
      <c r="C125" s="93"/>
      <c r="D125" s="94"/>
      <c r="E125" s="95"/>
      <c r="F125" s="96"/>
      <c r="G125" s="94"/>
      <c r="H125" s="95"/>
      <c r="I125" s="96"/>
      <c r="J125" s="94"/>
      <c r="K125" s="95"/>
      <c r="L125" s="96"/>
      <c r="M125" s="106"/>
      <c r="N125" s="106"/>
      <c r="O125" s="106"/>
      <c r="P125" s="106"/>
      <c r="Q125" s="106"/>
      <c r="R125" s="106"/>
    </row>
    <row r="126" spans="1:18">
      <c r="A126" s="91"/>
      <c r="B126" s="92"/>
      <c r="C126" s="93"/>
      <c r="D126" s="94"/>
      <c r="E126" s="95"/>
      <c r="F126" s="96"/>
      <c r="G126" s="94"/>
      <c r="H126" s="95"/>
      <c r="I126" s="96"/>
      <c r="J126" s="94"/>
      <c r="K126" s="95"/>
      <c r="L126" s="96"/>
      <c r="M126" s="106"/>
      <c r="N126" s="106"/>
      <c r="O126" s="106"/>
      <c r="P126" s="106"/>
      <c r="Q126" s="106"/>
      <c r="R126" s="106"/>
    </row>
    <row r="127" spans="1:18">
      <c r="A127" s="91"/>
      <c r="B127" s="92"/>
      <c r="C127" s="93"/>
      <c r="D127" s="94"/>
      <c r="E127" s="95"/>
      <c r="F127" s="96"/>
      <c r="G127" s="94"/>
      <c r="H127" s="95"/>
      <c r="I127" s="96"/>
      <c r="J127" s="94"/>
      <c r="K127" s="95"/>
      <c r="L127" s="96"/>
      <c r="M127" s="106"/>
      <c r="N127" s="106"/>
      <c r="O127" s="106"/>
      <c r="P127" s="106"/>
      <c r="Q127" s="106"/>
      <c r="R127" s="106"/>
    </row>
    <row r="128" spans="1:18">
      <c r="A128" s="91"/>
      <c r="B128" s="92"/>
      <c r="C128" s="93"/>
      <c r="D128" s="94"/>
      <c r="E128" s="95"/>
      <c r="F128" s="96"/>
      <c r="G128" s="94"/>
      <c r="H128" s="95"/>
      <c r="I128" s="96"/>
      <c r="J128" s="94"/>
      <c r="K128" s="95"/>
      <c r="L128" s="96"/>
      <c r="M128" s="106"/>
      <c r="N128" s="106"/>
      <c r="O128" s="106"/>
      <c r="P128" s="106"/>
      <c r="Q128" s="106"/>
      <c r="R128" s="106"/>
    </row>
    <row r="129" spans="1:18">
      <c r="A129" s="91"/>
      <c r="B129" s="92"/>
      <c r="C129" s="93"/>
      <c r="D129" s="94"/>
      <c r="E129" s="95"/>
      <c r="F129" s="96"/>
      <c r="G129" s="94"/>
      <c r="H129" s="95"/>
      <c r="I129" s="96"/>
      <c r="J129" s="94"/>
      <c r="K129" s="95"/>
      <c r="L129" s="96"/>
      <c r="M129" s="106"/>
      <c r="N129" s="106"/>
      <c r="O129" s="106"/>
      <c r="P129" s="106"/>
      <c r="Q129" s="106"/>
      <c r="R129" s="106"/>
    </row>
    <row r="130" spans="1:18">
      <c r="A130" s="91"/>
      <c r="B130" s="92"/>
      <c r="C130" s="93"/>
      <c r="D130" s="94"/>
      <c r="E130" s="95"/>
      <c r="F130" s="96"/>
      <c r="G130" s="94"/>
      <c r="H130" s="95"/>
      <c r="I130" s="96"/>
      <c r="J130" s="94"/>
      <c r="K130" s="95"/>
      <c r="L130" s="96"/>
      <c r="M130" s="106"/>
      <c r="N130" s="106"/>
      <c r="O130" s="106"/>
      <c r="P130" s="106"/>
      <c r="Q130" s="106"/>
      <c r="R130" s="106"/>
    </row>
    <row r="131" spans="1:18">
      <c r="A131" s="91"/>
      <c r="B131" s="92"/>
      <c r="C131" s="93"/>
      <c r="D131" s="94"/>
      <c r="E131" s="95"/>
      <c r="F131" s="96"/>
      <c r="G131" s="94"/>
      <c r="H131" s="95"/>
      <c r="I131" s="96"/>
      <c r="J131" s="94"/>
      <c r="K131" s="95"/>
      <c r="L131" s="96"/>
      <c r="M131" s="106"/>
      <c r="N131" s="106"/>
      <c r="O131" s="106"/>
      <c r="P131" s="106"/>
      <c r="Q131" s="106"/>
      <c r="R131" s="106"/>
    </row>
    <row r="132" spans="1:18">
      <c r="A132" s="91"/>
      <c r="B132" s="92"/>
      <c r="C132" s="93"/>
      <c r="D132" s="94"/>
      <c r="E132" s="95"/>
      <c r="F132" s="96"/>
      <c r="G132" s="94"/>
      <c r="H132" s="95"/>
      <c r="I132" s="96"/>
      <c r="J132" s="94"/>
      <c r="K132" s="95"/>
      <c r="L132" s="96"/>
      <c r="M132" s="106"/>
      <c r="N132" s="106"/>
      <c r="O132" s="106"/>
      <c r="P132" s="106"/>
      <c r="Q132" s="106"/>
      <c r="R132" s="106"/>
    </row>
    <row r="133" spans="1:18">
      <c r="A133" s="91"/>
      <c r="B133" s="92"/>
      <c r="C133" s="93"/>
      <c r="D133" s="94"/>
      <c r="E133" s="95"/>
      <c r="F133" s="96"/>
      <c r="G133" s="94"/>
      <c r="H133" s="95"/>
      <c r="I133" s="96"/>
      <c r="J133" s="94"/>
      <c r="K133" s="95"/>
      <c r="L133" s="96"/>
      <c r="M133" s="106"/>
      <c r="N133" s="106"/>
      <c r="O133" s="106"/>
      <c r="P133" s="106"/>
      <c r="Q133" s="106"/>
      <c r="R133" s="106"/>
    </row>
    <row r="134" spans="1:18">
      <c r="A134" s="91"/>
      <c r="B134" s="92"/>
      <c r="C134" s="93"/>
      <c r="D134" s="94"/>
      <c r="E134" s="95"/>
      <c r="F134" s="96"/>
      <c r="G134" s="94"/>
      <c r="H134" s="95"/>
      <c r="I134" s="96"/>
      <c r="J134" s="94"/>
      <c r="K134" s="95"/>
      <c r="L134" s="96"/>
      <c r="M134" s="106"/>
      <c r="N134" s="106"/>
      <c r="O134" s="106"/>
      <c r="P134" s="106"/>
      <c r="Q134" s="106"/>
      <c r="R134" s="106"/>
    </row>
    <row r="135" spans="1:18">
      <c r="A135" s="91"/>
      <c r="B135" s="92"/>
      <c r="C135" s="93"/>
      <c r="D135" s="94"/>
      <c r="E135" s="95"/>
      <c r="F135" s="96"/>
      <c r="G135" s="94"/>
      <c r="H135" s="95"/>
      <c r="I135" s="96"/>
      <c r="J135" s="94"/>
      <c r="K135" s="95"/>
      <c r="L135" s="96"/>
      <c r="M135" s="106"/>
      <c r="N135" s="106"/>
      <c r="O135" s="106"/>
      <c r="P135" s="106"/>
      <c r="Q135" s="106"/>
      <c r="R135" s="106"/>
    </row>
    <row r="136" spans="1:18">
      <c r="A136" s="91"/>
      <c r="B136" s="92"/>
      <c r="C136" s="93"/>
      <c r="D136" s="94"/>
      <c r="E136" s="95"/>
      <c r="F136" s="96"/>
      <c r="G136" s="94"/>
      <c r="H136" s="95"/>
      <c r="I136" s="96"/>
      <c r="J136" s="94"/>
      <c r="K136" s="95"/>
      <c r="L136" s="96"/>
      <c r="M136" s="106"/>
      <c r="N136" s="106"/>
      <c r="O136" s="106"/>
      <c r="P136" s="106"/>
      <c r="Q136" s="106"/>
      <c r="R136" s="106"/>
    </row>
    <row r="137" spans="1:18">
      <c r="A137" s="91"/>
      <c r="B137" s="92"/>
      <c r="C137" s="93"/>
      <c r="D137" s="94"/>
      <c r="E137" s="95"/>
      <c r="F137" s="96"/>
      <c r="G137" s="94"/>
      <c r="H137" s="95"/>
      <c r="I137" s="96"/>
      <c r="J137" s="94"/>
      <c r="K137" s="95"/>
      <c r="L137" s="96"/>
      <c r="M137" s="106"/>
      <c r="N137" s="106"/>
      <c r="O137" s="106"/>
      <c r="P137" s="106"/>
      <c r="Q137" s="106"/>
      <c r="R137" s="106"/>
    </row>
    <row r="138" spans="1:18">
      <c r="A138" s="91"/>
      <c r="B138" s="92"/>
      <c r="C138" s="93"/>
      <c r="D138" s="94"/>
      <c r="E138" s="95"/>
      <c r="F138" s="96"/>
      <c r="G138" s="94"/>
      <c r="H138" s="95"/>
      <c r="I138" s="96"/>
      <c r="J138" s="94"/>
      <c r="K138" s="95"/>
      <c r="L138" s="96"/>
      <c r="M138" s="106"/>
      <c r="N138" s="106"/>
      <c r="O138" s="106"/>
      <c r="P138" s="106"/>
      <c r="Q138" s="106"/>
      <c r="R138" s="106"/>
    </row>
    <row r="139" spans="1:18">
      <c r="A139" s="91"/>
      <c r="B139" s="92"/>
      <c r="C139" s="93"/>
      <c r="D139" s="94"/>
      <c r="E139" s="95"/>
      <c r="F139" s="96"/>
      <c r="G139" s="94"/>
      <c r="H139" s="95"/>
      <c r="I139" s="96"/>
      <c r="J139" s="94"/>
      <c r="K139" s="95"/>
      <c r="L139" s="96"/>
      <c r="M139" s="106"/>
      <c r="N139" s="106"/>
      <c r="O139" s="106"/>
      <c r="P139" s="106"/>
      <c r="Q139" s="106"/>
      <c r="R139" s="106"/>
    </row>
    <row r="140" spans="1:18">
      <c r="A140" s="91"/>
      <c r="B140" s="92"/>
      <c r="C140" s="93"/>
      <c r="D140" s="94"/>
      <c r="E140" s="95"/>
      <c r="F140" s="96"/>
      <c r="G140" s="94"/>
      <c r="H140" s="95"/>
      <c r="I140" s="96"/>
      <c r="J140" s="94"/>
      <c r="K140" s="95"/>
      <c r="L140" s="96"/>
      <c r="M140" s="106"/>
      <c r="N140" s="106"/>
      <c r="O140" s="106"/>
      <c r="P140" s="106"/>
      <c r="Q140" s="106"/>
      <c r="R140" s="106"/>
    </row>
    <row r="141" spans="1:18">
      <c r="A141" s="91"/>
      <c r="B141" s="92"/>
      <c r="C141" s="93"/>
      <c r="D141" s="94"/>
      <c r="E141" s="95"/>
      <c r="F141" s="96"/>
      <c r="G141" s="94"/>
      <c r="H141" s="95"/>
      <c r="I141" s="96"/>
      <c r="J141" s="94"/>
      <c r="K141" s="95"/>
      <c r="L141" s="96"/>
      <c r="M141" s="106"/>
      <c r="N141" s="106"/>
      <c r="O141" s="106"/>
      <c r="P141" s="106"/>
      <c r="Q141" s="106"/>
      <c r="R141" s="106"/>
    </row>
    <row r="142" spans="1:18">
      <c r="A142" s="91"/>
      <c r="B142" s="92"/>
      <c r="C142" s="93"/>
      <c r="D142" s="94"/>
      <c r="E142" s="95"/>
      <c r="F142" s="96"/>
      <c r="G142" s="94"/>
      <c r="H142" s="95"/>
      <c r="I142" s="96"/>
      <c r="J142" s="94"/>
      <c r="K142" s="95"/>
      <c r="L142" s="96"/>
      <c r="M142" s="106"/>
      <c r="N142" s="106"/>
      <c r="O142" s="106"/>
      <c r="P142" s="106"/>
      <c r="Q142" s="106"/>
      <c r="R142" s="106"/>
    </row>
    <row r="143" spans="1:18">
      <c r="A143" s="91"/>
      <c r="B143" s="92"/>
      <c r="C143" s="93"/>
      <c r="D143" s="94"/>
      <c r="E143" s="95"/>
      <c r="F143" s="96"/>
      <c r="G143" s="94"/>
      <c r="H143" s="95"/>
      <c r="I143" s="96"/>
      <c r="J143" s="94"/>
      <c r="K143" s="95"/>
      <c r="L143" s="96"/>
      <c r="M143" s="106"/>
      <c r="N143" s="106"/>
      <c r="O143" s="106"/>
      <c r="P143" s="106"/>
      <c r="Q143" s="106"/>
      <c r="R143" s="106"/>
    </row>
    <row r="144" spans="1:18">
      <c r="A144" s="91"/>
      <c r="B144" s="92"/>
      <c r="C144" s="93"/>
      <c r="D144" s="94"/>
      <c r="E144" s="95"/>
      <c r="F144" s="96"/>
      <c r="G144" s="94"/>
      <c r="H144" s="95"/>
      <c r="I144" s="96"/>
      <c r="J144" s="94"/>
      <c r="K144" s="95"/>
      <c r="L144" s="96"/>
      <c r="M144" s="106"/>
      <c r="N144" s="106"/>
      <c r="O144" s="106"/>
      <c r="P144" s="106"/>
      <c r="Q144" s="106"/>
      <c r="R144" s="106"/>
    </row>
    <row r="145" spans="1:18">
      <c r="A145" s="91"/>
      <c r="B145" s="92"/>
      <c r="C145" s="93"/>
      <c r="D145" s="94"/>
      <c r="E145" s="95"/>
      <c r="F145" s="96"/>
      <c r="G145" s="94"/>
      <c r="H145" s="95"/>
      <c r="I145" s="96"/>
      <c r="J145" s="94"/>
      <c r="K145" s="95"/>
      <c r="L145" s="96"/>
      <c r="M145" s="106"/>
      <c r="N145" s="106"/>
      <c r="O145" s="106"/>
      <c r="P145" s="106"/>
      <c r="Q145" s="106"/>
      <c r="R145" s="106"/>
    </row>
    <row r="146" spans="1:18">
      <c r="A146" s="91"/>
      <c r="B146" s="92"/>
      <c r="C146" s="93"/>
      <c r="D146" s="94"/>
      <c r="E146" s="95"/>
      <c r="F146" s="96"/>
      <c r="G146" s="94"/>
      <c r="H146" s="95"/>
      <c r="I146" s="96"/>
      <c r="J146" s="94"/>
      <c r="K146" s="95"/>
      <c r="L146" s="96"/>
      <c r="M146" s="106"/>
      <c r="N146" s="106"/>
      <c r="O146" s="106"/>
      <c r="P146" s="106"/>
      <c r="Q146" s="106"/>
      <c r="R146" s="106"/>
    </row>
    <row r="147" spans="1:18">
      <c r="A147" s="91"/>
      <c r="B147" s="92"/>
      <c r="C147" s="93"/>
      <c r="D147" s="94"/>
      <c r="E147" s="95"/>
      <c r="F147" s="96"/>
      <c r="G147" s="94"/>
      <c r="H147" s="95"/>
      <c r="I147" s="96"/>
      <c r="J147" s="94"/>
      <c r="K147" s="95"/>
      <c r="L147" s="96"/>
      <c r="M147" s="106"/>
      <c r="N147" s="106"/>
      <c r="O147" s="106"/>
      <c r="P147" s="106"/>
      <c r="Q147" s="106"/>
      <c r="R147" s="106"/>
    </row>
    <row r="148" spans="1:18">
      <c r="A148" s="91"/>
      <c r="B148" s="92"/>
      <c r="C148" s="93"/>
      <c r="D148" s="94"/>
      <c r="E148" s="95"/>
      <c r="F148" s="96"/>
      <c r="G148" s="94"/>
      <c r="H148" s="95"/>
      <c r="I148" s="96"/>
      <c r="J148" s="94"/>
      <c r="K148" s="95"/>
      <c r="L148" s="96"/>
      <c r="M148" s="106"/>
      <c r="N148" s="106"/>
      <c r="O148" s="106"/>
      <c r="P148" s="106"/>
      <c r="Q148" s="106"/>
      <c r="R148" s="106"/>
    </row>
    <row r="149" spans="1:18">
      <c r="A149" s="91"/>
      <c r="B149" s="92"/>
      <c r="C149" s="93"/>
      <c r="D149" s="94"/>
      <c r="E149" s="95"/>
      <c r="F149" s="96"/>
      <c r="G149" s="94"/>
      <c r="H149" s="95"/>
      <c r="I149" s="96"/>
      <c r="J149" s="94"/>
      <c r="K149" s="95"/>
      <c r="L149" s="96"/>
      <c r="M149" s="106"/>
      <c r="N149" s="106"/>
      <c r="O149" s="106"/>
      <c r="P149" s="106"/>
      <c r="Q149" s="106"/>
      <c r="R149" s="106"/>
    </row>
    <row r="150" spans="1:18">
      <c r="A150" s="91"/>
      <c r="B150" s="92"/>
      <c r="C150" s="93"/>
      <c r="D150" s="94"/>
      <c r="E150" s="95"/>
      <c r="F150" s="96"/>
      <c r="G150" s="94"/>
      <c r="H150" s="95"/>
      <c r="I150" s="96"/>
      <c r="J150" s="94"/>
      <c r="K150" s="95"/>
      <c r="L150" s="96"/>
      <c r="M150" s="106"/>
      <c r="N150" s="106"/>
      <c r="O150" s="106"/>
      <c r="P150" s="106"/>
      <c r="Q150" s="106"/>
      <c r="R150" s="106"/>
    </row>
    <row r="151" spans="1:18">
      <c r="A151" s="91"/>
      <c r="B151" s="92"/>
      <c r="C151" s="93"/>
      <c r="D151" s="94"/>
      <c r="E151" s="95"/>
      <c r="F151" s="96"/>
      <c r="G151" s="94"/>
      <c r="H151" s="95"/>
      <c r="I151" s="96"/>
      <c r="J151" s="94"/>
      <c r="K151" s="95"/>
      <c r="L151" s="96"/>
      <c r="M151" s="106"/>
      <c r="N151" s="106"/>
      <c r="O151" s="106"/>
      <c r="P151" s="106"/>
      <c r="Q151" s="106"/>
      <c r="R151" s="106"/>
    </row>
    <row r="152" spans="1:18">
      <c r="A152" s="91"/>
      <c r="B152" s="92"/>
      <c r="C152" s="93"/>
      <c r="D152" s="94"/>
      <c r="E152" s="95"/>
      <c r="F152" s="96"/>
      <c r="G152" s="94"/>
      <c r="H152" s="95"/>
      <c r="I152" s="96"/>
      <c r="J152" s="94"/>
      <c r="K152" s="95"/>
      <c r="L152" s="96"/>
      <c r="M152" s="106"/>
      <c r="N152" s="106"/>
      <c r="O152" s="106"/>
      <c r="P152" s="106"/>
      <c r="Q152" s="106"/>
      <c r="R152" s="106"/>
    </row>
    <row r="153" spans="1:18">
      <c r="A153" s="91"/>
      <c r="B153" s="92"/>
      <c r="C153" s="93"/>
      <c r="D153" s="94"/>
      <c r="E153" s="95"/>
      <c r="F153" s="96"/>
      <c r="G153" s="94"/>
      <c r="H153" s="95"/>
      <c r="I153" s="96"/>
      <c r="J153" s="94"/>
      <c r="K153" s="95"/>
      <c r="L153" s="96"/>
      <c r="M153" s="106"/>
      <c r="N153" s="106"/>
      <c r="O153" s="106"/>
      <c r="P153" s="106"/>
      <c r="Q153" s="106"/>
      <c r="R153" s="106"/>
    </row>
    <row r="154" spans="1:18">
      <c r="A154" s="91"/>
      <c r="B154" s="92"/>
      <c r="C154" s="93"/>
      <c r="D154" s="94"/>
      <c r="E154" s="95"/>
      <c r="F154" s="96"/>
      <c r="G154" s="94"/>
      <c r="H154" s="95"/>
      <c r="I154" s="96"/>
      <c r="J154" s="94"/>
      <c r="K154" s="95"/>
      <c r="L154" s="96"/>
      <c r="M154" s="106"/>
      <c r="N154" s="106"/>
      <c r="O154" s="106"/>
      <c r="P154" s="106"/>
      <c r="Q154" s="106"/>
      <c r="R154" s="106"/>
    </row>
    <row r="155" spans="1:18">
      <c r="A155" s="91"/>
      <c r="B155" s="92"/>
      <c r="C155" s="93"/>
      <c r="D155" s="94"/>
      <c r="E155" s="95"/>
      <c r="F155" s="96"/>
      <c r="G155" s="94"/>
      <c r="H155" s="95"/>
      <c r="I155" s="96"/>
      <c r="J155" s="94"/>
      <c r="K155" s="95"/>
      <c r="L155" s="96"/>
      <c r="M155" s="106"/>
      <c r="N155" s="106"/>
      <c r="O155" s="106"/>
      <c r="P155" s="106"/>
      <c r="Q155" s="106"/>
      <c r="R155" s="106"/>
    </row>
    <row r="156" spans="1:18">
      <c r="A156" s="91"/>
      <c r="B156" s="92"/>
      <c r="C156" s="93"/>
      <c r="D156" s="94"/>
      <c r="E156" s="95"/>
      <c r="F156" s="96"/>
      <c r="G156" s="94"/>
      <c r="H156" s="95"/>
      <c r="I156" s="96"/>
      <c r="J156" s="94"/>
      <c r="K156" s="95"/>
      <c r="L156" s="96"/>
      <c r="M156" s="106"/>
      <c r="N156" s="106"/>
      <c r="O156" s="106"/>
      <c r="P156" s="106"/>
      <c r="Q156" s="106"/>
      <c r="R156" s="106"/>
    </row>
    <row r="157" spans="1:18">
      <c r="A157" s="91"/>
      <c r="B157" s="92"/>
      <c r="C157" s="93"/>
      <c r="D157" s="94"/>
      <c r="E157" s="95"/>
      <c r="F157" s="96"/>
      <c r="G157" s="94"/>
      <c r="H157" s="95"/>
      <c r="I157" s="96"/>
      <c r="J157" s="94"/>
      <c r="K157" s="95"/>
      <c r="L157" s="96"/>
      <c r="M157" s="106"/>
      <c r="N157" s="106"/>
      <c r="O157" s="106"/>
      <c r="P157" s="106"/>
      <c r="Q157" s="106"/>
      <c r="R157" s="106"/>
    </row>
    <row r="158" spans="1:18">
      <c r="A158" s="91"/>
      <c r="B158" s="92"/>
      <c r="C158" s="93"/>
      <c r="D158" s="94"/>
      <c r="E158" s="95"/>
      <c r="F158" s="96"/>
      <c r="G158" s="94"/>
      <c r="H158" s="95"/>
      <c r="I158" s="96"/>
      <c r="J158" s="94"/>
      <c r="K158" s="95"/>
      <c r="L158" s="96"/>
      <c r="M158" s="106"/>
      <c r="N158" s="106"/>
      <c r="O158" s="106"/>
      <c r="P158" s="106"/>
      <c r="Q158" s="106"/>
      <c r="R158" s="106"/>
    </row>
    <row r="159" spans="1:18">
      <c r="A159" s="91"/>
      <c r="B159" s="92"/>
      <c r="C159" s="93"/>
      <c r="D159" s="94"/>
      <c r="E159" s="95"/>
      <c r="F159" s="96"/>
      <c r="G159" s="94"/>
      <c r="H159" s="95"/>
      <c r="I159" s="96"/>
      <c r="J159" s="94"/>
      <c r="K159" s="95"/>
      <c r="L159" s="96"/>
      <c r="M159" s="106"/>
      <c r="N159" s="106"/>
      <c r="O159" s="106"/>
      <c r="P159" s="106"/>
      <c r="Q159" s="106"/>
      <c r="R159" s="106"/>
    </row>
    <row r="160" spans="1:18">
      <c r="A160" s="91"/>
      <c r="B160" s="92"/>
      <c r="C160" s="93"/>
      <c r="D160" s="94"/>
      <c r="E160" s="95"/>
      <c r="F160" s="96"/>
      <c r="G160" s="94"/>
      <c r="H160" s="95"/>
      <c r="I160" s="96"/>
      <c r="J160" s="94"/>
      <c r="K160" s="95"/>
      <c r="L160" s="96"/>
      <c r="M160" s="106"/>
      <c r="N160" s="106"/>
      <c r="O160" s="106"/>
      <c r="P160" s="106"/>
      <c r="Q160" s="106"/>
      <c r="R160" s="106"/>
    </row>
    <row r="161" spans="1:18">
      <c r="A161" s="91"/>
      <c r="B161" s="92"/>
      <c r="C161" s="93"/>
      <c r="D161" s="94"/>
      <c r="E161" s="95"/>
      <c r="F161" s="96"/>
      <c r="G161" s="94"/>
      <c r="H161" s="95"/>
      <c r="I161" s="96"/>
      <c r="J161" s="94"/>
      <c r="K161" s="95"/>
      <c r="L161" s="96"/>
      <c r="M161" s="106"/>
      <c r="N161" s="106"/>
      <c r="O161" s="106"/>
      <c r="P161" s="106"/>
      <c r="Q161" s="106"/>
      <c r="R161" s="106"/>
    </row>
    <row r="162" spans="1:18">
      <c r="A162" s="91"/>
      <c r="B162" s="92"/>
      <c r="C162" s="93"/>
      <c r="D162" s="94"/>
      <c r="E162" s="95"/>
      <c r="F162" s="96"/>
      <c r="G162" s="94"/>
      <c r="H162" s="95"/>
      <c r="I162" s="96"/>
      <c r="J162" s="94"/>
      <c r="K162" s="95"/>
      <c r="L162" s="96"/>
      <c r="M162" s="106"/>
      <c r="N162" s="106"/>
      <c r="O162" s="106"/>
      <c r="P162" s="106"/>
      <c r="Q162" s="106"/>
      <c r="R162" s="106"/>
    </row>
    <row r="163" spans="1:18">
      <c r="A163" s="91"/>
      <c r="B163" s="92"/>
      <c r="C163" s="93"/>
      <c r="D163" s="94"/>
      <c r="E163" s="95"/>
      <c r="F163" s="96"/>
      <c r="G163" s="94"/>
      <c r="H163" s="95"/>
      <c r="I163" s="96"/>
      <c r="J163" s="94"/>
      <c r="K163" s="95"/>
      <c r="L163" s="96"/>
      <c r="M163" s="106"/>
      <c r="N163" s="106"/>
      <c r="O163" s="106"/>
      <c r="P163" s="106"/>
      <c r="Q163" s="106"/>
      <c r="R163" s="106"/>
    </row>
    <row r="164" spans="1:18">
      <c r="A164" s="91"/>
      <c r="B164" s="92"/>
      <c r="C164" s="93"/>
      <c r="D164" s="94"/>
      <c r="E164" s="95"/>
      <c r="F164" s="96"/>
      <c r="G164" s="94"/>
      <c r="H164" s="95"/>
      <c r="I164" s="96"/>
      <c r="J164" s="94"/>
      <c r="K164" s="95"/>
      <c r="L164" s="96"/>
      <c r="M164" s="106"/>
      <c r="N164" s="106"/>
      <c r="O164" s="106"/>
      <c r="P164" s="106"/>
      <c r="Q164" s="106"/>
      <c r="R164" s="106"/>
    </row>
    <row r="165" spans="1:18">
      <c r="A165" s="91"/>
      <c r="B165" s="92"/>
      <c r="C165" s="93"/>
      <c r="D165" s="94"/>
      <c r="E165" s="95"/>
      <c r="F165" s="96"/>
      <c r="G165" s="94"/>
      <c r="H165" s="95"/>
      <c r="I165" s="96"/>
      <c r="J165" s="94"/>
      <c r="K165" s="95"/>
      <c r="L165" s="96"/>
      <c r="M165" s="106"/>
      <c r="N165" s="106"/>
      <c r="O165" s="106"/>
      <c r="P165" s="106"/>
      <c r="Q165" s="106"/>
      <c r="R165" s="106"/>
    </row>
    <row r="166" spans="1:18">
      <c r="A166" s="91"/>
      <c r="B166" s="92"/>
      <c r="C166" s="93"/>
      <c r="D166" s="94"/>
      <c r="E166" s="95"/>
      <c r="F166" s="96"/>
      <c r="G166" s="94"/>
      <c r="H166" s="95"/>
      <c r="I166" s="96"/>
      <c r="J166" s="94"/>
      <c r="K166" s="95"/>
      <c r="L166" s="96"/>
      <c r="M166" s="106"/>
      <c r="N166" s="106"/>
      <c r="O166" s="106"/>
      <c r="P166" s="106"/>
      <c r="Q166" s="106"/>
      <c r="R166" s="106"/>
    </row>
    <row r="167" spans="1:18">
      <c r="A167" s="91"/>
      <c r="B167" s="92"/>
      <c r="C167" s="93"/>
      <c r="D167" s="94"/>
      <c r="E167" s="95"/>
      <c r="F167" s="96"/>
      <c r="G167" s="94"/>
      <c r="H167" s="95"/>
      <c r="I167" s="96"/>
      <c r="J167" s="94"/>
      <c r="K167" s="95"/>
      <c r="L167" s="96"/>
      <c r="M167" s="106"/>
      <c r="N167" s="106"/>
      <c r="O167" s="106"/>
      <c r="P167" s="106"/>
      <c r="Q167" s="106"/>
      <c r="R167" s="106"/>
    </row>
    <row r="168" spans="1:18">
      <c r="A168" s="91"/>
      <c r="B168" s="92"/>
      <c r="C168" s="93"/>
      <c r="D168" s="94"/>
      <c r="E168" s="95"/>
      <c r="F168" s="96"/>
      <c r="G168" s="94"/>
      <c r="H168" s="95"/>
      <c r="I168" s="96"/>
      <c r="J168" s="94"/>
      <c r="K168" s="95"/>
      <c r="L168" s="96"/>
      <c r="M168" s="106"/>
      <c r="N168" s="106"/>
      <c r="O168" s="106"/>
      <c r="P168" s="106"/>
      <c r="Q168" s="106"/>
      <c r="R168" s="106"/>
    </row>
    <row r="169" spans="1:18">
      <c r="A169" s="91"/>
      <c r="B169" s="92"/>
      <c r="C169" s="93"/>
      <c r="D169" s="94"/>
      <c r="E169" s="95"/>
      <c r="F169" s="96"/>
      <c r="G169" s="94"/>
      <c r="H169" s="95"/>
      <c r="I169" s="96"/>
      <c r="J169" s="94"/>
      <c r="K169" s="95"/>
      <c r="L169" s="96"/>
      <c r="M169" s="106"/>
      <c r="N169" s="106"/>
      <c r="O169" s="106"/>
      <c r="P169" s="106"/>
      <c r="Q169" s="106"/>
      <c r="R169" s="106"/>
    </row>
    <row r="170" spans="1:18">
      <c r="A170" s="91"/>
      <c r="B170" s="92"/>
      <c r="C170" s="93"/>
      <c r="D170" s="94"/>
      <c r="E170" s="95"/>
      <c r="F170" s="96"/>
      <c r="G170" s="94"/>
      <c r="H170" s="95"/>
      <c r="I170" s="96"/>
      <c r="J170" s="94"/>
      <c r="K170" s="95"/>
      <c r="L170" s="96"/>
      <c r="M170" s="106"/>
      <c r="N170" s="106"/>
      <c r="O170" s="106"/>
      <c r="P170" s="106"/>
      <c r="Q170" s="106"/>
      <c r="R170" s="106"/>
    </row>
    <row r="171" spans="1:18">
      <c r="A171" s="91"/>
      <c r="B171" s="92"/>
      <c r="C171" s="93"/>
      <c r="D171" s="94"/>
      <c r="E171" s="95"/>
      <c r="F171" s="96"/>
      <c r="G171" s="94"/>
      <c r="H171" s="95"/>
      <c r="I171" s="96"/>
      <c r="J171" s="94"/>
      <c r="K171" s="95"/>
      <c r="L171" s="96"/>
      <c r="M171" s="106"/>
      <c r="N171" s="106"/>
      <c r="O171" s="106"/>
      <c r="P171" s="106"/>
      <c r="Q171" s="106"/>
      <c r="R171" s="106"/>
    </row>
    <row r="172" spans="1:18">
      <c r="A172" s="91"/>
      <c r="B172" s="92"/>
      <c r="C172" s="93"/>
      <c r="D172" s="94"/>
      <c r="E172" s="95"/>
      <c r="F172" s="96"/>
      <c r="G172" s="94"/>
      <c r="H172" s="95"/>
      <c r="I172" s="96"/>
      <c r="J172" s="94"/>
      <c r="K172" s="95"/>
      <c r="L172" s="96"/>
      <c r="M172" s="106"/>
      <c r="N172" s="106"/>
      <c r="O172" s="106"/>
      <c r="P172" s="106"/>
      <c r="Q172" s="106"/>
      <c r="R172" s="106"/>
    </row>
    <row r="173" spans="1:18">
      <c r="A173" s="91"/>
      <c r="B173" s="92"/>
      <c r="C173" s="93"/>
      <c r="D173" s="94"/>
      <c r="E173" s="95"/>
      <c r="F173" s="96"/>
      <c r="G173" s="94"/>
      <c r="H173" s="95"/>
      <c r="I173" s="96"/>
      <c r="J173" s="94"/>
      <c r="K173" s="95"/>
      <c r="L173" s="96"/>
      <c r="M173" s="106"/>
      <c r="N173" s="106"/>
      <c r="O173" s="106"/>
      <c r="P173" s="106"/>
      <c r="Q173" s="106"/>
      <c r="R173" s="106"/>
    </row>
    <row r="174" spans="1:18">
      <c r="A174" s="91"/>
      <c r="B174" s="92"/>
      <c r="C174" s="93"/>
      <c r="D174" s="94"/>
      <c r="E174" s="95"/>
      <c r="F174" s="96"/>
      <c r="G174" s="94"/>
      <c r="H174" s="95"/>
      <c r="I174" s="96"/>
      <c r="J174" s="94"/>
      <c r="K174" s="95"/>
      <c r="L174" s="96"/>
      <c r="M174" s="106"/>
      <c r="N174" s="106"/>
      <c r="O174" s="106"/>
      <c r="P174" s="106"/>
      <c r="Q174" s="106"/>
      <c r="R174" s="106"/>
    </row>
    <row r="175" spans="1:18">
      <c r="A175" s="91"/>
      <c r="B175" s="92"/>
      <c r="C175" s="93"/>
      <c r="D175" s="94"/>
      <c r="E175" s="95"/>
      <c r="F175" s="96"/>
      <c r="G175" s="94"/>
      <c r="H175" s="95"/>
      <c r="I175" s="96"/>
      <c r="J175" s="94"/>
      <c r="K175" s="95"/>
      <c r="L175" s="96"/>
      <c r="M175" s="106"/>
      <c r="N175" s="106"/>
      <c r="O175" s="106"/>
      <c r="P175" s="106"/>
      <c r="Q175" s="106"/>
      <c r="R175" s="106"/>
    </row>
    <row r="176" spans="1:18">
      <c r="A176" s="91"/>
      <c r="B176" s="92"/>
      <c r="C176" s="93"/>
      <c r="D176" s="94"/>
      <c r="E176" s="95"/>
      <c r="F176" s="96"/>
      <c r="G176" s="94"/>
      <c r="H176" s="95"/>
      <c r="I176" s="96"/>
      <c r="J176" s="94"/>
      <c r="K176" s="95"/>
      <c r="L176" s="96"/>
      <c r="M176" s="106"/>
      <c r="N176" s="106"/>
      <c r="O176" s="106"/>
      <c r="P176" s="106"/>
      <c r="Q176" s="106"/>
      <c r="R176" s="106"/>
    </row>
    <row r="177" spans="1:18">
      <c r="A177" s="91"/>
      <c r="B177" s="92"/>
      <c r="C177" s="93"/>
      <c r="D177" s="94"/>
      <c r="E177" s="95"/>
      <c r="F177" s="96"/>
      <c r="G177" s="94"/>
      <c r="H177" s="95"/>
      <c r="I177" s="96"/>
      <c r="J177" s="94"/>
      <c r="K177" s="95"/>
      <c r="L177" s="96"/>
      <c r="M177" s="106"/>
      <c r="N177" s="106"/>
      <c r="O177" s="106"/>
      <c r="P177" s="106"/>
      <c r="Q177" s="106"/>
      <c r="R177" s="106"/>
    </row>
    <row r="178" spans="1:18">
      <c r="A178" s="91"/>
      <c r="B178" s="92"/>
      <c r="C178" s="93"/>
      <c r="D178" s="94"/>
      <c r="E178" s="95"/>
      <c r="F178" s="96"/>
      <c r="G178" s="94"/>
      <c r="H178" s="95"/>
      <c r="I178" s="96"/>
      <c r="J178" s="94"/>
      <c r="K178" s="95"/>
      <c r="L178" s="96"/>
      <c r="M178" s="106"/>
      <c r="N178" s="106"/>
      <c r="O178" s="106"/>
      <c r="P178" s="106"/>
      <c r="Q178" s="106"/>
      <c r="R178" s="106"/>
    </row>
    <row r="179" spans="1:18">
      <c r="A179" s="91"/>
      <c r="B179" s="92"/>
      <c r="C179" s="93"/>
      <c r="D179" s="94"/>
      <c r="E179" s="95"/>
      <c r="F179" s="96"/>
      <c r="G179" s="94"/>
      <c r="H179" s="95"/>
      <c r="I179" s="96"/>
      <c r="J179" s="94"/>
      <c r="K179" s="95"/>
      <c r="L179" s="96"/>
      <c r="M179" s="106"/>
      <c r="N179" s="106"/>
      <c r="O179" s="106"/>
      <c r="P179" s="106"/>
      <c r="Q179" s="106"/>
      <c r="R179" s="106"/>
    </row>
    <row r="180" spans="1:18">
      <c r="A180" s="91"/>
      <c r="B180" s="92"/>
      <c r="C180" s="93"/>
      <c r="D180" s="94"/>
      <c r="E180" s="95"/>
      <c r="F180" s="96"/>
      <c r="G180" s="94"/>
      <c r="H180" s="95"/>
      <c r="I180" s="96"/>
      <c r="J180" s="94"/>
      <c r="K180" s="95"/>
      <c r="L180" s="96"/>
      <c r="M180" s="106"/>
      <c r="N180" s="106"/>
      <c r="O180" s="106"/>
      <c r="P180" s="106"/>
      <c r="Q180" s="106"/>
      <c r="R180" s="106"/>
    </row>
    <row r="181" spans="1:18">
      <c r="A181" s="91"/>
      <c r="B181" s="92"/>
      <c r="C181" s="93"/>
      <c r="D181" s="94"/>
      <c r="E181" s="95"/>
      <c r="F181" s="96"/>
      <c r="G181" s="94"/>
      <c r="H181" s="95"/>
      <c r="I181" s="96"/>
      <c r="J181" s="94"/>
      <c r="K181" s="95"/>
      <c r="L181" s="96"/>
      <c r="M181" s="106"/>
      <c r="N181" s="106"/>
      <c r="O181" s="106"/>
      <c r="P181" s="106"/>
      <c r="Q181" s="106"/>
      <c r="R181" s="106"/>
    </row>
    <row r="182" spans="1:18">
      <c r="A182" s="91"/>
      <c r="B182" s="92"/>
      <c r="C182" s="93"/>
      <c r="D182" s="94"/>
      <c r="E182" s="95"/>
      <c r="F182" s="96"/>
      <c r="G182" s="94"/>
      <c r="H182" s="95"/>
      <c r="I182" s="96"/>
      <c r="J182" s="94"/>
      <c r="K182" s="95"/>
      <c r="L182" s="96"/>
      <c r="M182" s="106"/>
      <c r="N182" s="106"/>
      <c r="O182" s="106"/>
      <c r="P182" s="106"/>
      <c r="Q182" s="106"/>
      <c r="R182" s="106"/>
    </row>
    <row r="183" spans="1:18">
      <c r="A183" s="91"/>
      <c r="B183" s="92"/>
      <c r="C183" s="93"/>
      <c r="D183" s="94"/>
      <c r="E183" s="95"/>
      <c r="F183" s="96"/>
      <c r="G183" s="94"/>
      <c r="H183" s="95"/>
      <c r="I183" s="96"/>
      <c r="J183" s="94"/>
      <c r="K183" s="95"/>
      <c r="L183" s="96"/>
      <c r="M183" s="106"/>
      <c r="N183" s="106"/>
      <c r="O183" s="106"/>
      <c r="P183" s="106"/>
      <c r="Q183" s="106"/>
      <c r="R183" s="106"/>
    </row>
    <row r="184" spans="1:18">
      <c r="A184" s="91"/>
      <c r="B184" s="92"/>
      <c r="C184" s="93"/>
      <c r="D184" s="94"/>
      <c r="E184" s="95"/>
      <c r="F184" s="96"/>
      <c r="G184" s="94"/>
      <c r="H184" s="95"/>
      <c r="I184" s="96"/>
      <c r="J184" s="94"/>
      <c r="K184" s="95"/>
      <c r="L184" s="96"/>
      <c r="M184" s="106"/>
      <c r="N184" s="106"/>
      <c r="O184" s="106"/>
      <c r="P184" s="106"/>
      <c r="Q184" s="106"/>
      <c r="R184" s="106"/>
    </row>
    <row r="185" spans="1:18">
      <c r="A185" s="91"/>
      <c r="B185" s="92"/>
      <c r="C185" s="93"/>
      <c r="D185" s="94"/>
      <c r="E185" s="95"/>
      <c r="F185" s="96"/>
      <c r="G185" s="94"/>
      <c r="H185" s="95"/>
      <c r="I185" s="96"/>
      <c r="J185" s="94"/>
      <c r="K185" s="95"/>
      <c r="L185" s="96"/>
      <c r="M185" s="106"/>
      <c r="N185" s="106"/>
      <c r="O185" s="106"/>
      <c r="P185" s="106"/>
      <c r="Q185" s="106"/>
      <c r="R185" s="106"/>
    </row>
    <row r="186" spans="1:18">
      <c r="A186" s="91"/>
      <c r="B186" s="92"/>
      <c r="C186" s="93"/>
      <c r="D186" s="94"/>
      <c r="E186" s="95"/>
      <c r="F186" s="96"/>
      <c r="G186" s="94"/>
      <c r="H186" s="95"/>
      <c r="I186" s="96"/>
      <c r="J186" s="94"/>
      <c r="K186" s="95"/>
      <c r="L186" s="96"/>
      <c r="M186" s="106"/>
      <c r="N186" s="106"/>
      <c r="O186" s="106"/>
      <c r="P186" s="106"/>
      <c r="Q186" s="106"/>
      <c r="R186" s="106"/>
    </row>
    <row r="187" spans="1:18">
      <c r="A187" s="91"/>
      <c r="B187" s="92"/>
      <c r="C187" s="93"/>
      <c r="D187" s="94"/>
      <c r="E187" s="95"/>
      <c r="F187" s="96"/>
      <c r="G187" s="94"/>
      <c r="H187" s="95"/>
      <c r="I187" s="96"/>
      <c r="J187" s="94"/>
      <c r="K187" s="95"/>
      <c r="L187" s="96"/>
      <c r="M187" s="106"/>
      <c r="N187" s="106"/>
      <c r="O187" s="106"/>
      <c r="P187" s="106"/>
      <c r="Q187" s="106"/>
      <c r="R187" s="106"/>
    </row>
    <row r="188" spans="1:18">
      <c r="A188" s="91"/>
      <c r="B188" s="92"/>
      <c r="C188" s="93"/>
      <c r="D188" s="94"/>
      <c r="E188" s="95"/>
      <c r="F188" s="96"/>
      <c r="G188" s="94"/>
      <c r="H188" s="95"/>
      <c r="I188" s="96"/>
      <c r="J188" s="94"/>
      <c r="K188" s="95"/>
      <c r="L188" s="96"/>
      <c r="M188" s="106"/>
      <c r="N188" s="106"/>
      <c r="O188" s="106"/>
      <c r="P188" s="106"/>
      <c r="Q188" s="106"/>
      <c r="R188" s="106"/>
    </row>
    <row r="189" spans="1:18">
      <c r="A189" s="91"/>
      <c r="B189" s="92"/>
      <c r="C189" s="93"/>
      <c r="D189" s="94"/>
      <c r="E189" s="95"/>
      <c r="F189" s="96"/>
      <c r="G189" s="94"/>
      <c r="H189" s="95"/>
      <c r="I189" s="96"/>
      <c r="J189" s="94"/>
      <c r="K189" s="95"/>
      <c r="L189" s="96"/>
      <c r="M189" s="106"/>
      <c r="N189" s="106"/>
      <c r="O189" s="106"/>
      <c r="P189" s="106"/>
      <c r="Q189" s="106"/>
      <c r="R189" s="106"/>
    </row>
    <row r="190" spans="1:18">
      <c r="A190" s="91"/>
      <c r="B190" s="92"/>
      <c r="C190" s="93"/>
      <c r="D190" s="94"/>
      <c r="E190" s="95"/>
      <c r="F190" s="96"/>
      <c r="G190" s="94"/>
      <c r="H190" s="95"/>
      <c r="I190" s="96"/>
      <c r="J190" s="94"/>
      <c r="K190" s="95"/>
      <c r="L190" s="96"/>
      <c r="M190" s="106"/>
      <c r="N190" s="106"/>
      <c r="O190" s="106"/>
      <c r="P190" s="106"/>
      <c r="Q190" s="106"/>
      <c r="R190" s="106"/>
    </row>
    <row r="191" spans="1:18">
      <c r="A191" s="91"/>
      <c r="B191" s="92"/>
      <c r="C191" s="93"/>
      <c r="D191" s="94"/>
      <c r="E191" s="95"/>
      <c r="F191" s="96"/>
      <c r="G191" s="94"/>
      <c r="H191" s="95"/>
      <c r="I191" s="96"/>
      <c r="J191" s="94"/>
      <c r="K191" s="95"/>
      <c r="L191" s="96"/>
      <c r="M191" s="106"/>
      <c r="N191" s="106"/>
      <c r="O191" s="106"/>
      <c r="P191" s="106"/>
      <c r="Q191" s="106"/>
      <c r="R191" s="106"/>
    </row>
    <row r="192" spans="1:18">
      <c r="A192" s="91"/>
      <c r="B192" s="92"/>
      <c r="C192" s="93"/>
      <c r="D192" s="94"/>
      <c r="E192" s="95"/>
      <c r="F192" s="96"/>
      <c r="G192" s="94"/>
      <c r="H192" s="95"/>
      <c r="I192" s="96"/>
      <c r="J192" s="94"/>
      <c r="K192" s="95"/>
      <c r="L192" s="96"/>
      <c r="M192" s="106"/>
      <c r="N192" s="106"/>
      <c r="O192" s="106"/>
      <c r="P192" s="106"/>
      <c r="Q192" s="106"/>
      <c r="R192" s="106"/>
    </row>
    <row r="193" spans="1:18">
      <c r="A193" s="91"/>
      <c r="B193" s="92"/>
      <c r="C193" s="93"/>
      <c r="D193" s="94"/>
      <c r="E193" s="95"/>
      <c r="F193" s="96"/>
      <c r="G193" s="94"/>
      <c r="H193" s="95"/>
      <c r="I193" s="96"/>
      <c r="J193" s="94"/>
      <c r="K193" s="95"/>
      <c r="L193" s="96"/>
      <c r="M193" s="106"/>
      <c r="N193" s="106"/>
      <c r="O193" s="106"/>
      <c r="P193" s="106"/>
      <c r="Q193" s="106"/>
      <c r="R193" s="106"/>
    </row>
    <row r="194" spans="1:18">
      <c r="A194" s="91"/>
      <c r="B194" s="92"/>
      <c r="C194" s="93"/>
      <c r="D194" s="94"/>
      <c r="E194" s="95"/>
      <c r="F194" s="96"/>
      <c r="G194" s="94"/>
      <c r="H194" s="95"/>
      <c r="I194" s="96"/>
      <c r="J194" s="94"/>
      <c r="K194" s="95"/>
      <c r="L194" s="96"/>
      <c r="M194" s="106"/>
      <c r="N194" s="106"/>
      <c r="O194" s="106"/>
      <c r="P194" s="106"/>
      <c r="Q194" s="106"/>
      <c r="R194" s="106"/>
    </row>
    <row r="195" spans="1:18">
      <c r="A195" s="91"/>
      <c r="B195" s="92"/>
      <c r="C195" s="93"/>
      <c r="D195" s="94"/>
      <c r="E195" s="95"/>
      <c r="F195" s="96"/>
      <c r="G195" s="94"/>
      <c r="H195" s="95"/>
      <c r="I195" s="96"/>
      <c r="J195" s="94"/>
      <c r="K195" s="95"/>
      <c r="L195" s="96"/>
      <c r="M195" s="106"/>
      <c r="N195" s="106"/>
      <c r="O195" s="106"/>
      <c r="P195" s="106"/>
      <c r="Q195" s="106"/>
      <c r="R195" s="106"/>
    </row>
    <row r="196" spans="1:18">
      <c r="A196" s="91"/>
      <c r="B196" s="92"/>
      <c r="C196" s="93"/>
      <c r="D196" s="94"/>
      <c r="E196" s="95"/>
      <c r="F196" s="96"/>
      <c r="G196" s="94"/>
      <c r="H196" s="95"/>
      <c r="I196" s="96"/>
      <c r="J196" s="94"/>
      <c r="K196" s="95"/>
      <c r="L196" s="96"/>
      <c r="M196" s="106"/>
      <c r="N196" s="106"/>
      <c r="O196" s="106"/>
      <c r="P196" s="106"/>
      <c r="Q196" s="106"/>
      <c r="R196" s="106"/>
    </row>
    <row r="197" spans="1:18">
      <c r="A197" s="91"/>
      <c r="B197" s="92"/>
      <c r="C197" s="93"/>
      <c r="D197" s="94"/>
      <c r="E197" s="95"/>
      <c r="F197" s="96"/>
      <c r="G197" s="94"/>
      <c r="H197" s="95"/>
      <c r="I197" s="96"/>
      <c r="J197" s="94"/>
      <c r="K197" s="95"/>
      <c r="L197" s="96"/>
      <c r="M197" s="106"/>
      <c r="N197" s="106"/>
      <c r="O197" s="106"/>
      <c r="P197" s="106"/>
      <c r="Q197" s="106"/>
      <c r="R197" s="106"/>
    </row>
    <row r="198" spans="1:18">
      <c r="A198" s="91"/>
      <c r="B198" s="92"/>
      <c r="C198" s="93"/>
      <c r="D198" s="94"/>
      <c r="E198" s="95"/>
      <c r="F198" s="96"/>
      <c r="G198" s="94"/>
      <c r="H198" s="95"/>
      <c r="I198" s="96"/>
      <c r="J198" s="94"/>
      <c r="K198" s="95"/>
      <c r="L198" s="96"/>
      <c r="M198" s="106"/>
      <c r="N198" s="106"/>
      <c r="O198" s="106"/>
      <c r="P198" s="106"/>
      <c r="Q198" s="106"/>
      <c r="R198" s="106"/>
    </row>
    <row r="199" spans="1:18">
      <c r="A199" s="91"/>
      <c r="B199" s="92"/>
      <c r="C199" s="93"/>
      <c r="D199" s="94"/>
      <c r="E199" s="95"/>
      <c r="F199" s="96"/>
      <c r="G199" s="94"/>
      <c r="H199" s="95"/>
      <c r="I199" s="96"/>
      <c r="J199" s="94"/>
      <c r="K199" s="95"/>
      <c r="L199" s="96"/>
      <c r="M199" s="106"/>
      <c r="N199" s="106"/>
      <c r="O199" s="106"/>
      <c r="P199" s="106"/>
      <c r="Q199" s="106"/>
      <c r="R199" s="106"/>
    </row>
    <row r="200" spans="1:18">
      <c r="A200" s="91"/>
      <c r="B200" s="92"/>
      <c r="C200" s="93"/>
      <c r="D200" s="94"/>
      <c r="E200" s="95"/>
      <c r="F200" s="96"/>
      <c r="G200" s="94"/>
      <c r="H200" s="95"/>
      <c r="I200" s="96"/>
      <c r="J200" s="94"/>
      <c r="K200" s="95"/>
      <c r="L200" s="96"/>
      <c r="M200" s="106"/>
      <c r="N200" s="106"/>
      <c r="O200" s="106"/>
      <c r="P200" s="106"/>
      <c r="Q200" s="106"/>
      <c r="R200" s="106"/>
    </row>
    <row r="201" spans="1:18">
      <c r="A201" s="91"/>
      <c r="B201" s="92"/>
      <c r="C201" s="93"/>
      <c r="D201" s="94"/>
      <c r="E201" s="95"/>
      <c r="F201" s="96"/>
      <c r="G201" s="94"/>
      <c r="H201" s="95"/>
      <c r="I201" s="96"/>
      <c r="J201" s="94"/>
      <c r="K201" s="95"/>
      <c r="L201" s="96"/>
      <c r="M201" s="106"/>
      <c r="N201" s="106"/>
      <c r="O201" s="106"/>
      <c r="P201" s="106"/>
      <c r="Q201" s="106"/>
      <c r="R201" s="106"/>
    </row>
    <row r="202" spans="1:18">
      <c r="A202" s="91"/>
      <c r="B202" s="92"/>
      <c r="C202" s="93"/>
      <c r="D202" s="94"/>
      <c r="E202" s="95"/>
      <c r="F202" s="96"/>
      <c r="G202" s="94"/>
      <c r="H202" s="95"/>
      <c r="I202" s="96"/>
      <c r="J202" s="94"/>
      <c r="K202" s="95"/>
      <c r="L202" s="96"/>
      <c r="M202" s="106"/>
      <c r="N202" s="106"/>
      <c r="O202" s="106"/>
      <c r="P202" s="106"/>
      <c r="Q202" s="106"/>
      <c r="R202" s="106"/>
    </row>
    <row r="203" spans="1:18">
      <c r="A203" s="91"/>
      <c r="B203" s="92"/>
      <c r="C203" s="93"/>
      <c r="D203" s="94"/>
      <c r="E203" s="95"/>
      <c r="F203" s="96"/>
      <c r="G203" s="94"/>
      <c r="H203" s="95"/>
      <c r="I203" s="96"/>
      <c r="J203" s="94"/>
      <c r="K203" s="95"/>
      <c r="L203" s="96"/>
      <c r="M203" s="106"/>
      <c r="N203" s="106"/>
      <c r="O203" s="106"/>
      <c r="P203" s="106"/>
      <c r="Q203" s="106"/>
      <c r="R203" s="106"/>
    </row>
    <row r="204" spans="1:18">
      <c r="A204" s="91"/>
      <c r="B204" s="92"/>
      <c r="C204" s="93"/>
      <c r="D204" s="94"/>
      <c r="E204" s="95"/>
      <c r="F204" s="96"/>
      <c r="G204" s="94"/>
      <c r="H204" s="95"/>
      <c r="I204" s="96"/>
      <c r="J204" s="94"/>
      <c r="K204" s="95"/>
      <c r="L204" s="96"/>
      <c r="M204" s="106"/>
      <c r="N204" s="106"/>
      <c r="O204" s="106"/>
      <c r="P204" s="106"/>
      <c r="Q204" s="106"/>
      <c r="R204" s="106"/>
    </row>
    <row r="205" spans="1:18">
      <c r="A205" s="91"/>
      <c r="B205" s="92"/>
      <c r="C205" s="93"/>
      <c r="D205" s="94"/>
      <c r="E205" s="95"/>
      <c r="F205" s="96"/>
      <c r="G205" s="94"/>
      <c r="H205" s="95"/>
      <c r="I205" s="96"/>
      <c r="J205" s="94"/>
      <c r="K205" s="95"/>
      <c r="L205" s="96"/>
      <c r="M205" s="106"/>
      <c r="N205" s="106"/>
      <c r="O205" s="106"/>
      <c r="P205" s="106"/>
      <c r="Q205" s="106"/>
      <c r="R205" s="106"/>
    </row>
    <row r="206" spans="1:18">
      <c r="A206" s="91"/>
      <c r="B206" s="92"/>
      <c r="C206" s="93"/>
      <c r="D206" s="94"/>
      <c r="E206" s="95"/>
      <c r="F206" s="96"/>
      <c r="G206" s="94"/>
      <c r="H206" s="95"/>
      <c r="I206" s="96"/>
      <c r="J206" s="94"/>
      <c r="K206" s="95"/>
      <c r="L206" s="96"/>
      <c r="M206" s="106"/>
      <c r="N206" s="106"/>
      <c r="O206" s="106"/>
      <c r="P206" s="106"/>
      <c r="Q206" s="106"/>
      <c r="R206" s="106"/>
    </row>
    <row r="207" spans="1:18">
      <c r="A207" s="91"/>
      <c r="B207" s="92"/>
      <c r="C207" s="93"/>
      <c r="D207" s="94"/>
      <c r="E207" s="95"/>
      <c r="F207" s="96"/>
      <c r="G207" s="94"/>
      <c r="H207" s="95"/>
      <c r="I207" s="96"/>
      <c r="J207" s="94"/>
      <c r="K207" s="95"/>
      <c r="L207" s="96"/>
      <c r="M207" s="106"/>
      <c r="N207" s="106"/>
      <c r="O207" s="106"/>
      <c r="P207" s="106"/>
      <c r="Q207" s="106"/>
      <c r="R207" s="106"/>
    </row>
    <row r="208" spans="1:18">
      <c r="A208" s="91"/>
      <c r="B208" s="92"/>
      <c r="C208" s="93"/>
      <c r="D208" s="94"/>
      <c r="E208" s="95"/>
      <c r="F208" s="96"/>
      <c r="G208" s="94"/>
      <c r="H208" s="95"/>
      <c r="I208" s="96"/>
      <c r="J208" s="94"/>
      <c r="K208" s="95"/>
      <c r="L208" s="96"/>
      <c r="M208" s="106"/>
      <c r="N208" s="106"/>
      <c r="O208" s="106"/>
      <c r="P208" s="106"/>
      <c r="Q208" s="106"/>
      <c r="R208" s="106"/>
    </row>
    <row r="209" spans="1:18">
      <c r="A209" s="91"/>
      <c r="B209" s="92"/>
      <c r="C209" s="93"/>
      <c r="D209" s="94"/>
      <c r="E209" s="95"/>
      <c r="F209" s="96"/>
      <c r="G209" s="94"/>
      <c r="H209" s="95"/>
      <c r="I209" s="96"/>
      <c r="J209" s="94"/>
      <c r="K209" s="95"/>
      <c r="L209" s="96"/>
      <c r="M209" s="106"/>
      <c r="N209" s="106"/>
      <c r="O209" s="106"/>
      <c r="P209" s="106"/>
      <c r="Q209" s="106"/>
      <c r="R209" s="106"/>
    </row>
    <row r="210" spans="1:18">
      <c r="A210" s="91"/>
      <c r="B210" s="92"/>
      <c r="C210" s="93"/>
      <c r="D210" s="94"/>
      <c r="E210" s="95"/>
      <c r="F210" s="96"/>
      <c r="G210" s="94"/>
      <c r="H210" s="95"/>
      <c r="I210" s="96"/>
      <c r="J210" s="94"/>
      <c r="K210" s="95"/>
      <c r="L210" s="96"/>
      <c r="M210" s="106"/>
      <c r="N210" s="106"/>
      <c r="O210" s="106"/>
      <c r="P210" s="106"/>
      <c r="Q210" s="106"/>
      <c r="R210" s="106"/>
    </row>
    <row r="211" spans="1:18">
      <c r="A211" s="91"/>
      <c r="B211" s="92"/>
      <c r="C211" s="93"/>
      <c r="D211" s="94"/>
      <c r="E211" s="95"/>
      <c r="F211" s="96"/>
      <c r="G211" s="94"/>
      <c r="H211" s="95"/>
      <c r="I211" s="96"/>
      <c r="J211" s="94"/>
      <c r="K211" s="95"/>
      <c r="L211" s="96"/>
      <c r="M211" s="106"/>
      <c r="N211" s="106"/>
      <c r="O211" s="106"/>
      <c r="P211" s="106"/>
      <c r="Q211" s="106"/>
      <c r="R211" s="106"/>
    </row>
    <row r="212" spans="1:18">
      <c r="A212" s="91"/>
      <c r="B212" s="92"/>
      <c r="C212" s="93"/>
      <c r="D212" s="94"/>
      <c r="E212" s="95"/>
      <c r="F212" s="96"/>
      <c r="G212" s="94"/>
      <c r="H212" s="95"/>
      <c r="I212" s="96"/>
      <c r="J212" s="94"/>
      <c r="K212" s="95"/>
      <c r="L212" s="96"/>
      <c r="M212" s="106"/>
      <c r="N212" s="106"/>
      <c r="O212" s="106"/>
      <c r="P212" s="106"/>
      <c r="Q212" s="106"/>
      <c r="R212" s="106"/>
    </row>
    <row r="213" spans="1:18">
      <c r="A213" s="91"/>
      <c r="B213" s="92"/>
      <c r="C213" s="93"/>
      <c r="D213" s="94"/>
      <c r="E213" s="95"/>
      <c r="F213" s="96"/>
      <c r="G213" s="94"/>
      <c r="H213" s="95"/>
      <c r="I213" s="96"/>
      <c r="J213" s="94"/>
      <c r="K213" s="95"/>
      <c r="L213" s="96"/>
      <c r="M213" s="106"/>
      <c r="N213" s="106"/>
      <c r="O213" s="106"/>
      <c r="P213" s="106"/>
      <c r="Q213" s="106"/>
      <c r="R213" s="106"/>
    </row>
    <row r="214" spans="1:18">
      <c r="A214" s="91"/>
      <c r="B214" s="92"/>
      <c r="C214" s="93"/>
      <c r="D214" s="94"/>
      <c r="E214" s="95"/>
      <c r="F214" s="96"/>
      <c r="G214" s="94"/>
      <c r="H214" s="95"/>
      <c r="I214" s="96"/>
      <c r="J214" s="94"/>
      <c r="K214" s="95"/>
      <c r="L214" s="96"/>
      <c r="M214" s="106"/>
      <c r="N214" s="106"/>
      <c r="O214" s="106"/>
      <c r="P214" s="106"/>
      <c r="Q214" s="106"/>
      <c r="R214" s="106"/>
    </row>
    <row r="215" spans="1:18">
      <c r="A215" s="91"/>
      <c r="B215" s="92"/>
      <c r="C215" s="93"/>
      <c r="D215" s="94"/>
      <c r="E215" s="95"/>
      <c r="F215" s="96"/>
      <c r="G215" s="94"/>
      <c r="H215" s="95"/>
      <c r="I215" s="96"/>
      <c r="J215" s="94"/>
      <c r="K215" s="95"/>
      <c r="L215" s="96"/>
      <c r="M215" s="106"/>
      <c r="N215" s="106"/>
      <c r="O215" s="106"/>
      <c r="P215" s="106"/>
      <c r="Q215" s="106"/>
      <c r="R215" s="106"/>
    </row>
    <row r="216" spans="1:18">
      <c r="A216" s="91"/>
      <c r="B216" s="92"/>
      <c r="C216" s="93"/>
      <c r="D216" s="94"/>
      <c r="E216" s="95"/>
      <c r="F216" s="96"/>
      <c r="G216" s="94"/>
      <c r="H216" s="95"/>
      <c r="I216" s="96"/>
      <c r="J216" s="94"/>
      <c r="K216" s="95"/>
      <c r="L216" s="96"/>
      <c r="M216" s="106"/>
      <c r="N216" s="106"/>
      <c r="O216" s="106"/>
      <c r="P216" s="106"/>
      <c r="Q216" s="106"/>
      <c r="R216" s="106"/>
    </row>
    <row r="217" spans="1:18">
      <c r="A217" s="91"/>
      <c r="B217" s="92"/>
      <c r="C217" s="93"/>
      <c r="D217" s="94"/>
      <c r="E217" s="95"/>
      <c r="F217" s="96"/>
      <c r="G217" s="94"/>
      <c r="H217" s="95"/>
      <c r="I217" s="96"/>
      <c r="J217" s="94"/>
      <c r="K217" s="95"/>
      <c r="L217" s="96"/>
      <c r="M217" s="106"/>
      <c r="N217" s="106"/>
      <c r="O217" s="106"/>
      <c r="P217" s="106"/>
      <c r="Q217" s="106"/>
      <c r="R217" s="106"/>
    </row>
    <row r="218" spans="1:18">
      <c r="A218" s="91"/>
      <c r="B218" s="92"/>
      <c r="C218" s="93"/>
      <c r="D218" s="94"/>
      <c r="E218" s="95"/>
      <c r="F218" s="96"/>
      <c r="G218" s="94"/>
      <c r="H218" s="95"/>
      <c r="I218" s="96"/>
      <c r="J218" s="94"/>
      <c r="K218" s="95"/>
      <c r="L218" s="96"/>
      <c r="M218" s="106"/>
      <c r="N218" s="106"/>
      <c r="O218" s="106"/>
      <c r="P218" s="106"/>
      <c r="Q218" s="106"/>
      <c r="R218" s="106"/>
    </row>
    <row r="219" spans="1:18">
      <c r="A219" s="91"/>
      <c r="B219" s="92"/>
      <c r="C219" s="93"/>
      <c r="D219" s="94"/>
      <c r="E219" s="95"/>
      <c r="F219" s="96"/>
      <c r="G219" s="94"/>
      <c r="H219" s="95"/>
      <c r="I219" s="96"/>
      <c r="J219" s="94"/>
      <c r="K219" s="95"/>
      <c r="L219" s="96"/>
      <c r="M219" s="106"/>
      <c r="N219" s="106"/>
      <c r="O219" s="106"/>
      <c r="P219" s="106"/>
      <c r="Q219" s="106"/>
      <c r="R219" s="106"/>
    </row>
    <row r="220" spans="1:18">
      <c r="A220" s="91"/>
      <c r="B220" s="92"/>
      <c r="C220" s="93"/>
      <c r="D220" s="94"/>
      <c r="E220" s="95"/>
      <c r="F220" s="96"/>
      <c r="G220" s="94"/>
      <c r="H220" s="95"/>
      <c r="I220" s="96"/>
      <c r="J220" s="94"/>
      <c r="K220" s="95"/>
      <c r="L220" s="96"/>
      <c r="M220" s="106"/>
      <c r="N220" s="106"/>
      <c r="O220" s="106"/>
      <c r="P220" s="106"/>
      <c r="Q220" s="106"/>
      <c r="R220" s="106"/>
    </row>
    <row r="221" spans="1:18">
      <c r="A221" s="91"/>
      <c r="B221" s="92"/>
      <c r="C221" s="93"/>
      <c r="D221" s="94"/>
      <c r="E221" s="95"/>
      <c r="F221" s="96"/>
      <c r="G221" s="94"/>
      <c r="H221" s="95"/>
      <c r="I221" s="96"/>
      <c r="J221" s="94"/>
      <c r="K221" s="95"/>
      <c r="L221" s="96"/>
      <c r="M221" s="106"/>
      <c r="N221" s="106"/>
      <c r="O221" s="106"/>
      <c r="P221" s="106"/>
      <c r="Q221" s="106"/>
      <c r="R221" s="106"/>
    </row>
    <row r="222" spans="1:18">
      <c r="A222" s="91"/>
      <c r="B222" s="92"/>
      <c r="C222" s="93"/>
      <c r="D222" s="94"/>
      <c r="E222" s="95"/>
      <c r="F222" s="96"/>
      <c r="G222" s="94"/>
      <c r="H222" s="95"/>
      <c r="I222" s="96"/>
      <c r="J222" s="94"/>
      <c r="K222" s="95"/>
      <c r="L222" s="96"/>
      <c r="M222" s="106"/>
      <c r="N222" s="106"/>
      <c r="O222" s="106"/>
      <c r="P222" s="106"/>
      <c r="Q222" s="106"/>
      <c r="R222" s="106"/>
    </row>
    <row r="223" spans="1:18">
      <c r="A223" s="91"/>
      <c r="B223" s="92"/>
      <c r="C223" s="93"/>
      <c r="D223" s="94"/>
      <c r="E223" s="95"/>
      <c r="F223" s="96"/>
      <c r="G223" s="94"/>
      <c r="H223" s="95"/>
      <c r="I223" s="96"/>
      <c r="J223" s="94"/>
      <c r="K223" s="95"/>
      <c r="L223" s="96"/>
      <c r="M223" s="106"/>
      <c r="N223" s="106"/>
      <c r="O223" s="106"/>
      <c r="P223" s="106"/>
      <c r="Q223" s="106"/>
      <c r="R223" s="106"/>
    </row>
    <row r="224" spans="1:18">
      <c r="A224" s="91"/>
      <c r="B224" s="92"/>
      <c r="C224" s="93"/>
      <c r="D224" s="94"/>
      <c r="E224" s="95"/>
      <c r="F224" s="96"/>
      <c r="G224" s="94"/>
      <c r="H224" s="95"/>
      <c r="I224" s="96"/>
      <c r="J224" s="94"/>
      <c r="K224" s="95"/>
      <c r="L224" s="96"/>
      <c r="M224" s="106"/>
      <c r="N224" s="106"/>
      <c r="O224" s="106"/>
      <c r="P224" s="106"/>
      <c r="Q224" s="106"/>
      <c r="R224" s="106"/>
    </row>
    <row r="225" spans="1:18">
      <c r="A225" s="91"/>
      <c r="B225" s="92"/>
      <c r="C225" s="93"/>
      <c r="D225" s="94"/>
      <c r="E225" s="95"/>
      <c r="F225" s="96"/>
      <c r="G225" s="94"/>
      <c r="H225" s="95"/>
      <c r="I225" s="96"/>
      <c r="J225" s="94"/>
      <c r="K225" s="95"/>
      <c r="L225" s="96"/>
      <c r="M225" s="106"/>
      <c r="N225" s="106"/>
      <c r="O225" s="106"/>
      <c r="P225" s="106"/>
      <c r="Q225" s="106"/>
      <c r="R225" s="106"/>
    </row>
    <row r="226" spans="1:18">
      <c r="A226" s="91"/>
      <c r="B226" s="92"/>
      <c r="C226" s="93"/>
      <c r="D226" s="94"/>
      <c r="E226" s="95"/>
      <c r="F226" s="96"/>
      <c r="G226" s="94"/>
      <c r="H226" s="95"/>
      <c r="I226" s="96"/>
      <c r="J226" s="94"/>
      <c r="K226" s="95"/>
      <c r="L226" s="96"/>
      <c r="M226" s="106"/>
      <c r="N226" s="106"/>
      <c r="O226" s="106"/>
      <c r="P226" s="106"/>
      <c r="Q226" s="106"/>
      <c r="R226" s="106"/>
    </row>
    <row r="227" spans="1:18">
      <c r="A227" s="91"/>
      <c r="B227" s="92"/>
      <c r="C227" s="93"/>
      <c r="D227" s="94"/>
      <c r="E227" s="95"/>
      <c r="F227" s="96"/>
      <c r="G227" s="94"/>
      <c r="H227" s="95"/>
      <c r="I227" s="96"/>
      <c r="J227" s="94"/>
      <c r="K227" s="95"/>
      <c r="L227" s="96"/>
      <c r="M227" s="106"/>
      <c r="N227" s="106"/>
      <c r="O227" s="106"/>
      <c r="P227" s="106"/>
      <c r="Q227" s="106"/>
      <c r="R227" s="106"/>
    </row>
    <row r="228" spans="1:18">
      <c r="A228" s="91"/>
      <c r="B228" s="92"/>
      <c r="C228" s="93"/>
      <c r="D228" s="94"/>
      <c r="E228" s="95"/>
      <c r="F228" s="96"/>
      <c r="G228" s="94"/>
      <c r="H228" s="95"/>
      <c r="I228" s="96"/>
      <c r="J228" s="94"/>
      <c r="K228" s="95"/>
      <c r="L228" s="96"/>
      <c r="M228" s="106"/>
      <c r="N228" s="106"/>
      <c r="O228" s="106"/>
      <c r="P228" s="106"/>
      <c r="Q228" s="106"/>
      <c r="R228" s="106"/>
    </row>
    <row r="229" spans="1:18">
      <c r="A229" s="91"/>
      <c r="B229" s="92"/>
      <c r="C229" s="93"/>
      <c r="D229" s="94"/>
      <c r="E229" s="95"/>
      <c r="F229" s="96"/>
      <c r="G229" s="94"/>
      <c r="H229" s="95"/>
      <c r="I229" s="96"/>
      <c r="J229" s="94"/>
      <c r="K229" s="95"/>
      <c r="L229" s="96"/>
      <c r="M229" s="106"/>
      <c r="N229" s="106"/>
      <c r="O229" s="106"/>
      <c r="P229" s="106"/>
      <c r="Q229" s="106"/>
      <c r="R229" s="106"/>
    </row>
    <row r="230" spans="1:18">
      <c r="A230" s="91"/>
      <c r="B230" s="92"/>
      <c r="C230" s="93"/>
      <c r="D230" s="94"/>
      <c r="E230" s="95"/>
      <c r="F230" s="96"/>
      <c r="G230" s="94"/>
      <c r="H230" s="95"/>
      <c r="I230" s="96"/>
      <c r="J230" s="94"/>
      <c r="K230" s="95"/>
      <c r="L230" s="96"/>
      <c r="M230" s="106"/>
      <c r="N230" s="106"/>
      <c r="O230" s="106"/>
      <c r="P230" s="106"/>
      <c r="Q230" s="106"/>
      <c r="R230" s="106"/>
    </row>
    <row r="231" spans="1:18">
      <c r="A231" s="91"/>
      <c r="B231" s="92"/>
      <c r="C231" s="93"/>
      <c r="D231" s="94"/>
      <c r="E231" s="95"/>
      <c r="F231" s="96"/>
      <c r="G231" s="94"/>
      <c r="H231" s="95"/>
      <c r="I231" s="96"/>
      <c r="J231" s="94"/>
      <c r="K231" s="95"/>
      <c r="L231" s="96"/>
      <c r="M231" s="106"/>
      <c r="N231" s="106"/>
      <c r="O231" s="106"/>
      <c r="P231" s="106"/>
      <c r="Q231" s="106"/>
      <c r="R231" s="106"/>
    </row>
    <row r="232" spans="1:18">
      <c r="A232" s="91"/>
      <c r="B232" s="92"/>
      <c r="C232" s="93"/>
      <c r="D232" s="94"/>
      <c r="E232" s="95"/>
      <c r="F232" s="96"/>
      <c r="G232" s="94"/>
      <c r="H232" s="95"/>
      <c r="I232" s="96"/>
      <c r="J232" s="94"/>
      <c r="K232" s="95"/>
      <c r="L232" s="96"/>
      <c r="M232" s="106"/>
      <c r="N232" s="106"/>
      <c r="O232" s="106"/>
      <c r="P232" s="106"/>
      <c r="Q232" s="106"/>
      <c r="R232" s="106"/>
    </row>
    <row r="233" spans="1:18">
      <c r="A233" s="91"/>
      <c r="B233" s="92"/>
      <c r="C233" s="93"/>
      <c r="D233" s="94"/>
      <c r="E233" s="95"/>
      <c r="F233" s="96"/>
      <c r="G233" s="94"/>
      <c r="H233" s="95"/>
      <c r="I233" s="96"/>
      <c r="J233" s="94"/>
      <c r="K233" s="95"/>
      <c r="L233" s="96"/>
      <c r="M233" s="106"/>
      <c r="N233" s="106"/>
      <c r="O233" s="106"/>
      <c r="P233" s="106"/>
      <c r="Q233" s="106"/>
      <c r="R233" s="106"/>
    </row>
    <row r="234" spans="1:18">
      <c r="A234" s="91"/>
      <c r="B234" s="92"/>
      <c r="C234" s="93"/>
      <c r="D234" s="94"/>
      <c r="E234" s="95"/>
      <c r="F234" s="96"/>
      <c r="G234" s="94"/>
      <c r="H234" s="95"/>
      <c r="I234" s="96"/>
      <c r="J234" s="94"/>
      <c r="K234" s="95"/>
      <c r="L234" s="96"/>
      <c r="M234" s="106"/>
      <c r="N234" s="106"/>
      <c r="O234" s="106"/>
      <c r="P234" s="106"/>
      <c r="Q234" s="106"/>
      <c r="R234" s="106"/>
    </row>
    <row r="235" spans="1:18">
      <c r="A235" s="91"/>
      <c r="B235" s="92"/>
      <c r="C235" s="93"/>
      <c r="D235" s="94"/>
      <c r="E235" s="95"/>
      <c r="F235" s="96"/>
      <c r="G235" s="94"/>
      <c r="H235" s="95"/>
      <c r="I235" s="96"/>
      <c r="J235" s="94"/>
      <c r="K235" s="95"/>
      <c r="L235" s="96"/>
      <c r="M235" s="106"/>
      <c r="N235" s="106"/>
      <c r="O235" s="106"/>
      <c r="P235" s="106"/>
      <c r="Q235" s="106"/>
      <c r="R235" s="106"/>
    </row>
    <row r="236" spans="1:18">
      <c r="A236" s="91"/>
      <c r="B236" s="92"/>
      <c r="C236" s="93"/>
      <c r="D236" s="94"/>
      <c r="E236" s="95"/>
      <c r="F236" s="96"/>
      <c r="G236" s="94"/>
      <c r="H236" s="95"/>
      <c r="I236" s="96"/>
      <c r="J236" s="94"/>
      <c r="K236" s="95"/>
      <c r="L236" s="96"/>
      <c r="M236" s="106"/>
      <c r="N236" s="106"/>
      <c r="O236" s="106"/>
      <c r="P236" s="106"/>
      <c r="Q236" s="106"/>
      <c r="R236" s="106"/>
    </row>
    <row r="237" spans="1:18">
      <c r="A237" s="91"/>
      <c r="B237" s="92"/>
      <c r="C237" s="93"/>
      <c r="D237" s="94"/>
      <c r="E237" s="95"/>
      <c r="F237" s="96"/>
      <c r="G237" s="94"/>
      <c r="H237" s="95"/>
      <c r="I237" s="96"/>
      <c r="J237" s="94"/>
      <c r="K237" s="95"/>
      <c r="L237" s="96"/>
      <c r="M237" s="106"/>
      <c r="N237" s="106"/>
      <c r="O237" s="106"/>
      <c r="P237" s="106"/>
      <c r="Q237" s="106"/>
      <c r="R237" s="106"/>
    </row>
    <row r="238" spans="1:18">
      <c r="A238" s="91"/>
      <c r="B238" s="92"/>
      <c r="C238" s="93"/>
      <c r="D238" s="94"/>
      <c r="E238" s="95"/>
      <c r="F238" s="96"/>
      <c r="G238" s="94"/>
      <c r="H238" s="95"/>
      <c r="I238" s="96"/>
      <c r="J238" s="94"/>
      <c r="K238" s="95"/>
      <c r="L238" s="96"/>
      <c r="M238" s="106"/>
      <c r="N238" s="106"/>
      <c r="O238" s="106"/>
      <c r="P238" s="106"/>
      <c r="Q238" s="106"/>
      <c r="R238" s="106"/>
    </row>
    <row r="239" spans="1:18">
      <c r="A239" s="91"/>
      <c r="B239" s="92"/>
      <c r="C239" s="93"/>
      <c r="D239" s="94"/>
      <c r="E239" s="95"/>
      <c r="F239" s="96"/>
      <c r="G239" s="94"/>
      <c r="H239" s="95"/>
      <c r="I239" s="96"/>
      <c r="J239" s="94"/>
      <c r="K239" s="95"/>
      <c r="L239" s="96"/>
      <c r="M239" s="106"/>
      <c r="N239" s="106"/>
      <c r="O239" s="106"/>
      <c r="P239" s="106"/>
      <c r="Q239" s="106"/>
      <c r="R239" s="106"/>
    </row>
    <row r="240" spans="1:18">
      <c r="A240" s="91"/>
      <c r="B240" s="92"/>
      <c r="C240" s="93"/>
      <c r="D240" s="94"/>
      <c r="E240" s="95"/>
      <c r="F240" s="96"/>
      <c r="G240" s="94"/>
      <c r="H240" s="95"/>
      <c r="I240" s="96"/>
      <c r="J240" s="94"/>
      <c r="K240" s="95"/>
      <c r="L240" s="96"/>
      <c r="M240" s="106"/>
      <c r="N240" s="106"/>
      <c r="O240" s="106"/>
      <c r="P240" s="106"/>
      <c r="Q240" s="106"/>
      <c r="R240" s="106"/>
    </row>
    <row r="241" spans="1:18">
      <c r="A241" s="91"/>
      <c r="B241" s="92"/>
      <c r="C241" s="93"/>
      <c r="D241" s="94"/>
      <c r="E241" s="95"/>
      <c r="F241" s="96"/>
      <c r="G241" s="94"/>
      <c r="H241" s="95"/>
      <c r="I241" s="96"/>
      <c r="J241" s="94"/>
      <c r="K241" s="95"/>
      <c r="L241" s="96"/>
      <c r="M241" s="106"/>
      <c r="N241" s="106"/>
      <c r="O241" s="106"/>
      <c r="P241" s="106"/>
      <c r="Q241" s="106"/>
      <c r="R241" s="106"/>
    </row>
    <row r="242" spans="1:18">
      <c r="A242" s="91"/>
      <c r="B242" s="92"/>
      <c r="C242" s="93"/>
      <c r="D242" s="94"/>
      <c r="E242" s="95"/>
      <c r="F242" s="96"/>
      <c r="G242" s="94"/>
      <c r="H242" s="95"/>
      <c r="I242" s="96"/>
      <c r="J242" s="94"/>
      <c r="K242" s="95"/>
      <c r="L242" s="96"/>
      <c r="M242" s="106"/>
      <c r="N242" s="106"/>
      <c r="O242" s="106"/>
      <c r="P242" s="106"/>
      <c r="Q242" s="106"/>
      <c r="R242" s="106"/>
    </row>
    <row r="243" spans="1:18">
      <c r="A243" s="91"/>
      <c r="B243" s="92"/>
      <c r="C243" s="93"/>
      <c r="D243" s="94"/>
      <c r="E243" s="95"/>
      <c r="F243" s="96"/>
      <c r="G243" s="94"/>
      <c r="H243" s="95"/>
      <c r="I243" s="96"/>
      <c r="J243" s="94"/>
      <c r="K243" s="95"/>
      <c r="L243" s="96"/>
      <c r="M243" s="106"/>
      <c r="N243" s="106"/>
      <c r="O243" s="106"/>
      <c r="P243" s="106"/>
      <c r="Q243" s="106"/>
      <c r="R243" s="106"/>
    </row>
    <row r="244" spans="1:18">
      <c r="A244" s="91"/>
      <c r="B244" s="92"/>
      <c r="C244" s="93"/>
      <c r="D244" s="94"/>
      <c r="E244" s="95"/>
      <c r="F244" s="96"/>
      <c r="G244" s="94"/>
      <c r="H244" s="95"/>
      <c r="I244" s="96"/>
      <c r="J244" s="94"/>
      <c r="K244" s="95"/>
      <c r="L244" s="96"/>
      <c r="M244" s="106"/>
      <c r="N244" s="106"/>
      <c r="O244" s="106"/>
      <c r="P244" s="106"/>
      <c r="Q244" s="106"/>
      <c r="R244" s="106"/>
    </row>
    <row r="245" spans="1:18">
      <c r="A245" s="91"/>
      <c r="B245" s="92"/>
      <c r="C245" s="93"/>
      <c r="D245" s="94"/>
      <c r="E245" s="95"/>
      <c r="F245" s="96"/>
      <c r="G245" s="94"/>
      <c r="H245" s="95"/>
      <c r="I245" s="96"/>
      <c r="J245" s="94"/>
      <c r="K245" s="95"/>
      <c r="L245" s="96"/>
      <c r="M245" s="106"/>
      <c r="N245" s="106"/>
      <c r="O245" s="106"/>
      <c r="P245" s="106"/>
      <c r="Q245" s="106"/>
      <c r="R245" s="106"/>
    </row>
    <row r="246" spans="1:18">
      <c r="A246" s="91"/>
      <c r="B246" s="92"/>
      <c r="C246" s="93"/>
      <c r="D246" s="94"/>
      <c r="E246" s="95"/>
      <c r="F246" s="96"/>
      <c r="G246" s="94"/>
      <c r="H246" s="95"/>
      <c r="I246" s="96"/>
      <c r="J246" s="94"/>
      <c r="K246" s="95"/>
      <c r="L246" s="96"/>
      <c r="M246" s="106"/>
      <c r="N246" s="106"/>
      <c r="O246" s="106"/>
      <c r="P246" s="106"/>
      <c r="Q246" s="106"/>
      <c r="R246" s="106"/>
    </row>
    <row r="247" spans="1:18">
      <c r="A247" s="91"/>
      <c r="B247" s="92"/>
      <c r="C247" s="93"/>
      <c r="D247" s="94"/>
      <c r="E247" s="95"/>
      <c r="F247" s="96"/>
      <c r="G247" s="94"/>
      <c r="H247" s="95"/>
      <c r="I247" s="96"/>
      <c r="J247" s="94"/>
      <c r="K247" s="95"/>
      <c r="L247" s="96"/>
      <c r="M247" s="106"/>
      <c r="N247" s="106"/>
      <c r="O247" s="106"/>
      <c r="P247" s="106"/>
      <c r="Q247" s="106"/>
      <c r="R247" s="106"/>
    </row>
    <row r="248" spans="1:18">
      <c r="A248" s="91"/>
      <c r="B248" s="92"/>
      <c r="C248" s="93"/>
      <c r="D248" s="94"/>
      <c r="E248" s="95"/>
      <c r="F248" s="96"/>
      <c r="G248" s="94"/>
      <c r="H248" s="95"/>
      <c r="I248" s="96"/>
      <c r="J248" s="94"/>
      <c r="K248" s="95"/>
      <c r="L248" s="96"/>
      <c r="M248" s="106"/>
      <c r="N248" s="106"/>
      <c r="O248" s="106"/>
      <c r="P248" s="106"/>
      <c r="Q248" s="106"/>
      <c r="R248" s="106"/>
    </row>
    <row r="249" spans="1:18">
      <c r="A249" s="91"/>
      <c r="B249" s="92"/>
      <c r="C249" s="93"/>
      <c r="D249" s="94"/>
      <c r="E249" s="95"/>
      <c r="F249" s="96"/>
      <c r="G249" s="94"/>
      <c r="H249" s="95"/>
      <c r="I249" s="96"/>
      <c r="J249" s="94"/>
      <c r="K249" s="95"/>
      <c r="L249" s="96"/>
      <c r="M249" s="106"/>
      <c r="N249" s="106"/>
      <c r="O249" s="106"/>
      <c r="P249" s="106"/>
      <c r="Q249" s="106"/>
      <c r="R249" s="106"/>
    </row>
    <row r="250" spans="1:18">
      <c r="A250" s="91"/>
      <c r="B250" s="92"/>
      <c r="C250" s="93"/>
      <c r="D250" s="94"/>
      <c r="E250" s="95"/>
      <c r="F250" s="96"/>
      <c r="G250" s="94"/>
      <c r="H250" s="95"/>
      <c r="I250" s="96"/>
      <c r="J250" s="94"/>
      <c r="K250" s="95"/>
      <c r="L250" s="96"/>
      <c r="M250" s="106"/>
      <c r="N250" s="106"/>
      <c r="O250" s="106"/>
      <c r="P250" s="106"/>
      <c r="Q250" s="106"/>
      <c r="R250" s="106"/>
    </row>
    <row r="251" spans="1:18">
      <c r="A251" s="91"/>
      <c r="B251" s="92"/>
      <c r="C251" s="93"/>
      <c r="D251" s="94"/>
      <c r="E251" s="95"/>
      <c r="F251" s="96"/>
      <c r="G251" s="94"/>
      <c r="H251" s="95"/>
      <c r="I251" s="96"/>
      <c r="J251" s="94"/>
      <c r="K251" s="95"/>
      <c r="L251" s="96"/>
      <c r="M251" s="106"/>
      <c r="N251" s="106"/>
      <c r="O251" s="106"/>
      <c r="P251" s="106"/>
      <c r="Q251" s="106"/>
      <c r="R251" s="106"/>
    </row>
    <row r="252" spans="1:18">
      <c r="A252" s="91"/>
      <c r="B252" s="92"/>
      <c r="C252" s="93"/>
      <c r="D252" s="94"/>
      <c r="E252" s="95"/>
      <c r="F252" s="96"/>
      <c r="G252" s="94"/>
      <c r="H252" s="95"/>
      <c r="I252" s="96"/>
      <c r="J252" s="94"/>
      <c r="K252" s="95"/>
      <c r="L252" s="96"/>
      <c r="M252" s="106"/>
      <c r="N252" s="106"/>
      <c r="O252" s="106"/>
      <c r="P252" s="106"/>
      <c r="Q252" s="106"/>
      <c r="R252" s="106"/>
    </row>
    <row r="253" spans="1:18">
      <c r="A253" s="91"/>
      <c r="B253" s="92"/>
      <c r="C253" s="93"/>
      <c r="D253" s="94"/>
      <c r="E253" s="95"/>
      <c r="F253" s="96"/>
      <c r="G253" s="94"/>
      <c r="H253" s="95"/>
      <c r="I253" s="96"/>
      <c r="J253" s="94"/>
      <c r="K253" s="95"/>
      <c r="L253" s="96"/>
      <c r="M253" s="106"/>
      <c r="N253" s="106"/>
      <c r="O253" s="106"/>
      <c r="P253" s="106"/>
      <c r="Q253" s="106"/>
      <c r="R253" s="106"/>
    </row>
    <row r="254" spans="1:18">
      <c r="A254" s="91"/>
      <c r="B254" s="92"/>
      <c r="C254" s="93"/>
      <c r="D254" s="94"/>
      <c r="E254" s="95"/>
      <c r="F254" s="96"/>
      <c r="G254" s="94"/>
      <c r="H254" s="95"/>
      <c r="I254" s="96"/>
      <c r="J254" s="94"/>
      <c r="K254" s="95"/>
      <c r="L254" s="96"/>
      <c r="M254" s="106"/>
      <c r="N254" s="106"/>
      <c r="O254" s="106"/>
      <c r="P254" s="106"/>
      <c r="Q254" s="106"/>
      <c r="R254" s="106"/>
    </row>
    <row r="255" spans="1:18">
      <c r="A255" s="91"/>
      <c r="B255" s="92"/>
      <c r="C255" s="93"/>
      <c r="D255" s="94"/>
      <c r="E255" s="95"/>
      <c r="F255" s="96"/>
      <c r="G255" s="94"/>
      <c r="H255" s="95"/>
      <c r="I255" s="96"/>
      <c r="J255" s="94"/>
      <c r="K255" s="95"/>
      <c r="L255" s="96"/>
      <c r="M255" s="106"/>
      <c r="N255" s="106"/>
      <c r="O255" s="106"/>
      <c r="P255" s="106"/>
      <c r="Q255" s="106"/>
      <c r="R255" s="106"/>
    </row>
    <row r="256" spans="1:18">
      <c r="A256" s="91"/>
      <c r="B256" s="92"/>
      <c r="C256" s="93"/>
      <c r="D256" s="94"/>
      <c r="E256" s="95"/>
      <c r="F256" s="96"/>
      <c r="G256" s="94"/>
      <c r="H256" s="95"/>
      <c r="I256" s="96"/>
      <c r="J256" s="94"/>
      <c r="K256" s="95"/>
      <c r="L256" s="96"/>
      <c r="M256" s="106"/>
      <c r="N256" s="106"/>
      <c r="O256" s="106"/>
      <c r="P256" s="106"/>
      <c r="Q256" s="106"/>
      <c r="R256" s="106"/>
    </row>
    <row r="257" spans="1:18">
      <c r="A257" s="91"/>
      <c r="B257" s="92"/>
      <c r="C257" s="93"/>
      <c r="D257" s="94"/>
      <c r="E257" s="95"/>
      <c r="F257" s="96"/>
      <c r="G257" s="94"/>
      <c r="H257" s="95"/>
      <c r="I257" s="96"/>
      <c r="J257" s="94"/>
      <c r="K257" s="95"/>
      <c r="L257" s="96"/>
      <c r="M257" s="106"/>
      <c r="N257" s="106"/>
      <c r="O257" s="106"/>
      <c r="P257" s="106"/>
      <c r="Q257" s="106"/>
      <c r="R257" s="106"/>
    </row>
    <row r="258" spans="1:18">
      <c r="A258" s="91"/>
      <c r="B258" s="92"/>
      <c r="C258" s="93"/>
      <c r="D258" s="94"/>
      <c r="E258" s="95"/>
      <c r="F258" s="96"/>
      <c r="G258" s="94"/>
      <c r="H258" s="95"/>
      <c r="I258" s="96"/>
      <c r="J258" s="94"/>
      <c r="K258" s="95"/>
      <c r="L258" s="96"/>
      <c r="M258" s="106"/>
      <c r="N258" s="106"/>
      <c r="O258" s="106"/>
      <c r="P258" s="106"/>
      <c r="Q258" s="106"/>
      <c r="R258" s="106"/>
    </row>
    <row r="259" spans="1:18">
      <c r="A259" s="91"/>
      <c r="B259" s="92"/>
      <c r="C259" s="93"/>
      <c r="D259" s="94"/>
      <c r="E259" s="95"/>
      <c r="F259" s="96"/>
      <c r="G259" s="94"/>
      <c r="H259" s="95"/>
      <c r="I259" s="96"/>
      <c r="J259" s="94"/>
      <c r="K259" s="95"/>
      <c r="L259" s="96"/>
      <c r="M259" s="106"/>
      <c r="N259" s="106"/>
      <c r="O259" s="106"/>
      <c r="P259" s="106"/>
      <c r="Q259" s="106"/>
      <c r="R259" s="106"/>
    </row>
    <row r="260" spans="1:18">
      <c r="A260" s="91"/>
      <c r="B260" s="92"/>
      <c r="C260" s="93"/>
      <c r="D260" s="94"/>
      <c r="E260" s="95"/>
      <c r="F260" s="96"/>
      <c r="G260" s="94"/>
      <c r="H260" s="95"/>
      <c r="I260" s="96"/>
      <c r="J260" s="94"/>
      <c r="K260" s="95"/>
      <c r="L260" s="96"/>
      <c r="M260" s="106"/>
      <c r="N260" s="106"/>
      <c r="O260" s="106"/>
      <c r="P260" s="106"/>
      <c r="Q260" s="106"/>
      <c r="R260" s="106"/>
    </row>
    <row r="261" spans="1:18">
      <c r="A261" s="91"/>
      <c r="B261" s="92"/>
      <c r="C261" s="93"/>
      <c r="D261" s="94"/>
      <c r="E261" s="95"/>
      <c r="F261" s="96"/>
      <c r="G261" s="94"/>
      <c r="H261" s="95"/>
      <c r="I261" s="96"/>
      <c r="J261" s="94"/>
      <c r="K261" s="95"/>
      <c r="L261" s="96"/>
      <c r="M261" s="106"/>
      <c r="N261" s="106"/>
      <c r="O261" s="106"/>
      <c r="P261" s="106"/>
      <c r="Q261" s="106"/>
      <c r="R261" s="106"/>
    </row>
    <row r="262" spans="1:18">
      <c r="A262" s="91"/>
      <c r="B262" s="92"/>
      <c r="C262" s="93"/>
      <c r="D262" s="94"/>
      <c r="E262" s="95"/>
      <c r="F262" s="96"/>
      <c r="G262" s="94"/>
      <c r="H262" s="95"/>
      <c r="I262" s="96"/>
      <c r="J262" s="94"/>
      <c r="K262" s="95"/>
      <c r="L262" s="96"/>
      <c r="M262" s="106"/>
      <c r="N262" s="106"/>
      <c r="O262" s="106"/>
      <c r="P262" s="106"/>
      <c r="Q262" s="106"/>
      <c r="R262" s="106"/>
    </row>
    <row r="263" spans="1:18">
      <c r="A263" s="91"/>
      <c r="B263" s="92"/>
      <c r="C263" s="93"/>
      <c r="D263" s="94"/>
      <c r="E263" s="95"/>
      <c r="F263" s="96"/>
      <c r="G263" s="94"/>
      <c r="H263" s="95"/>
      <c r="I263" s="96"/>
      <c r="J263" s="94"/>
      <c r="K263" s="95"/>
      <c r="L263" s="96"/>
      <c r="M263" s="106"/>
      <c r="N263" s="106"/>
      <c r="O263" s="106"/>
      <c r="P263" s="106"/>
      <c r="Q263" s="106"/>
      <c r="R263" s="106"/>
    </row>
    <row r="264" spans="1:18">
      <c r="A264" s="91"/>
      <c r="B264" s="92"/>
      <c r="C264" s="93"/>
      <c r="D264" s="94"/>
      <c r="E264" s="95"/>
      <c r="F264" s="96"/>
      <c r="G264" s="94"/>
      <c r="H264" s="95"/>
      <c r="I264" s="96"/>
      <c r="J264" s="94"/>
      <c r="K264" s="95"/>
      <c r="L264" s="96"/>
      <c r="M264" s="106"/>
      <c r="N264" s="106"/>
      <c r="O264" s="106"/>
      <c r="P264" s="106"/>
      <c r="Q264" s="106"/>
      <c r="R264" s="106"/>
    </row>
    <row r="265" spans="1:18">
      <c r="A265" s="91"/>
      <c r="B265" s="92"/>
      <c r="C265" s="93"/>
      <c r="D265" s="94"/>
      <c r="E265" s="95"/>
      <c r="F265" s="96"/>
      <c r="G265" s="94"/>
      <c r="H265" s="95"/>
      <c r="I265" s="96"/>
      <c r="J265" s="94"/>
      <c r="K265" s="95"/>
      <c r="L265" s="96"/>
      <c r="M265" s="106"/>
      <c r="N265" s="106"/>
      <c r="O265" s="106"/>
      <c r="P265" s="106"/>
      <c r="Q265" s="106"/>
      <c r="R265" s="106"/>
    </row>
    <row r="266" spans="1:18">
      <c r="A266" s="91"/>
      <c r="B266" s="92"/>
      <c r="C266" s="93"/>
      <c r="D266" s="94"/>
      <c r="E266" s="95"/>
      <c r="F266" s="96"/>
      <c r="G266" s="94"/>
      <c r="H266" s="95"/>
      <c r="I266" s="96"/>
      <c r="J266" s="94"/>
      <c r="K266" s="95"/>
      <c r="L266" s="96"/>
      <c r="M266" s="106"/>
      <c r="N266" s="106"/>
      <c r="O266" s="106"/>
      <c r="P266" s="106"/>
      <c r="Q266" s="106"/>
      <c r="R266" s="106"/>
    </row>
    <row r="267" spans="1:18">
      <c r="A267" s="91"/>
      <c r="B267" s="92"/>
      <c r="C267" s="93"/>
      <c r="D267" s="94"/>
      <c r="E267" s="95"/>
      <c r="F267" s="96"/>
      <c r="G267" s="94"/>
      <c r="H267" s="95"/>
      <c r="I267" s="96"/>
      <c r="J267" s="94"/>
      <c r="K267" s="95"/>
      <c r="L267" s="96"/>
      <c r="M267" s="106"/>
      <c r="N267" s="106"/>
      <c r="O267" s="106"/>
      <c r="P267" s="106"/>
      <c r="Q267" s="106"/>
      <c r="R267" s="106"/>
    </row>
    <row r="268" spans="1:18">
      <c r="A268" s="91"/>
      <c r="B268" s="92"/>
      <c r="C268" s="93"/>
      <c r="D268" s="94"/>
      <c r="E268" s="95"/>
      <c r="F268" s="96"/>
      <c r="G268" s="94"/>
      <c r="H268" s="95"/>
      <c r="I268" s="96"/>
      <c r="J268" s="94"/>
      <c r="K268" s="95"/>
      <c r="L268" s="96"/>
      <c r="M268" s="106"/>
      <c r="N268" s="106"/>
      <c r="O268" s="106"/>
      <c r="P268" s="106"/>
      <c r="Q268" s="106"/>
      <c r="R268" s="106"/>
    </row>
    <row r="269" spans="1:18">
      <c r="A269" s="91"/>
      <c r="B269" s="92"/>
      <c r="C269" s="93"/>
      <c r="D269" s="94"/>
      <c r="E269" s="95"/>
      <c r="F269" s="96"/>
      <c r="G269" s="94"/>
      <c r="H269" s="95"/>
      <c r="I269" s="96"/>
      <c r="J269" s="94"/>
      <c r="K269" s="95"/>
      <c r="L269" s="96"/>
      <c r="M269" s="106"/>
      <c r="N269" s="106"/>
      <c r="O269" s="106"/>
      <c r="P269" s="106"/>
      <c r="Q269" s="106"/>
      <c r="R269" s="106"/>
    </row>
    <row r="270" spans="1:18">
      <c r="A270" s="91"/>
      <c r="B270" s="92"/>
      <c r="C270" s="93"/>
      <c r="D270" s="94"/>
      <c r="E270" s="95"/>
      <c r="F270" s="96"/>
      <c r="G270" s="94"/>
      <c r="H270" s="95"/>
      <c r="I270" s="96"/>
      <c r="J270" s="94"/>
      <c r="K270" s="95"/>
      <c r="L270" s="96"/>
      <c r="M270" s="106"/>
      <c r="N270" s="106"/>
      <c r="O270" s="106"/>
      <c r="P270" s="106"/>
      <c r="Q270" s="106"/>
      <c r="R270" s="106"/>
    </row>
    <row r="271" spans="1:18">
      <c r="A271" s="91"/>
      <c r="B271" s="92"/>
      <c r="C271" s="93"/>
      <c r="D271" s="94"/>
      <c r="E271" s="95"/>
      <c r="F271" s="96"/>
      <c r="G271" s="94"/>
      <c r="H271" s="95"/>
      <c r="I271" s="96"/>
      <c r="J271" s="94"/>
      <c r="K271" s="95"/>
      <c r="L271" s="96"/>
      <c r="M271" s="106"/>
      <c r="N271" s="106"/>
      <c r="O271" s="106"/>
      <c r="P271" s="106"/>
      <c r="Q271" s="106"/>
      <c r="R271" s="106"/>
    </row>
    <row r="272" spans="1:18">
      <c r="A272" s="91"/>
      <c r="B272" s="92"/>
      <c r="C272" s="93"/>
      <c r="D272" s="94"/>
      <c r="E272" s="95"/>
      <c r="F272" s="96"/>
      <c r="G272" s="94"/>
      <c r="H272" s="95"/>
      <c r="I272" s="96"/>
      <c r="J272" s="94"/>
      <c r="K272" s="95"/>
      <c r="L272" s="96"/>
      <c r="M272" s="106"/>
      <c r="N272" s="106"/>
      <c r="O272" s="106"/>
      <c r="P272" s="106"/>
      <c r="Q272" s="106"/>
      <c r="R272" s="106"/>
    </row>
    <row r="273" spans="1:18">
      <c r="A273" s="91"/>
      <c r="B273" s="92"/>
      <c r="C273" s="93"/>
      <c r="D273" s="94"/>
      <c r="E273" s="95"/>
      <c r="F273" s="96"/>
      <c r="G273" s="94"/>
      <c r="H273" s="95"/>
      <c r="I273" s="96"/>
      <c r="J273" s="94"/>
      <c r="K273" s="95"/>
      <c r="L273" s="96"/>
      <c r="M273" s="106"/>
      <c r="N273" s="106"/>
      <c r="O273" s="106"/>
      <c r="P273" s="106"/>
      <c r="Q273" s="106"/>
      <c r="R273" s="106"/>
    </row>
    <row r="274" spans="1:18">
      <c r="A274" s="91"/>
      <c r="B274" s="92"/>
      <c r="C274" s="93"/>
      <c r="D274" s="94"/>
      <c r="E274" s="95"/>
      <c r="F274" s="96"/>
      <c r="G274" s="94"/>
      <c r="H274" s="95"/>
      <c r="I274" s="96"/>
      <c r="J274" s="94"/>
      <c r="K274" s="95"/>
      <c r="L274" s="96"/>
      <c r="M274" s="106"/>
      <c r="N274" s="106"/>
      <c r="O274" s="106"/>
      <c r="P274" s="106"/>
      <c r="Q274" s="106"/>
      <c r="R274" s="106"/>
    </row>
    <row r="275" spans="1:18">
      <c r="A275" s="91"/>
      <c r="B275" s="92"/>
      <c r="C275" s="93"/>
      <c r="D275" s="94"/>
      <c r="E275" s="95"/>
      <c r="F275" s="96"/>
      <c r="G275" s="94"/>
      <c r="H275" s="95"/>
      <c r="I275" s="96"/>
      <c r="J275" s="94"/>
      <c r="K275" s="95"/>
      <c r="L275" s="96"/>
      <c r="M275" s="106"/>
      <c r="N275" s="106"/>
      <c r="O275" s="106"/>
      <c r="P275" s="106"/>
      <c r="Q275" s="106"/>
      <c r="R275" s="106"/>
    </row>
    <row r="276" spans="1:18">
      <c r="A276" s="91"/>
      <c r="B276" s="92"/>
      <c r="C276" s="93"/>
      <c r="D276" s="94"/>
      <c r="E276" s="95"/>
      <c r="F276" s="96"/>
      <c r="G276" s="94"/>
      <c r="H276" s="95"/>
      <c r="I276" s="96"/>
      <c r="J276" s="94"/>
      <c r="K276" s="95"/>
      <c r="L276" s="96"/>
      <c r="M276" s="106"/>
      <c r="N276" s="106"/>
      <c r="O276" s="106"/>
      <c r="P276" s="106"/>
      <c r="Q276" s="106"/>
      <c r="R276" s="106"/>
    </row>
    <row r="277" spans="1:18">
      <c r="A277" s="91"/>
      <c r="B277" s="92"/>
      <c r="C277" s="93"/>
      <c r="D277" s="94"/>
      <c r="E277" s="95"/>
      <c r="F277" s="96"/>
      <c r="G277" s="94"/>
      <c r="H277" s="95"/>
      <c r="I277" s="96"/>
      <c r="J277" s="94"/>
      <c r="K277" s="95"/>
      <c r="L277" s="96"/>
      <c r="M277" s="106"/>
      <c r="N277" s="106"/>
      <c r="O277" s="106"/>
      <c r="P277" s="106"/>
      <c r="Q277" s="106"/>
      <c r="R277" s="106"/>
    </row>
    <row r="278" spans="1:18">
      <c r="A278" s="91"/>
      <c r="B278" s="92"/>
      <c r="C278" s="93"/>
      <c r="D278" s="94"/>
      <c r="E278" s="95"/>
      <c r="F278" s="96"/>
      <c r="G278" s="94"/>
      <c r="H278" s="95"/>
      <c r="I278" s="96"/>
      <c r="J278" s="94"/>
      <c r="K278" s="95"/>
      <c r="L278" s="96"/>
      <c r="M278" s="106"/>
      <c r="N278" s="106"/>
      <c r="O278" s="106"/>
      <c r="P278" s="106"/>
      <c r="Q278" s="106"/>
      <c r="R278" s="106"/>
    </row>
    <row r="279" spans="1:18">
      <c r="A279" s="91"/>
      <c r="B279" s="92"/>
      <c r="C279" s="93"/>
      <c r="D279" s="94"/>
      <c r="E279" s="95"/>
      <c r="F279" s="96"/>
      <c r="G279" s="94"/>
      <c r="H279" s="95"/>
      <c r="I279" s="96"/>
      <c r="J279" s="94"/>
      <c r="K279" s="95"/>
      <c r="L279" s="96"/>
      <c r="M279" s="106"/>
      <c r="N279" s="106"/>
      <c r="O279" s="106"/>
      <c r="P279" s="106"/>
      <c r="Q279" s="106"/>
      <c r="R279" s="106"/>
    </row>
    <row r="280" spans="1:18">
      <c r="A280" s="91"/>
      <c r="B280" s="92"/>
      <c r="C280" s="93"/>
      <c r="D280" s="94"/>
      <c r="E280" s="95"/>
      <c r="F280" s="96"/>
      <c r="G280" s="94"/>
      <c r="H280" s="95"/>
      <c r="I280" s="96"/>
      <c r="J280" s="94"/>
      <c r="K280" s="95"/>
      <c r="L280" s="96"/>
      <c r="M280" s="106"/>
      <c r="N280" s="106"/>
      <c r="O280" s="106"/>
      <c r="P280" s="106"/>
      <c r="Q280" s="106"/>
      <c r="R280" s="106"/>
    </row>
    <row r="281" spans="1:18">
      <c r="A281" s="91"/>
      <c r="B281" s="92"/>
      <c r="C281" s="93"/>
      <c r="D281" s="94"/>
      <c r="E281" s="95"/>
      <c r="F281" s="96"/>
      <c r="G281" s="94"/>
      <c r="H281" s="95"/>
      <c r="I281" s="96"/>
      <c r="J281" s="94"/>
      <c r="K281" s="95"/>
      <c r="L281" s="96"/>
      <c r="M281" s="106"/>
      <c r="N281" s="106"/>
      <c r="O281" s="106"/>
      <c r="P281" s="106"/>
      <c r="Q281" s="106"/>
      <c r="R281" s="106"/>
    </row>
    <row r="282" spans="1:18">
      <c r="A282" s="91"/>
      <c r="B282" s="92"/>
      <c r="C282" s="93"/>
      <c r="D282" s="94"/>
      <c r="E282" s="95"/>
      <c r="F282" s="96"/>
      <c r="G282" s="94"/>
      <c r="H282" s="95"/>
      <c r="I282" s="96"/>
      <c r="J282" s="94"/>
      <c r="K282" s="95"/>
      <c r="L282" s="96"/>
      <c r="M282" s="106"/>
      <c r="N282" s="106"/>
      <c r="O282" s="106"/>
      <c r="P282" s="106"/>
      <c r="Q282" s="106"/>
      <c r="R282" s="106"/>
    </row>
    <row r="283" spans="1:18">
      <c r="A283" s="91"/>
      <c r="B283" s="92"/>
      <c r="C283" s="93"/>
      <c r="D283" s="94"/>
      <c r="E283" s="95"/>
      <c r="F283" s="96"/>
      <c r="G283" s="94"/>
      <c r="H283" s="95"/>
      <c r="I283" s="96"/>
      <c r="J283" s="94"/>
      <c r="K283" s="95"/>
      <c r="L283" s="96"/>
      <c r="M283" s="106"/>
      <c r="N283" s="106"/>
      <c r="O283" s="106"/>
      <c r="P283" s="106"/>
      <c r="Q283" s="106"/>
      <c r="R283" s="106"/>
    </row>
    <row r="284" spans="1:18">
      <c r="A284" s="91"/>
      <c r="B284" s="92"/>
      <c r="C284" s="93"/>
      <c r="D284" s="94"/>
      <c r="E284" s="95"/>
      <c r="F284" s="96"/>
      <c r="G284" s="94"/>
      <c r="H284" s="95"/>
      <c r="I284" s="96"/>
      <c r="J284" s="94"/>
      <c r="K284" s="95"/>
      <c r="L284" s="96"/>
      <c r="M284" s="106"/>
      <c r="N284" s="106"/>
      <c r="O284" s="106"/>
      <c r="P284" s="106"/>
      <c r="Q284" s="106"/>
      <c r="R284" s="106"/>
    </row>
    <row r="285" spans="1:18">
      <c r="A285" s="91"/>
      <c r="B285" s="92"/>
      <c r="C285" s="93"/>
      <c r="D285" s="94"/>
      <c r="E285" s="95"/>
      <c r="F285" s="96"/>
      <c r="G285" s="94"/>
      <c r="H285" s="95"/>
      <c r="I285" s="96"/>
      <c r="J285" s="94"/>
      <c r="K285" s="95"/>
      <c r="L285" s="96"/>
      <c r="M285" s="106"/>
      <c r="N285" s="106"/>
      <c r="O285" s="106"/>
      <c r="P285" s="106"/>
      <c r="Q285" s="106"/>
      <c r="R285" s="106"/>
    </row>
    <row r="286" spans="1:18">
      <c r="A286" s="91"/>
      <c r="B286" s="92"/>
      <c r="C286" s="93"/>
      <c r="D286" s="94"/>
      <c r="E286" s="95"/>
      <c r="F286" s="96"/>
      <c r="G286" s="94"/>
      <c r="H286" s="95"/>
      <c r="I286" s="96"/>
      <c r="J286" s="94"/>
      <c r="K286" s="95"/>
      <c r="L286" s="96"/>
      <c r="M286" s="106"/>
      <c r="N286" s="106"/>
      <c r="O286" s="106"/>
      <c r="P286" s="106"/>
      <c r="Q286" s="106"/>
      <c r="R286" s="106"/>
    </row>
    <row r="287" spans="1:18">
      <c r="A287" s="91"/>
      <c r="B287" s="92"/>
      <c r="C287" s="93"/>
      <c r="D287" s="94"/>
      <c r="E287" s="95"/>
      <c r="F287" s="96"/>
      <c r="G287" s="94"/>
      <c r="H287" s="95"/>
      <c r="I287" s="96"/>
      <c r="J287" s="94"/>
      <c r="K287" s="95"/>
      <c r="L287" s="96"/>
      <c r="M287" s="106"/>
      <c r="N287" s="106"/>
      <c r="O287" s="106"/>
      <c r="P287" s="106"/>
      <c r="Q287" s="106"/>
      <c r="R287" s="106"/>
    </row>
    <row r="288" spans="1:18">
      <c r="A288" s="91"/>
      <c r="B288" s="92"/>
      <c r="C288" s="93"/>
      <c r="D288" s="94"/>
      <c r="E288" s="95"/>
      <c r="F288" s="96"/>
      <c r="G288" s="94"/>
      <c r="H288" s="95"/>
      <c r="I288" s="96"/>
      <c r="J288" s="94"/>
      <c r="K288" s="95"/>
      <c r="L288" s="96"/>
      <c r="M288" s="106"/>
      <c r="N288" s="106"/>
      <c r="O288" s="106"/>
      <c r="P288" s="106"/>
      <c r="Q288" s="106"/>
      <c r="R288" s="106"/>
    </row>
    <row r="289" spans="1:18">
      <c r="A289" s="91"/>
      <c r="B289" s="92"/>
      <c r="C289" s="93"/>
      <c r="D289" s="94"/>
      <c r="E289" s="95"/>
      <c r="F289" s="96"/>
      <c r="G289" s="94"/>
      <c r="H289" s="95"/>
      <c r="I289" s="96"/>
      <c r="J289" s="94"/>
      <c r="K289" s="95"/>
      <c r="L289" s="96"/>
      <c r="M289" s="106"/>
      <c r="N289" s="106"/>
      <c r="O289" s="106"/>
      <c r="P289" s="106"/>
      <c r="Q289" s="106"/>
      <c r="R289" s="106"/>
    </row>
    <row r="290" spans="1:18">
      <c r="A290" s="91"/>
      <c r="B290" s="92"/>
      <c r="C290" s="93"/>
      <c r="D290" s="94"/>
      <c r="E290" s="95"/>
      <c r="F290" s="96"/>
      <c r="G290" s="94"/>
      <c r="H290" s="95"/>
      <c r="I290" s="96"/>
      <c r="J290" s="94"/>
      <c r="K290" s="95"/>
      <c r="L290" s="96"/>
      <c r="M290" s="106"/>
      <c r="N290" s="106"/>
      <c r="O290" s="106"/>
      <c r="P290" s="106"/>
      <c r="Q290" s="106"/>
      <c r="R290" s="106"/>
    </row>
    <row r="291" spans="1:18">
      <c r="A291" s="91"/>
      <c r="B291" s="92"/>
      <c r="C291" s="93"/>
      <c r="D291" s="94"/>
      <c r="E291" s="95"/>
      <c r="F291" s="96"/>
      <c r="G291" s="94"/>
      <c r="H291" s="95"/>
      <c r="I291" s="96"/>
      <c r="J291" s="94"/>
      <c r="K291" s="95"/>
      <c r="L291" s="96"/>
      <c r="M291" s="106"/>
      <c r="N291" s="106"/>
      <c r="O291" s="106"/>
      <c r="P291" s="106"/>
      <c r="Q291" s="106"/>
      <c r="R291" s="106"/>
    </row>
  </sheetData>
  <mergeCells count="12">
    <mergeCell ref="A3:A5"/>
    <mergeCell ref="B3:B5"/>
    <mergeCell ref="C3:C5"/>
    <mergeCell ref="M3:M5"/>
    <mergeCell ref="A1:M1"/>
    <mergeCell ref="A2:M2"/>
    <mergeCell ref="D3:F3"/>
    <mergeCell ref="G3:I3"/>
    <mergeCell ref="J3:L3"/>
    <mergeCell ref="D4:E4"/>
    <mergeCell ref="G4:H4"/>
    <mergeCell ref="J4:K4"/>
  </mergeCells>
  <phoneticPr fontId="76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027A-2843-425F-BC77-59917C630CB7}">
  <dimension ref="A1:R291"/>
  <sheetViews>
    <sheetView zoomScale="115" workbookViewId="0">
      <selection activeCell="L6" sqref="L6"/>
    </sheetView>
  </sheetViews>
  <sheetFormatPr defaultColWidth="8.75" defaultRowHeight="14.25"/>
  <cols>
    <col min="1" max="1" width="5.625" style="142" customWidth="1"/>
    <col min="2" max="2" width="9.125" style="142" customWidth="1"/>
    <col min="3" max="3" width="5.625" style="142" customWidth="1"/>
    <col min="4" max="4" width="7.625" style="142" customWidth="1"/>
    <col min="5" max="5" width="7" style="142" customWidth="1"/>
    <col min="6" max="8" width="7.625" style="142" customWidth="1"/>
    <col min="9" max="9" width="9.625" style="143" customWidth="1"/>
    <col min="10" max="11" width="7.625" style="143" customWidth="1"/>
    <col min="12" max="12" width="10.625" style="143" customWidth="1"/>
    <col min="13" max="13" width="7.625" style="142" customWidth="1"/>
    <col min="14" max="32" width="9" style="142" bestFit="1" customWidth="1"/>
    <col min="33" max="16384" width="8.75" style="142"/>
  </cols>
  <sheetData>
    <row r="1" spans="1:18" ht="23.1" customHeight="1">
      <c r="A1" s="493" t="s">
        <v>1292</v>
      </c>
      <c r="B1" s="493"/>
      <c r="C1" s="493"/>
      <c r="D1" s="493"/>
      <c r="E1" s="493"/>
      <c r="F1" s="493"/>
      <c r="G1" s="493"/>
      <c r="H1" s="493"/>
      <c r="I1" s="495"/>
      <c r="J1" s="495"/>
      <c r="K1" s="495"/>
      <c r="L1" s="495"/>
      <c r="M1" s="493"/>
      <c r="N1" s="134"/>
      <c r="O1" s="134"/>
      <c r="P1" s="134"/>
      <c r="Q1" s="134"/>
      <c r="R1" s="106"/>
    </row>
    <row r="2" spans="1:18" s="140" customFormat="1" ht="23.1" customHeight="1">
      <c r="A2" s="494" t="s">
        <v>1051</v>
      </c>
      <c r="B2" s="494"/>
      <c r="C2" s="494"/>
      <c r="D2" s="494"/>
      <c r="E2" s="494"/>
      <c r="F2" s="494"/>
      <c r="G2" s="494"/>
      <c r="H2" s="494"/>
      <c r="I2" s="496"/>
      <c r="J2" s="496"/>
      <c r="K2" s="496"/>
      <c r="L2" s="496"/>
      <c r="M2" s="494"/>
      <c r="N2" s="135"/>
      <c r="O2" s="135"/>
      <c r="P2" s="135"/>
      <c r="Q2" s="135"/>
      <c r="R2" s="139"/>
    </row>
    <row r="3" spans="1:18" s="140" customFormat="1" ht="23.1" customHeight="1">
      <c r="A3" s="461" t="s">
        <v>32</v>
      </c>
      <c r="B3" s="455" t="s">
        <v>90</v>
      </c>
      <c r="C3" s="491" t="s">
        <v>34</v>
      </c>
      <c r="D3" s="461" t="s">
        <v>92</v>
      </c>
      <c r="E3" s="461"/>
      <c r="F3" s="461"/>
      <c r="G3" s="461" t="s">
        <v>36</v>
      </c>
      <c r="H3" s="461"/>
      <c r="I3" s="458"/>
      <c r="J3" s="458" t="s">
        <v>37</v>
      </c>
      <c r="K3" s="458"/>
      <c r="L3" s="458"/>
      <c r="M3" s="492" t="s">
        <v>38</v>
      </c>
      <c r="N3" s="135"/>
      <c r="O3" s="135"/>
      <c r="P3" s="135"/>
      <c r="Q3" s="135"/>
      <c r="R3" s="139"/>
    </row>
    <row r="4" spans="1:18" s="140" customFormat="1" ht="23.1" customHeight="1">
      <c r="A4" s="490"/>
      <c r="B4" s="490"/>
      <c r="C4" s="490"/>
      <c r="D4" s="458" t="s">
        <v>42</v>
      </c>
      <c r="E4" s="458"/>
      <c r="F4" s="144" t="s">
        <v>1291</v>
      </c>
      <c r="G4" s="458" t="s">
        <v>42</v>
      </c>
      <c r="H4" s="458"/>
      <c r="I4" s="152" t="s">
        <v>43</v>
      </c>
      <c r="J4" s="458" t="s">
        <v>42</v>
      </c>
      <c r="K4" s="458"/>
      <c r="L4" s="152" t="s">
        <v>43</v>
      </c>
      <c r="M4" s="492"/>
      <c r="N4" s="135"/>
      <c r="O4" s="135"/>
      <c r="P4" s="135"/>
      <c r="Q4" s="135"/>
      <c r="R4" s="139"/>
    </row>
    <row r="5" spans="1:18" s="140" customFormat="1" ht="23.1" customHeight="1">
      <c r="A5" s="490"/>
      <c r="B5" s="490"/>
      <c r="C5" s="490"/>
      <c r="D5" s="64" t="s">
        <v>1053</v>
      </c>
      <c r="E5" s="145" t="s">
        <v>97</v>
      </c>
      <c r="F5" s="63" t="s">
        <v>63</v>
      </c>
      <c r="G5" s="64" t="s">
        <v>1053</v>
      </c>
      <c r="H5" s="145" t="s">
        <v>97</v>
      </c>
      <c r="I5" s="64" t="s">
        <v>97</v>
      </c>
      <c r="J5" s="64" t="s">
        <v>1053</v>
      </c>
      <c r="K5" s="64" t="s">
        <v>97</v>
      </c>
      <c r="L5" s="64" t="s">
        <v>97</v>
      </c>
      <c r="M5" s="492"/>
      <c r="N5" s="135"/>
      <c r="O5" s="135"/>
      <c r="P5" s="135"/>
      <c r="Q5" s="135"/>
      <c r="R5" s="139"/>
    </row>
    <row r="6" spans="1:18" s="140" customFormat="1" ht="24" customHeight="1">
      <c r="A6" s="146">
        <v>1</v>
      </c>
      <c r="B6" s="147" t="s">
        <v>1293</v>
      </c>
      <c r="C6" s="148" t="s">
        <v>47</v>
      </c>
      <c r="D6" s="122"/>
      <c r="F6" s="122"/>
      <c r="G6" s="147"/>
      <c r="H6" s="122"/>
      <c r="I6" s="97">
        <f>-专业分包费!O581*0.02</f>
        <v>15870.871634382867</v>
      </c>
      <c r="J6" s="103"/>
      <c r="K6" s="97"/>
      <c r="L6" s="97">
        <f>-专业分包费!U581*0.02</f>
        <v>-25477.751134368202</v>
      </c>
      <c r="M6" s="89"/>
      <c r="N6" s="135"/>
      <c r="O6" s="135"/>
      <c r="P6" s="135"/>
      <c r="Q6" s="135"/>
      <c r="R6" s="139"/>
    </row>
    <row r="7" spans="1:18" s="140" customFormat="1" ht="23.1" customHeight="1">
      <c r="A7" s="149"/>
      <c r="B7" s="150"/>
      <c r="C7" s="118"/>
      <c r="D7" s="107"/>
      <c r="E7" s="122"/>
      <c r="F7" s="107"/>
      <c r="G7" s="107"/>
      <c r="H7" s="122"/>
      <c r="I7" s="100"/>
      <c r="J7" s="100"/>
      <c r="K7" s="97"/>
      <c r="L7" s="100"/>
      <c r="M7" s="107"/>
      <c r="N7" s="135"/>
      <c r="O7" s="135"/>
      <c r="P7" s="135"/>
      <c r="Q7" s="135"/>
      <c r="R7" s="139"/>
    </row>
    <row r="8" spans="1:18" s="140" customFormat="1" ht="23.1" customHeight="1">
      <c r="A8" s="149"/>
      <c r="B8" s="147"/>
      <c r="C8" s="118"/>
      <c r="D8" s="107"/>
      <c r="E8" s="122"/>
      <c r="F8" s="107"/>
      <c r="G8" s="107"/>
      <c r="H8" s="122"/>
      <c r="I8" s="100"/>
      <c r="J8" s="100"/>
      <c r="K8" s="97"/>
      <c r="L8" s="100"/>
      <c r="M8" s="107"/>
      <c r="N8" s="135"/>
      <c r="O8" s="135"/>
      <c r="P8" s="135"/>
      <c r="Q8" s="135"/>
      <c r="R8" s="139"/>
    </row>
    <row r="9" spans="1:18" s="140" customFormat="1" ht="23.1" customHeight="1">
      <c r="A9" s="149"/>
      <c r="B9" s="151"/>
      <c r="C9" s="118"/>
      <c r="D9" s="107"/>
      <c r="E9" s="122"/>
      <c r="F9" s="107"/>
      <c r="G9" s="107"/>
      <c r="H9" s="122"/>
      <c r="I9" s="100"/>
      <c r="J9" s="100"/>
      <c r="K9" s="97"/>
      <c r="L9" s="100"/>
      <c r="M9" s="107"/>
      <c r="N9" s="135"/>
      <c r="O9" s="135"/>
      <c r="P9" s="135"/>
      <c r="Q9" s="135"/>
      <c r="R9" s="139"/>
    </row>
    <row r="10" spans="1:18" s="140" customFormat="1" ht="23.1" customHeight="1">
      <c r="A10" s="149"/>
      <c r="B10" s="151"/>
      <c r="C10" s="118"/>
      <c r="D10" s="107"/>
      <c r="E10" s="122"/>
      <c r="F10" s="107"/>
      <c r="G10" s="107"/>
      <c r="H10" s="122"/>
      <c r="I10" s="100"/>
      <c r="J10" s="100"/>
      <c r="K10" s="97"/>
      <c r="L10" s="100"/>
      <c r="M10" s="107"/>
      <c r="N10" s="135"/>
      <c r="O10" s="135"/>
      <c r="P10" s="135"/>
      <c r="Q10" s="135"/>
      <c r="R10" s="139"/>
    </row>
    <row r="11" spans="1:18" s="140" customFormat="1" ht="23.1" customHeight="1">
      <c r="A11" s="149"/>
      <c r="B11" s="151"/>
      <c r="C11" s="118"/>
      <c r="D11" s="107"/>
      <c r="E11" s="122"/>
      <c r="F11" s="122"/>
      <c r="G11" s="107"/>
      <c r="H11" s="122"/>
      <c r="I11" s="100"/>
      <c r="J11" s="100"/>
      <c r="K11" s="97"/>
      <c r="L11" s="100"/>
      <c r="M11" s="107"/>
      <c r="N11" s="135"/>
      <c r="O11" s="135"/>
      <c r="P11" s="135"/>
      <c r="Q11" s="135"/>
      <c r="R11" s="139"/>
    </row>
    <row r="12" spans="1:18" s="140" customFormat="1" ht="23.1" customHeight="1">
      <c r="A12" s="149"/>
      <c r="B12" s="151"/>
      <c r="C12" s="118"/>
      <c r="D12" s="107"/>
      <c r="E12" s="122"/>
      <c r="F12" s="122"/>
      <c r="G12" s="107"/>
      <c r="H12" s="122"/>
      <c r="I12" s="100"/>
      <c r="J12" s="100"/>
      <c r="K12" s="97"/>
      <c r="L12" s="100"/>
      <c r="M12" s="107"/>
      <c r="N12" s="135"/>
      <c r="O12" s="135"/>
      <c r="P12" s="135"/>
      <c r="Q12" s="135"/>
      <c r="R12" s="139"/>
    </row>
    <row r="13" spans="1:18" s="140" customFormat="1" ht="23.1" customHeight="1">
      <c r="A13" s="149"/>
      <c r="B13" s="151"/>
      <c r="C13" s="118"/>
      <c r="D13" s="107"/>
      <c r="E13" s="122"/>
      <c r="F13" s="122"/>
      <c r="G13" s="107"/>
      <c r="H13" s="122"/>
      <c r="I13" s="100"/>
      <c r="J13" s="100"/>
      <c r="K13" s="97"/>
      <c r="L13" s="100"/>
      <c r="M13" s="107"/>
      <c r="N13" s="135"/>
      <c r="O13" s="135"/>
      <c r="P13" s="135"/>
      <c r="Q13" s="135"/>
      <c r="R13" s="139"/>
    </row>
    <row r="14" spans="1:18" s="140" customFormat="1" ht="23.1" customHeight="1">
      <c r="A14" s="149"/>
      <c r="B14" s="151"/>
      <c r="C14" s="118"/>
      <c r="D14" s="107"/>
      <c r="E14" s="122"/>
      <c r="F14" s="107"/>
      <c r="G14" s="107"/>
      <c r="H14" s="122"/>
      <c r="I14" s="100"/>
      <c r="J14" s="100"/>
      <c r="K14" s="97"/>
      <c r="L14" s="100"/>
      <c r="M14" s="107"/>
      <c r="N14" s="135"/>
      <c r="O14" s="135"/>
      <c r="P14" s="135"/>
      <c r="Q14" s="135"/>
      <c r="R14" s="135"/>
    </row>
    <row r="15" spans="1:18" s="140" customFormat="1" ht="23.1" customHeight="1">
      <c r="A15" s="149"/>
      <c r="B15" s="151"/>
      <c r="C15" s="118"/>
      <c r="D15" s="107"/>
      <c r="E15" s="122"/>
      <c r="F15" s="107"/>
      <c r="G15" s="107"/>
      <c r="H15" s="122"/>
      <c r="I15" s="100"/>
      <c r="J15" s="100"/>
      <c r="K15" s="97"/>
      <c r="L15" s="100"/>
      <c r="M15" s="107"/>
      <c r="N15" s="135"/>
      <c r="O15" s="135"/>
      <c r="P15" s="135"/>
      <c r="Q15" s="135"/>
      <c r="R15" s="135"/>
    </row>
    <row r="16" spans="1:18" s="140" customFormat="1" ht="23.1" customHeight="1">
      <c r="A16" s="149"/>
      <c r="B16" s="151"/>
      <c r="C16" s="118"/>
      <c r="D16" s="107"/>
      <c r="E16" s="122"/>
      <c r="F16" s="107"/>
      <c r="G16" s="107"/>
      <c r="H16" s="122"/>
      <c r="I16" s="100"/>
      <c r="J16" s="100"/>
      <c r="K16" s="97"/>
      <c r="L16" s="100"/>
      <c r="M16" s="107"/>
      <c r="N16" s="135"/>
      <c r="O16" s="135"/>
      <c r="P16" s="135"/>
      <c r="Q16" s="135"/>
      <c r="R16" s="135"/>
    </row>
    <row r="17" spans="1:18" s="141" customFormat="1" ht="23.1" customHeight="1">
      <c r="A17" s="86"/>
      <c r="B17" s="87" t="s">
        <v>63</v>
      </c>
      <c r="C17" s="88"/>
      <c r="D17" s="89"/>
      <c r="E17" s="147"/>
      <c r="F17" s="89"/>
      <c r="G17" s="89"/>
      <c r="H17" s="147"/>
      <c r="I17" s="153">
        <f>SUM(I6:I16)</f>
        <v>15870.871634382867</v>
      </c>
      <c r="J17" s="153"/>
      <c r="K17" s="103"/>
      <c r="L17" s="153">
        <f>SUM(L6:L16)</f>
        <v>-25477.751134368202</v>
      </c>
      <c r="M17" s="89"/>
      <c r="N17" s="154"/>
      <c r="O17" s="154"/>
      <c r="P17" s="154"/>
      <c r="Q17" s="154"/>
      <c r="R17" s="154"/>
    </row>
    <row r="18" spans="1:18">
      <c r="A18" s="91"/>
      <c r="B18" s="92"/>
      <c r="C18" s="93"/>
      <c r="D18" s="94"/>
      <c r="E18" s="95"/>
      <c r="F18" s="96"/>
      <c r="G18" s="94"/>
      <c r="H18" s="95"/>
      <c r="I18" s="94"/>
      <c r="J18" s="94"/>
      <c r="K18" s="94"/>
      <c r="L18" s="94"/>
      <c r="M18" s="104"/>
      <c r="N18" s="106"/>
      <c r="O18" s="106"/>
      <c r="P18" s="106"/>
      <c r="Q18" s="106"/>
      <c r="R18" s="106"/>
    </row>
    <row r="19" spans="1:18">
      <c r="A19" s="91"/>
      <c r="B19" s="92"/>
      <c r="C19" s="93"/>
      <c r="D19" s="94"/>
      <c r="E19" s="95"/>
      <c r="F19" s="96"/>
      <c r="G19" s="94"/>
      <c r="H19" s="95"/>
      <c r="I19" s="94"/>
      <c r="J19" s="94"/>
      <c r="K19" s="94"/>
      <c r="L19" s="94"/>
      <c r="M19" s="104"/>
      <c r="N19" s="106"/>
      <c r="O19" s="106"/>
      <c r="P19" s="106"/>
      <c r="Q19" s="106"/>
      <c r="R19" s="106"/>
    </row>
    <row r="20" spans="1:18">
      <c r="A20" s="91"/>
      <c r="B20" s="92"/>
      <c r="C20" s="93"/>
      <c r="D20" s="94"/>
      <c r="E20" s="95"/>
      <c r="F20" s="96"/>
      <c r="G20" s="94"/>
      <c r="H20" s="95"/>
      <c r="I20" s="94"/>
      <c r="J20" s="94"/>
      <c r="K20" s="94"/>
      <c r="L20" s="94"/>
      <c r="M20" s="104"/>
      <c r="N20" s="106"/>
      <c r="O20" s="106"/>
      <c r="P20" s="106"/>
      <c r="Q20" s="106"/>
      <c r="R20" s="106"/>
    </row>
    <row r="21" spans="1:18">
      <c r="A21" s="91"/>
      <c r="B21" s="92"/>
      <c r="C21" s="93"/>
      <c r="D21" s="94"/>
      <c r="E21" s="95"/>
      <c r="F21" s="96"/>
      <c r="G21" s="94"/>
      <c r="H21" s="95"/>
      <c r="I21" s="94"/>
      <c r="J21" s="94"/>
      <c r="K21" s="94"/>
      <c r="L21" s="94"/>
      <c r="M21" s="104"/>
      <c r="N21" s="106"/>
      <c r="O21" s="106"/>
      <c r="P21" s="106"/>
      <c r="Q21" s="106"/>
      <c r="R21" s="106"/>
    </row>
    <row r="22" spans="1:18">
      <c r="A22" s="91"/>
      <c r="B22" s="92"/>
      <c r="C22" s="93"/>
      <c r="D22" s="94"/>
      <c r="E22" s="95"/>
      <c r="F22" s="96"/>
      <c r="G22" s="94"/>
      <c r="H22" s="95"/>
      <c r="I22" s="94"/>
      <c r="J22" s="94"/>
      <c r="K22" s="94"/>
      <c r="L22" s="94"/>
      <c r="M22" s="104"/>
      <c r="N22" s="106"/>
      <c r="O22" s="106"/>
      <c r="P22" s="106"/>
      <c r="Q22" s="106"/>
      <c r="R22" s="106"/>
    </row>
    <row r="23" spans="1:18">
      <c r="A23" s="91"/>
      <c r="B23" s="92"/>
      <c r="C23" s="93"/>
      <c r="D23" s="94"/>
      <c r="E23" s="95"/>
      <c r="F23" s="96"/>
      <c r="G23" s="94"/>
      <c r="H23" s="95"/>
      <c r="I23" s="94"/>
      <c r="J23" s="94"/>
      <c r="K23" s="94"/>
      <c r="L23" s="94"/>
      <c r="M23" s="104"/>
      <c r="N23" s="106"/>
      <c r="O23" s="106"/>
      <c r="P23" s="106"/>
      <c r="Q23" s="106"/>
      <c r="R23" s="106"/>
    </row>
    <row r="24" spans="1:18">
      <c r="A24" s="91"/>
      <c r="B24" s="92"/>
      <c r="C24" s="93"/>
      <c r="D24" s="94"/>
      <c r="E24" s="95"/>
      <c r="F24" s="96"/>
      <c r="G24" s="94"/>
      <c r="H24" s="95"/>
      <c r="I24" s="94"/>
      <c r="J24" s="94"/>
      <c r="K24" s="94"/>
      <c r="L24" s="94"/>
      <c r="M24" s="104"/>
      <c r="N24" s="106"/>
      <c r="O24" s="106"/>
      <c r="P24" s="106"/>
      <c r="Q24" s="106"/>
      <c r="R24" s="106"/>
    </row>
    <row r="25" spans="1:18">
      <c r="A25" s="91"/>
      <c r="B25" s="92"/>
      <c r="C25" s="93"/>
      <c r="D25" s="94"/>
      <c r="E25" s="95"/>
      <c r="F25" s="96"/>
      <c r="G25" s="94"/>
      <c r="H25" s="95"/>
      <c r="I25" s="94"/>
      <c r="J25" s="94"/>
      <c r="K25" s="94"/>
      <c r="L25" s="94"/>
      <c r="M25" s="104"/>
      <c r="N25" s="106"/>
      <c r="O25" s="106"/>
      <c r="P25" s="106"/>
      <c r="Q25" s="106"/>
      <c r="R25" s="106"/>
    </row>
    <row r="26" spans="1:18">
      <c r="A26" s="91"/>
      <c r="B26" s="92"/>
      <c r="C26" s="93"/>
      <c r="D26" s="94"/>
      <c r="E26" s="95"/>
      <c r="F26" s="96"/>
      <c r="G26" s="94"/>
      <c r="H26" s="95"/>
      <c r="I26" s="94"/>
      <c r="J26" s="94"/>
      <c r="K26" s="94"/>
      <c r="L26" s="94"/>
      <c r="M26" s="104"/>
      <c r="N26" s="106"/>
      <c r="O26" s="106"/>
      <c r="P26" s="106"/>
      <c r="Q26" s="106"/>
      <c r="R26" s="106"/>
    </row>
    <row r="27" spans="1:18">
      <c r="A27" s="91"/>
      <c r="B27" s="92"/>
      <c r="C27" s="93"/>
      <c r="D27" s="94"/>
      <c r="E27" s="95"/>
      <c r="F27" s="96"/>
      <c r="G27" s="94"/>
      <c r="H27" s="95"/>
      <c r="I27" s="94"/>
      <c r="J27" s="94"/>
      <c r="K27" s="94"/>
      <c r="L27" s="94"/>
      <c r="M27" s="104"/>
      <c r="N27" s="106"/>
      <c r="O27" s="106"/>
      <c r="P27" s="106"/>
      <c r="Q27" s="106"/>
      <c r="R27" s="106"/>
    </row>
    <row r="28" spans="1:18">
      <c r="A28" s="91"/>
      <c r="B28" s="92"/>
      <c r="C28" s="93"/>
      <c r="D28" s="94"/>
      <c r="E28" s="95"/>
      <c r="F28" s="96"/>
      <c r="G28" s="94"/>
      <c r="H28" s="95"/>
      <c r="I28" s="94"/>
      <c r="J28" s="94"/>
      <c r="K28" s="94"/>
      <c r="L28" s="94"/>
      <c r="M28" s="104"/>
      <c r="N28" s="106"/>
      <c r="O28" s="106"/>
      <c r="P28" s="106"/>
      <c r="Q28" s="106"/>
      <c r="R28" s="106"/>
    </row>
    <row r="29" spans="1:18">
      <c r="A29" s="91"/>
      <c r="B29" s="92"/>
      <c r="C29" s="93"/>
      <c r="D29" s="94"/>
      <c r="E29" s="95"/>
      <c r="F29" s="96"/>
      <c r="G29" s="94"/>
      <c r="H29" s="95"/>
      <c r="I29" s="94"/>
      <c r="J29" s="94"/>
      <c r="K29" s="94"/>
      <c r="L29" s="94"/>
      <c r="M29" s="104"/>
      <c r="N29" s="106"/>
      <c r="O29" s="106"/>
      <c r="P29" s="106"/>
      <c r="Q29" s="106"/>
      <c r="R29" s="106"/>
    </row>
    <row r="30" spans="1:18">
      <c r="A30" s="91"/>
      <c r="B30" s="92"/>
      <c r="C30" s="93"/>
      <c r="D30" s="94"/>
      <c r="E30" s="95"/>
      <c r="F30" s="96"/>
      <c r="G30" s="94"/>
      <c r="H30" s="95"/>
      <c r="I30" s="94"/>
      <c r="J30" s="94"/>
      <c r="K30" s="94"/>
      <c r="L30" s="94"/>
      <c r="M30" s="106"/>
      <c r="N30" s="106"/>
      <c r="O30" s="106"/>
      <c r="P30" s="106"/>
      <c r="Q30" s="106"/>
      <c r="R30" s="106"/>
    </row>
    <row r="31" spans="1:18">
      <c r="A31" s="91"/>
      <c r="B31" s="92"/>
      <c r="C31" s="93"/>
      <c r="D31" s="94"/>
      <c r="E31" s="95"/>
      <c r="F31" s="96"/>
      <c r="G31" s="94"/>
      <c r="H31" s="95"/>
      <c r="I31" s="94"/>
      <c r="J31" s="94"/>
      <c r="K31" s="94"/>
      <c r="L31" s="94"/>
      <c r="M31" s="106"/>
      <c r="N31" s="106"/>
      <c r="O31" s="106"/>
      <c r="P31" s="106"/>
      <c r="Q31" s="106"/>
      <c r="R31" s="106"/>
    </row>
    <row r="32" spans="1:18">
      <c r="A32" s="91"/>
      <c r="B32" s="92"/>
      <c r="C32" s="93"/>
      <c r="D32" s="94"/>
      <c r="E32" s="95"/>
      <c r="F32" s="96"/>
      <c r="G32" s="94"/>
      <c r="H32" s="95"/>
      <c r="I32" s="94"/>
      <c r="J32" s="94"/>
      <c r="K32" s="94"/>
      <c r="L32" s="94"/>
      <c r="M32" s="106"/>
      <c r="N32" s="106"/>
      <c r="O32" s="106"/>
      <c r="P32" s="106"/>
      <c r="Q32" s="106"/>
      <c r="R32" s="106"/>
    </row>
    <row r="33" spans="1:18">
      <c r="A33" s="91"/>
      <c r="B33" s="92"/>
      <c r="C33" s="93"/>
      <c r="D33" s="94"/>
      <c r="E33" s="95"/>
      <c r="F33" s="96"/>
      <c r="G33" s="94"/>
      <c r="H33" s="95"/>
      <c r="I33" s="94"/>
      <c r="J33" s="94"/>
      <c r="K33" s="94"/>
      <c r="L33" s="94"/>
      <c r="M33" s="106"/>
      <c r="N33" s="106"/>
      <c r="O33" s="106"/>
      <c r="P33" s="106"/>
      <c r="Q33" s="106"/>
      <c r="R33" s="106"/>
    </row>
    <row r="34" spans="1:18">
      <c r="A34" s="91"/>
      <c r="B34" s="92"/>
      <c r="C34" s="93"/>
      <c r="D34" s="94"/>
      <c r="E34" s="95"/>
      <c r="F34" s="96"/>
      <c r="G34" s="94"/>
      <c r="H34" s="95"/>
      <c r="I34" s="94"/>
      <c r="J34" s="94"/>
      <c r="K34" s="94"/>
      <c r="L34" s="94"/>
      <c r="M34" s="106"/>
      <c r="N34" s="106"/>
      <c r="O34" s="106"/>
      <c r="P34" s="106"/>
      <c r="Q34" s="106"/>
      <c r="R34" s="106"/>
    </row>
    <row r="35" spans="1:18">
      <c r="A35" s="91"/>
      <c r="B35" s="92"/>
      <c r="C35" s="93"/>
      <c r="D35" s="94"/>
      <c r="E35" s="95"/>
      <c r="F35" s="96"/>
      <c r="G35" s="94"/>
      <c r="H35" s="95"/>
      <c r="I35" s="94"/>
      <c r="J35" s="94"/>
      <c r="K35" s="94"/>
      <c r="L35" s="94"/>
      <c r="M35" s="106"/>
      <c r="N35" s="106"/>
      <c r="O35" s="106"/>
      <c r="P35" s="106"/>
      <c r="Q35" s="106"/>
      <c r="R35" s="106"/>
    </row>
    <row r="36" spans="1:18">
      <c r="A36" s="91"/>
      <c r="B36" s="92"/>
      <c r="C36" s="93"/>
      <c r="D36" s="94"/>
      <c r="E36" s="95"/>
      <c r="F36" s="96"/>
      <c r="G36" s="94"/>
      <c r="H36" s="95"/>
      <c r="I36" s="94"/>
      <c r="J36" s="94"/>
      <c r="K36" s="94"/>
      <c r="L36" s="94"/>
      <c r="M36" s="106"/>
      <c r="N36" s="106"/>
      <c r="O36" s="106"/>
      <c r="P36" s="106"/>
      <c r="Q36" s="106"/>
      <c r="R36" s="106"/>
    </row>
    <row r="37" spans="1:18">
      <c r="A37" s="91"/>
      <c r="B37" s="92"/>
      <c r="C37" s="93"/>
      <c r="D37" s="94"/>
      <c r="E37" s="95"/>
      <c r="F37" s="96"/>
      <c r="G37" s="94"/>
      <c r="H37" s="95"/>
      <c r="I37" s="94"/>
      <c r="J37" s="94"/>
      <c r="K37" s="94"/>
      <c r="L37" s="94"/>
      <c r="M37" s="106"/>
      <c r="N37" s="106"/>
      <c r="O37" s="106"/>
      <c r="P37" s="106"/>
      <c r="Q37" s="106"/>
      <c r="R37" s="106"/>
    </row>
    <row r="38" spans="1:18">
      <c r="A38" s="91"/>
      <c r="B38" s="92"/>
      <c r="C38" s="93"/>
      <c r="D38" s="94"/>
      <c r="E38" s="95"/>
      <c r="F38" s="96"/>
      <c r="G38" s="94"/>
      <c r="H38" s="95"/>
      <c r="I38" s="94"/>
      <c r="J38" s="94"/>
      <c r="K38" s="94"/>
      <c r="L38" s="94"/>
      <c r="M38" s="106"/>
      <c r="N38" s="106"/>
      <c r="O38" s="106"/>
      <c r="P38" s="106"/>
      <c r="Q38" s="106"/>
      <c r="R38" s="106"/>
    </row>
    <row r="39" spans="1:18">
      <c r="A39" s="91"/>
      <c r="B39" s="92"/>
      <c r="C39" s="93"/>
      <c r="D39" s="94"/>
      <c r="E39" s="95"/>
      <c r="F39" s="96"/>
      <c r="G39" s="94"/>
      <c r="H39" s="95"/>
      <c r="I39" s="94"/>
      <c r="J39" s="94"/>
      <c r="K39" s="94"/>
      <c r="L39" s="94"/>
      <c r="M39" s="106"/>
      <c r="N39" s="106"/>
      <c r="O39" s="106"/>
      <c r="P39" s="106"/>
      <c r="Q39" s="106"/>
      <c r="R39" s="106"/>
    </row>
    <row r="40" spans="1:18">
      <c r="A40" s="91"/>
      <c r="B40" s="92"/>
      <c r="C40" s="93"/>
      <c r="D40" s="94"/>
      <c r="E40" s="95"/>
      <c r="F40" s="96"/>
      <c r="G40" s="94"/>
      <c r="H40" s="95"/>
      <c r="I40" s="94"/>
      <c r="J40" s="94"/>
      <c r="K40" s="94"/>
      <c r="L40" s="94"/>
      <c r="M40" s="106"/>
      <c r="N40" s="106"/>
      <c r="O40" s="106"/>
      <c r="P40" s="106"/>
      <c r="Q40" s="106"/>
      <c r="R40" s="106"/>
    </row>
    <row r="41" spans="1:18">
      <c r="A41" s="91"/>
      <c r="B41" s="92"/>
      <c r="C41" s="93"/>
      <c r="D41" s="94"/>
      <c r="E41" s="95"/>
      <c r="F41" s="96"/>
      <c r="G41" s="94"/>
      <c r="H41" s="95"/>
      <c r="I41" s="94"/>
      <c r="J41" s="94"/>
      <c r="K41" s="94"/>
      <c r="L41" s="94"/>
      <c r="M41" s="106"/>
      <c r="N41" s="106"/>
      <c r="O41" s="106"/>
      <c r="P41" s="106"/>
      <c r="Q41" s="106"/>
      <c r="R41" s="106"/>
    </row>
    <row r="42" spans="1:18">
      <c r="A42" s="91"/>
      <c r="B42" s="92"/>
      <c r="C42" s="93"/>
      <c r="D42" s="94"/>
      <c r="E42" s="95"/>
      <c r="F42" s="96"/>
      <c r="G42" s="94"/>
      <c r="H42" s="95"/>
      <c r="I42" s="94"/>
      <c r="J42" s="94"/>
      <c r="K42" s="94"/>
      <c r="L42" s="94"/>
      <c r="M42" s="106"/>
      <c r="N42" s="106"/>
      <c r="O42" s="106"/>
      <c r="P42" s="106"/>
      <c r="Q42" s="106"/>
      <c r="R42" s="106"/>
    </row>
    <row r="43" spans="1:18">
      <c r="A43" s="91"/>
      <c r="B43" s="92"/>
      <c r="C43" s="93"/>
      <c r="D43" s="94"/>
      <c r="E43" s="95"/>
      <c r="F43" s="96"/>
      <c r="G43" s="94"/>
      <c r="H43" s="95"/>
      <c r="I43" s="94"/>
      <c r="J43" s="94"/>
      <c r="K43" s="94"/>
      <c r="L43" s="94"/>
      <c r="M43" s="106"/>
      <c r="N43" s="106"/>
      <c r="O43" s="106"/>
      <c r="P43" s="106"/>
      <c r="Q43" s="106"/>
      <c r="R43" s="106"/>
    </row>
    <row r="44" spans="1:18">
      <c r="A44" s="91"/>
      <c r="B44" s="92"/>
      <c r="C44" s="93"/>
      <c r="D44" s="94"/>
      <c r="E44" s="95"/>
      <c r="F44" s="96"/>
      <c r="G44" s="94"/>
      <c r="H44" s="95"/>
      <c r="I44" s="94"/>
      <c r="J44" s="94"/>
      <c r="K44" s="94"/>
      <c r="L44" s="94"/>
      <c r="M44" s="106"/>
      <c r="N44" s="106"/>
      <c r="O44" s="106"/>
      <c r="P44" s="106"/>
      <c r="Q44" s="106"/>
      <c r="R44" s="106"/>
    </row>
    <row r="45" spans="1:18">
      <c r="A45" s="91"/>
      <c r="B45" s="92"/>
      <c r="C45" s="93"/>
      <c r="D45" s="94"/>
      <c r="E45" s="95"/>
      <c r="F45" s="96"/>
      <c r="G45" s="94"/>
      <c r="H45" s="95"/>
      <c r="I45" s="94"/>
      <c r="J45" s="94"/>
      <c r="K45" s="94"/>
      <c r="L45" s="94"/>
      <c r="M45" s="106"/>
      <c r="N45" s="106"/>
      <c r="O45" s="106"/>
      <c r="P45" s="106"/>
      <c r="Q45" s="106"/>
      <c r="R45" s="106"/>
    </row>
    <row r="46" spans="1:18">
      <c r="A46" s="91"/>
      <c r="B46" s="92"/>
      <c r="C46" s="93"/>
      <c r="D46" s="94"/>
      <c r="E46" s="95"/>
      <c r="F46" s="96"/>
      <c r="G46" s="94"/>
      <c r="H46" s="95"/>
      <c r="I46" s="94"/>
      <c r="J46" s="94"/>
      <c r="K46" s="94"/>
      <c r="L46" s="94"/>
      <c r="M46" s="106"/>
      <c r="N46" s="106"/>
      <c r="O46" s="106"/>
      <c r="P46" s="106"/>
      <c r="Q46" s="106"/>
      <c r="R46" s="106"/>
    </row>
    <row r="47" spans="1:18">
      <c r="A47" s="91"/>
      <c r="B47" s="92"/>
      <c r="C47" s="93"/>
      <c r="D47" s="94"/>
      <c r="E47" s="95"/>
      <c r="F47" s="96"/>
      <c r="G47" s="94"/>
      <c r="H47" s="95"/>
      <c r="I47" s="94"/>
      <c r="J47" s="94"/>
      <c r="K47" s="94"/>
      <c r="L47" s="94"/>
      <c r="M47" s="106"/>
      <c r="N47" s="106"/>
      <c r="O47" s="106"/>
      <c r="P47" s="106"/>
      <c r="Q47" s="106"/>
      <c r="R47" s="106"/>
    </row>
    <row r="48" spans="1:18">
      <c r="A48" s="91"/>
      <c r="B48" s="92"/>
      <c r="C48" s="93"/>
      <c r="D48" s="94"/>
      <c r="E48" s="95"/>
      <c r="F48" s="96"/>
      <c r="G48" s="94"/>
      <c r="H48" s="95"/>
      <c r="I48" s="94"/>
      <c r="J48" s="94"/>
      <c r="K48" s="94"/>
      <c r="L48" s="94"/>
      <c r="M48" s="106"/>
      <c r="N48" s="106"/>
      <c r="O48" s="106"/>
      <c r="P48" s="106"/>
      <c r="Q48" s="106"/>
      <c r="R48" s="106"/>
    </row>
    <row r="49" spans="1:18">
      <c r="A49" s="91"/>
      <c r="B49" s="92"/>
      <c r="C49" s="93"/>
      <c r="D49" s="94"/>
      <c r="E49" s="95"/>
      <c r="F49" s="96"/>
      <c r="G49" s="94"/>
      <c r="H49" s="95"/>
      <c r="I49" s="94"/>
      <c r="J49" s="94"/>
      <c r="K49" s="94"/>
      <c r="L49" s="94"/>
      <c r="M49" s="106"/>
      <c r="N49" s="106"/>
      <c r="O49" s="106"/>
      <c r="P49" s="106"/>
      <c r="Q49" s="106"/>
      <c r="R49" s="106"/>
    </row>
    <row r="50" spans="1:18">
      <c r="A50" s="91"/>
      <c r="B50" s="92"/>
      <c r="C50" s="93"/>
      <c r="D50" s="94"/>
      <c r="E50" s="95"/>
      <c r="F50" s="96"/>
      <c r="G50" s="94"/>
      <c r="H50" s="95"/>
      <c r="I50" s="94"/>
      <c r="J50" s="94"/>
      <c r="K50" s="94"/>
      <c r="L50" s="94"/>
      <c r="M50" s="106"/>
      <c r="N50" s="106"/>
      <c r="O50" s="106"/>
      <c r="P50" s="106"/>
      <c r="Q50" s="106"/>
      <c r="R50" s="106"/>
    </row>
    <row r="51" spans="1:18">
      <c r="A51" s="91"/>
      <c r="B51" s="92"/>
      <c r="C51" s="93"/>
      <c r="D51" s="94"/>
      <c r="E51" s="95"/>
      <c r="F51" s="96"/>
      <c r="G51" s="94"/>
      <c r="H51" s="95"/>
      <c r="I51" s="94"/>
      <c r="J51" s="94"/>
      <c r="K51" s="94"/>
      <c r="L51" s="94"/>
      <c r="M51" s="106"/>
      <c r="N51" s="106"/>
      <c r="O51" s="106"/>
      <c r="P51" s="106"/>
      <c r="Q51" s="106"/>
      <c r="R51" s="106"/>
    </row>
    <row r="52" spans="1:18">
      <c r="A52" s="91"/>
      <c r="B52" s="92"/>
      <c r="C52" s="93"/>
      <c r="D52" s="94"/>
      <c r="E52" s="95"/>
      <c r="F52" s="96"/>
      <c r="G52" s="94"/>
      <c r="H52" s="95"/>
      <c r="I52" s="94"/>
      <c r="J52" s="94"/>
      <c r="K52" s="94"/>
      <c r="L52" s="94"/>
      <c r="M52" s="106"/>
      <c r="N52" s="106"/>
      <c r="O52" s="106"/>
      <c r="P52" s="106"/>
      <c r="Q52" s="106"/>
      <c r="R52" s="106"/>
    </row>
    <row r="53" spans="1:18">
      <c r="A53" s="91"/>
      <c r="B53" s="92"/>
      <c r="C53" s="93"/>
      <c r="D53" s="94"/>
      <c r="E53" s="95"/>
      <c r="F53" s="96"/>
      <c r="G53" s="94"/>
      <c r="H53" s="95"/>
      <c r="I53" s="94"/>
      <c r="J53" s="94"/>
      <c r="K53" s="94"/>
      <c r="L53" s="94"/>
      <c r="M53" s="106"/>
      <c r="N53" s="106"/>
      <c r="O53" s="106"/>
      <c r="P53" s="106"/>
      <c r="Q53" s="106"/>
      <c r="R53" s="106"/>
    </row>
    <row r="54" spans="1:18">
      <c r="A54" s="91"/>
      <c r="B54" s="92"/>
      <c r="C54" s="93"/>
      <c r="D54" s="94"/>
      <c r="E54" s="95"/>
      <c r="F54" s="96"/>
      <c r="G54" s="94"/>
      <c r="H54" s="95"/>
      <c r="I54" s="94"/>
      <c r="J54" s="94"/>
      <c r="K54" s="94"/>
      <c r="L54" s="94"/>
      <c r="M54" s="106"/>
      <c r="N54" s="106"/>
      <c r="O54" s="106"/>
      <c r="P54" s="106"/>
      <c r="Q54" s="106"/>
      <c r="R54" s="106"/>
    </row>
    <row r="55" spans="1:18">
      <c r="A55" s="91"/>
      <c r="B55" s="92"/>
      <c r="C55" s="93"/>
      <c r="D55" s="94"/>
      <c r="E55" s="95"/>
      <c r="F55" s="96"/>
      <c r="G55" s="94"/>
      <c r="H55" s="95"/>
      <c r="I55" s="94"/>
      <c r="J55" s="94"/>
      <c r="K55" s="94"/>
      <c r="L55" s="94"/>
      <c r="M55" s="106"/>
      <c r="N55" s="106"/>
      <c r="O55" s="106"/>
      <c r="P55" s="106"/>
      <c r="Q55" s="106"/>
      <c r="R55" s="106"/>
    </row>
    <row r="56" spans="1:18">
      <c r="A56" s="91"/>
      <c r="B56" s="92"/>
      <c r="C56" s="93"/>
      <c r="D56" s="94"/>
      <c r="E56" s="95"/>
      <c r="F56" s="96"/>
      <c r="G56" s="94"/>
      <c r="H56" s="95"/>
      <c r="I56" s="94"/>
      <c r="J56" s="94"/>
      <c r="K56" s="94"/>
      <c r="L56" s="94"/>
      <c r="M56" s="106"/>
      <c r="N56" s="106"/>
      <c r="O56" s="106"/>
      <c r="P56" s="106"/>
      <c r="Q56" s="106"/>
      <c r="R56" s="106"/>
    </row>
    <row r="57" spans="1:18">
      <c r="A57" s="91"/>
      <c r="B57" s="92"/>
      <c r="C57" s="93"/>
      <c r="D57" s="94"/>
      <c r="E57" s="95"/>
      <c r="F57" s="96"/>
      <c r="G57" s="94"/>
      <c r="H57" s="95"/>
      <c r="I57" s="94"/>
      <c r="J57" s="94"/>
      <c r="K57" s="94"/>
      <c r="L57" s="94"/>
      <c r="M57" s="106"/>
      <c r="N57" s="106"/>
      <c r="O57" s="106"/>
      <c r="P57" s="106"/>
      <c r="Q57" s="106"/>
      <c r="R57" s="106"/>
    </row>
    <row r="58" spans="1:18">
      <c r="A58" s="91"/>
      <c r="B58" s="92"/>
      <c r="C58" s="93"/>
      <c r="D58" s="94"/>
      <c r="E58" s="95"/>
      <c r="F58" s="96"/>
      <c r="G58" s="94"/>
      <c r="H58" s="95"/>
      <c r="I58" s="94"/>
      <c r="J58" s="94"/>
      <c r="K58" s="94"/>
      <c r="L58" s="94"/>
      <c r="M58" s="106"/>
      <c r="N58" s="106"/>
      <c r="O58" s="106"/>
      <c r="P58" s="106"/>
      <c r="Q58" s="106"/>
      <c r="R58" s="106"/>
    </row>
    <row r="59" spans="1:18">
      <c r="A59" s="91"/>
      <c r="B59" s="92"/>
      <c r="C59" s="93"/>
      <c r="D59" s="94"/>
      <c r="E59" s="95"/>
      <c r="F59" s="96"/>
      <c r="G59" s="94"/>
      <c r="H59" s="95"/>
      <c r="I59" s="94"/>
      <c r="J59" s="94"/>
      <c r="K59" s="94"/>
      <c r="L59" s="94"/>
      <c r="M59" s="106"/>
      <c r="N59" s="106"/>
      <c r="O59" s="106"/>
      <c r="P59" s="106"/>
      <c r="Q59" s="106"/>
      <c r="R59" s="106"/>
    </row>
    <row r="60" spans="1:18">
      <c r="A60" s="91"/>
      <c r="B60" s="92"/>
      <c r="C60" s="93"/>
      <c r="D60" s="94"/>
      <c r="E60" s="95"/>
      <c r="F60" s="96"/>
      <c r="G60" s="94"/>
      <c r="H60" s="95"/>
      <c r="I60" s="94"/>
      <c r="J60" s="94"/>
      <c r="K60" s="94"/>
      <c r="L60" s="94"/>
      <c r="M60" s="106"/>
      <c r="N60" s="106"/>
      <c r="O60" s="106"/>
      <c r="P60" s="106"/>
      <c r="Q60" s="106"/>
      <c r="R60" s="106"/>
    </row>
    <row r="61" spans="1:18">
      <c r="A61" s="91"/>
      <c r="B61" s="92"/>
      <c r="C61" s="93"/>
      <c r="D61" s="94"/>
      <c r="E61" s="95"/>
      <c r="F61" s="96"/>
      <c r="G61" s="94"/>
      <c r="H61" s="95"/>
      <c r="I61" s="94"/>
      <c r="J61" s="94"/>
      <c r="K61" s="94"/>
      <c r="L61" s="94"/>
      <c r="M61" s="106"/>
      <c r="N61" s="106"/>
      <c r="O61" s="106"/>
      <c r="P61" s="106"/>
      <c r="Q61" s="106"/>
      <c r="R61" s="106"/>
    </row>
    <row r="62" spans="1:18">
      <c r="A62" s="91"/>
      <c r="B62" s="92"/>
      <c r="C62" s="93"/>
      <c r="D62" s="94"/>
      <c r="E62" s="95"/>
      <c r="F62" s="96"/>
      <c r="G62" s="94"/>
      <c r="H62" s="95"/>
      <c r="I62" s="94"/>
      <c r="J62" s="94"/>
      <c r="K62" s="94"/>
      <c r="L62" s="94"/>
      <c r="M62" s="106"/>
      <c r="N62" s="106"/>
      <c r="O62" s="106"/>
      <c r="P62" s="106"/>
      <c r="Q62" s="106"/>
      <c r="R62" s="106"/>
    </row>
    <row r="63" spans="1:18">
      <c r="A63" s="91"/>
      <c r="B63" s="92"/>
      <c r="C63" s="93"/>
      <c r="D63" s="94"/>
      <c r="E63" s="95"/>
      <c r="F63" s="96"/>
      <c r="G63" s="94"/>
      <c r="H63" s="95"/>
      <c r="I63" s="94"/>
      <c r="J63" s="94"/>
      <c r="K63" s="94"/>
      <c r="L63" s="94"/>
      <c r="M63" s="106"/>
      <c r="N63" s="106"/>
      <c r="O63" s="106"/>
      <c r="P63" s="106"/>
      <c r="Q63" s="106"/>
      <c r="R63" s="106"/>
    </row>
    <row r="64" spans="1:18">
      <c r="A64" s="91"/>
      <c r="B64" s="92"/>
      <c r="C64" s="93"/>
      <c r="D64" s="94"/>
      <c r="E64" s="95"/>
      <c r="F64" s="96"/>
      <c r="G64" s="94"/>
      <c r="H64" s="95"/>
      <c r="I64" s="94"/>
      <c r="J64" s="94"/>
      <c r="K64" s="94"/>
      <c r="L64" s="94"/>
      <c r="M64" s="106"/>
      <c r="N64" s="106"/>
      <c r="O64" s="106"/>
      <c r="P64" s="106"/>
      <c r="Q64" s="106"/>
      <c r="R64" s="106"/>
    </row>
    <row r="65" spans="1:18">
      <c r="A65" s="91"/>
      <c r="B65" s="92"/>
      <c r="C65" s="93"/>
      <c r="D65" s="94"/>
      <c r="E65" s="95"/>
      <c r="F65" s="96"/>
      <c r="G65" s="94"/>
      <c r="H65" s="95"/>
      <c r="I65" s="94"/>
      <c r="J65" s="94"/>
      <c r="K65" s="94"/>
      <c r="L65" s="94"/>
      <c r="M65" s="106"/>
      <c r="N65" s="106"/>
      <c r="O65" s="106"/>
      <c r="P65" s="106"/>
      <c r="Q65" s="106"/>
      <c r="R65" s="106"/>
    </row>
    <row r="66" spans="1:18">
      <c r="A66" s="91"/>
      <c r="B66" s="92"/>
      <c r="C66" s="93"/>
      <c r="D66" s="94"/>
      <c r="E66" s="95"/>
      <c r="F66" s="96"/>
      <c r="G66" s="94"/>
      <c r="H66" s="95"/>
      <c r="I66" s="94"/>
      <c r="J66" s="94"/>
      <c r="K66" s="94"/>
      <c r="L66" s="94"/>
      <c r="M66" s="106"/>
      <c r="N66" s="106"/>
      <c r="O66" s="106"/>
      <c r="P66" s="106"/>
      <c r="Q66" s="106"/>
      <c r="R66" s="106"/>
    </row>
    <row r="67" spans="1:18">
      <c r="A67" s="91"/>
      <c r="B67" s="92"/>
      <c r="C67" s="93"/>
      <c r="D67" s="94"/>
      <c r="E67" s="95"/>
      <c r="F67" s="96"/>
      <c r="G67" s="94"/>
      <c r="H67" s="95"/>
      <c r="I67" s="94"/>
      <c r="J67" s="94"/>
      <c r="K67" s="94"/>
      <c r="L67" s="94"/>
      <c r="M67" s="106"/>
      <c r="N67" s="106"/>
      <c r="O67" s="106"/>
      <c r="P67" s="106"/>
      <c r="Q67" s="106"/>
      <c r="R67" s="106"/>
    </row>
    <row r="68" spans="1:18">
      <c r="A68" s="91"/>
      <c r="B68" s="92"/>
      <c r="C68" s="93"/>
      <c r="D68" s="94"/>
      <c r="E68" s="95"/>
      <c r="F68" s="96"/>
      <c r="G68" s="94"/>
      <c r="H68" s="95"/>
      <c r="I68" s="94"/>
      <c r="J68" s="94"/>
      <c r="K68" s="94"/>
      <c r="L68" s="94"/>
      <c r="M68" s="106"/>
      <c r="N68" s="106"/>
      <c r="O68" s="106"/>
      <c r="P68" s="106"/>
      <c r="Q68" s="106"/>
      <c r="R68" s="106"/>
    </row>
    <row r="69" spans="1:18">
      <c r="A69" s="91"/>
      <c r="B69" s="92"/>
      <c r="C69" s="93"/>
      <c r="D69" s="94"/>
      <c r="E69" s="95"/>
      <c r="F69" s="96"/>
      <c r="G69" s="94"/>
      <c r="H69" s="95"/>
      <c r="I69" s="94"/>
      <c r="J69" s="94"/>
      <c r="K69" s="94"/>
      <c r="L69" s="94"/>
      <c r="M69" s="106"/>
      <c r="N69" s="106"/>
      <c r="O69" s="106"/>
      <c r="P69" s="106"/>
      <c r="Q69" s="106"/>
      <c r="R69" s="106"/>
    </row>
    <row r="70" spans="1:18">
      <c r="A70" s="91"/>
      <c r="B70" s="92"/>
      <c r="C70" s="93"/>
      <c r="D70" s="94"/>
      <c r="E70" s="95"/>
      <c r="F70" s="96"/>
      <c r="G70" s="94"/>
      <c r="H70" s="95"/>
      <c r="I70" s="94"/>
      <c r="J70" s="94"/>
      <c r="K70" s="94"/>
      <c r="L70" s="94"/>
      <c r="M70" s="106"/>
      <c r="N70" s="106"/>
      <c r="O70" s="106"/>
      <c r="P70" s="106"/>
      <c r="Q70" s="106"/>
      <c r="R70" s="106"/>
    </row>
    <row r="71" spans="1:18">
      <c r="A71" s="91"/>
      <c r="B71" s="92"/>
      <c r="C71" s="93"/>
      <c r="D71" s="94"/>
      <c r="E71" s="95"/>
      <c r="F71" s="96"/>
      <c r="G71" s="94"/>
      <c r="H71" s="95"/>
      <c r="I71" s="94"/>
      <c r="J71" s="94"/>
      <c r="K71" s="94"/>
      <c r="L71" s="94"/>
      <c r="M71" s="106"/>
      <c r="N71" s="106"/>
      <c r="O71" s="106"/>
      <c r="P71" s="106"/>
      <c r="Q71" s="106"/>
      <c r="R71" s="106"/>
    </row>
    <row r="72" spans="1:18">
      <c r="A72" s="91"/>
      <c r="B72" s="92"/>
      <c r="C72" s="93"/>
      <c r="D72" s="94"/>
      <c r="E72" s="95"/>
      <c r="F72" s="96"/>
      <c r="G72" s="94"/>
      <c r="H72" s="95"/>
      <c r="I72" s="94"/>
      <c r="J72" s="94"/>
      <c r="K72" s="94"/>
      <c r="L72" s="94"/>
      <c r="M72" s="106"/>
      <c r="N72" s="106"/>
      <c r="O72" s="106"/>
      <c r="P72" s="106"/>
      <c r="Q72" s="106"/>
      <c r="R72" s="106"/>
    </row>
    <row r="73" spans="1:18">
      <c r="A73" s="91"/>
      <c r="B73" s="92"/>
      <c r="C73" s="93"/>
      <c r="D73" s="94"/>
      <c r="E73" s="95"/>
      <c r="F73" s="96"/>
      <c r="G73" s="94"/>
      <c r="H73" s="95"/>
      <c r="I73" s="94"/>
      <c r="J73" s="94"/>
      <c r="K73" s="94"/>
      <c r="L73" s="94"/>
      <c r="M73" s="106"/>
      <c r="N73" s="106"/>
      <c r="O73" s="106"/>
      <c r="P73" s="106"/>
      <c r="Q73" s="106"/>
      <c r="R73" s="106"/>
    </row>
    <row r="74" spans="1:18">
      <c r="A74" s="91"/>
      <c r="B74" s="92"/>
      <c r="C74" s="93"/>
      <c r="D74" s="94"/>
      <c r="E74" s="95"/>
      <c r="F74" s="96"/>
      <c r="G74" s="94"/>
      <c r="H74" s="95"/>
      <c r="I74" s="94"/>
      <c r="J74" s="94"/>
      <c r="K74" s="94"/>
      <c r="L74" s="94"/>
      <c r="M74" s="106"/>
      <c r="N74" s="106"/>
      <c r="O74" s="106"/>
      <c r="P74" s="106"/>
      <c r="Q74" s="106"/>
      <c r="R74" s="106"/>
    </row>
    <row r="75" spans="1:18">
      <c r="A75" s="91"/>
      <c r="B75" s="92"/>
      <c r="C75" s="93"/>
      <c r="D75" s="94"/>
      <c r="E75" s="95"/>
      <c r="F75" s="96"/>
      <c r="G75" s="94"/>
      <c r="H75" s="95"/>
      <c r="I75" s="94"/>
      <c r="J75" s="94"/>
      <c r="K75" s="94"/>
      <c r="L75" s="94"/>
      <c r="M75" s="106"/>
      <c r="N75" s="106"/>
      <c r="O75" s="106"/>
      <c r="P75" s="106"/>
      <c r="Q75" s="106"/>
      <c r="R75" s="106"/>
    </row>
    <row r="76" spans="1:18">
      <c r="A76" s="91"/>
      <c r="B76" s="92"/>
      <c r="C76" s="93"/>
      <c r="D76" s="94"/>
      <c r="E76" s="95"/>
      <c r="F76" s="96"/>
      <c r="G76" s="94"/>
      <c r="H76" s="95"/>
      <c r="I76" s="94"/>
      <c r="J76" s="94"/>
      <c r="K76" s="94"/>
      <c r="L76" s="94"/>
      <c r="M76" s="106"/>
      <c r="N76" s="106"/>
      <c r="O76" s="106"/>
      <c r="P76" s="106"/>
      <c r="Q76" s="106"/>
      <c r="R76" s="106"/>
    </row>
    <row r="77" spans="1:18">
      <c r="A77" s="91"/>
      <c r="B77" s="92"/>
      <c r="C77" s="93"/>
      <c r="D77" s="94"/>
      <c r="E77" s="95"/>
      <c r="F77" s="96"/>
      <c r="G77" s="94"/>
      <c r="H77" s="95"/>
      <c r="I77" s="94"/>
      <c r="J77" s="94"/>
      <c r="K77" s="94"/>
      <c r="L77" s="94"/>
      <c r="M77" s="106"/>
      <c r="N77" s="106"/>
      <c r="O77" s="106"/>
      <c r="P77" s="106"/>
      <c r="Q77" s="106"/>
      <c r="R77" s="106"/>
    </row>
    <row r="78" spans="1:18">
      <c r="A78" s="91"/>
      <c r="B78" s="92"/>
      <c r="C78" s="93"/>
      <c r="D78" s="94"/>
      <c r="E78" s="95"/>
      <c r="F78" s="96"/>
      <c r="G78" s="94"/>
      <c r="H78" s="95"/>
      <c r="I78" s="94"/>
      <c r="J78" s="94"/>
      <c r="K78" s="94"/>
      <c r="L78" s="94"/>
      <c r="M78" s="106"/>
      <c r="N78" s="106"/>
      <c r="O78" s="106"/>
      <c r="P78" s="106"/>
      <c r="Q78" s="106"/>
      <c r="R78" s="106"/>
    </row>
    <row r="79" spans="1:18">
      <c r="A79" s="91"/>
      <c r="B79" s="92"/>
      <c r="C79" s="93"/>
      <c r="D79" s="94"/>
      <c r="E79" s="95"/>
      <c r="F79" s="96"/>
      <c r="G79" s="94"/>
      <c r="H79" s="95"/>
      <c r="I79" s="94"/>
      <c r="J79" s="94"/>
      <c r="K79" s="94"/>
      <c r="L79" s="94"/>
      <c r="M79" s="106"/>
      <c r="N79" s="106"/>
      <c r="O79" s="106"/>
      <c r="P79" s="106"/>
      <c r="Q79" s="106"/>
      <c r="R79" s="106"/>
    </row>
    <row r="80" spans="1:18">
      <c r="A80" s="91"/>
      <c r="B80" s="92"/>
      <c r="C80" s="93"/>
      <c r="D80" s="94"/>
      <c r="E80" s="95"/>
      <c r="F80" s="96"/>
      <c r="G80" s="94"/>
      <c r="H80" s="95"/>
      <c r="I80" s="94"/>
      <c r="J80" s="94"/>
      <c r="K80" s="94"/>
      <c r="L80" s="94"/>
      <c r="M80" s="106"/>
      <c r="N80" s="106"/>
      <c r="O80" s="106"/>
      <c r="P80" s="106"/>
      <c r="Q80" s="106"/>
      <c r="R80" s="106"/>
    </row>
    <row r="81" spans="1:18">
      <c r="A81" s="91"/>
      <c r="B81" s="92"/>
      <c r="C81" s="93"/>
      <c r="D81" s="94"/>
      <c r="E81" s="95"/>
      <c r="F81" s="96"/>
      <c r="G81" s="94"/>
      <c r="H81" s="95"/>
      <c r="I81" s="94"/>
      <c r="J81" s="94"/>
      <c r="K81" s="94"/>
      <c r="L81" s="94"/>
      <c r="M81" s="106"/>
      <c r="N81" s="106"/>
      <c r="O81" s="106"/>
      <c r="P81" s="106"/>
      <c r="Q81" s="106"/>
      <c r="R81" s="106"/>
    </row>
    <row r="82" spans="1:18">
      <c r="A82" s="91"/>
      <c r="B82" s="92"/>
      <c r="C82" s="93"/>
      <c r="D82" s="94"/>
      <c r="E82" s="95"/>
      <c r="F82" s="96"/>
      <c r="G82" s="94"/>
      <c r="H82" s="95"/>
      <c r="I82" s="94"/>
      <c r="J82" s="94"/>
      <c r="K82" s="94"/>
      <c r="L82" s="94"/>
      <c r="M82" s="106"/>
      <c r="N82" s="106"/>
      <c r="O82" s="106"/>
      <c r="P82" s="106"/>
      <c r="Q82" s="106"/>
      <c r="R82" s="106"/>
    </row>
    <row r="83" spans="1:18">
      <c r="A83" s="91"/>
      <c r="B83" s="92"/>
      <c r="C83" s="93"/>
      <c r="D83" s="94"/>
      <c r="E83" s="95"/>
      <c r="F83" s="96"/>
      <c r="G83" s="94"/>
      <c r="H83" s="95"/>
      <c r="I83" s="94"/>
      <c r="J83" s="94"/>
      <c r="K83" s="94"/>
      <c r="L83" s="94"/>
      <c r="M83" s="106"/>
      <c r="N83" s="106"/>
      <c r="O83" s="106"/>
      <c r="P83" s="106"/>
      <c r="Q83" s="106"/>
      <c r="R83" s="106"/>
    </row>
    <row r="84" spans="1:18">
      <c r="A84" s="91"/>
      <c r="B84" s="92"/>
      <c r="C84" s="93"/>
      <c r="D84" s="94"/>
      <c r="E84" s="95"/>
      <c r="F84" s="96"/>
      <c r="G84" s="94"/>
      <c r="H84" s="95"/>
      <c r="I84" s="94"/>
      <c r="J84" s="94"/>
      <c r="K84" s="94"/>
      <c r="L84" s="94"/>
      <c r="M84" s="106"/>
      <c r="N84" s="106"/>
      <c r="O84" s="106"/>
      <c r="P84" s="106"/>
      <c r="Q84" s="106"/>
      <c r="R84" s="106"/>
    </row>
    <row r="85" spans="1:18">
      <c r="A85" s="91"/>
      <c r="B85" s="92"/>
      <c r="C85" s="93"/>
      <c r="D85" s="94"/>
      <c r="E85" s="95"/>
      <c r="F85" s="96"/>
      <c r="G85" s="94"/>
      <c r="H85" s="95"/>
      <c r="I85" s="94"/>
      <c r="J85" s="94"/>
      <c r="K85" s="94"/>
      <c r="L85" s="94"/>
      <c r="M85" s="106"/>
      <c r="N85" s="106"/>
      <c r="O85" s="106"/>
      <c r="P85" s="106"/>
      <c r="Q85" s="106"/>
      <c r="R85" s="106"/>
    </row>
    <row r="86" spans="1:18">
      <c r="A86" s="91"/>
      <c r="B86" s="92"/>
      <c r="C86" s="93"/>
      <c r="D86" s="94"/>
      <c r="E86" s="95"/>
      <c r="F86" s="96"/>
      <c r="G86" s="94"/>
      <c r="H86" s="95"/>
      <c r="I86" s="94"/>
      <c r="J86" s="94"/>
      <c r="K86" s="94"/>
      <c r="L86" s="94"/>
      <c r="M86" s="106"/>
      <c r="N86" s="106"/>
      <c r="O86" s="106"/>
      <c r="P86" s="106"/>
      <c r="Q86" s="106"/>
      <c r="R86" s="106"/>
    </row>
    <row r="87" spans="1:18">
      <c r="A87" s="91"/>
      <c r="B87" s="92"/>
      <c r="C87" s="93"/>
      <c r="D87" s="94"/>
      <c r="E87" s="95"/>
      <c r="F87" s="96"/>
      <c r="G87" s="94"/>
      <c r="H87" s="95"/>
      <c r="I87" s="94"/>
      <c r="J87" s="94"/>
      <c r="K87" s="94"/>
      <c r="L87" s="94"/>
      <c r="M87" s="106"/>
      <c r="N87" s="106"/>
      <c r="O87" s="106"/>
      <c r="P87" s="106"/>
      <c r="Q87" s="106"/>
      <c r="R87" s="106"/>
    </row>
    <row r="88" spans="1:18">
      <c r="A88" s="91"/>
      <c r="B88" s="92"/>
      <c r="C88" s="93"/>
      <c r="D88" s="94"/>
      <c r="E88" s="95"/>
      <c r="F88" s="96"/>
      <c r="G88" s="94"/>
      <c r="H88" s="95"/>
      <c r="I88" s="94"/>
      <c r="J88" s="94"/>
      <c r="K88" s="94"/>
      <c r="L88" s="94"/>
      <c r="M88" s="106"/>
      <c r="N88" s="106"/>
      <c r="O88" s="106"/>
      <c r="P88" s="106"/>
      <c r="Q88" s="106"/>
      <c r="R88" s="106"/>
    </row>
    <row r="89" spans="1:18">
      <c r="A89" s="91"/>
      <c r="B89" s="92"/>
      <c r="C89" s="93"/>
      <c r="D89" s="94"/>
      <c r="E89" s="95"/>
      <c r="F89" s="96"/>
      <c r="G89" s="94"/>
      <c r="H89" s="95"/>
      <c r="I89" s="94"/>
      <c r="J89" s="94"/>
      <c r="K89" s="94"/>
      <c r="L89" s="94"/>
      <c r="M89" s="106"/>
      <c r="N89" s="106"/>
      <c r="O89" s="106"/>
      <c r="P89" s="106"/>
      <c r="Q89" s="106"/>
      <c r="R89" s="106"/>
    </row>
    <row r="90" spans="1:18">
      <c r="A90" s="91"/>
      <c r="B90" s="92"/>
      <c r="C90" s="93"/>
      <c r="D90" s="94"/>
      <c r="E90" s="95"/>
      <c r="F90" s="96"/>
      <c r="G90" s="94"/>
      <c r="H90" s="95"/>
      <c r="I90" s="94"/>
      <c r="J90" s="94"/>
      <c r="K90" s="94"/>
      <c r="L90" s="94"/>
      <c r="M90" s="106"/>
      <c r="N90" s="106"/>
      <c r="O90" s="106"/>
      <c r="P90" s="106"/>
      <c r="Q90" s="106"/>
      <c r="R90" s="106"/>
    </row>
    <row r="91" spans="1:18">
      <c r="A91" s="91"/>
      <c r="B91" s="92"/>
      <c r="C91" s="93"/>
      <c r="D91" s="94"/>
      <c r="E91" s="95"/>
      <c r="F91" s="96"/>
      <c r="G91" s="94"/>
      <c r="H91" s="95"/>
      <c r="I91" s="94"/>
      <c r="J91" s="94"/>
      <c r="K91" s="94"/>
      <c r="L91" s="94"/>
      <c r="M91" s="106"/>
      <c r="N91" s="106"/>
      <c r="O91" s="106"/>
      <c r="P91" s="106"/>
      <c r="Q91" s="106"/>
      <c r="R91" s="106"/>
    </row>
    <row r="92" spans="1:18">
      <c r="A92" s="91"/>
      <c r="B92" s="92"/>
      <c r="C92" s="93"/>
      <c r="D92" s="94"/>
      <c r="E92" s="95"/>
      <c r="F92" s="96"/>
      <c r="G92" s="94"/>
      <c r="H92" s="95"/>
      <c r="I92" s="94"/>
      <c r="J92" s="94"/>
      <c r="K92" s="94"/>
      <c r="L92" s="94"/>
      <c r="M92" s="106"/>
      <c r="N92" s="106"/>
      <c r="O92" s="106"/>
      <c r="P92" s="106"/>
      <c r="Q92" s="106"/>
      <c r="R92" s="106"/>
    </row>
    <row r="93" spans="1:18">
      <c r="A93" s="91"/>
      <c r="B93" s="92"/>
      <c r="C93" s="93"/>
      <c r="D93" s="94"/>
      <c r="E93" s="95"/>
      <c r="F93" s="96"/>
      <c r="G93" s="94"/>
      <c r="H93" s="95"/>
      <c r="I93" s="94"/>
      <c r="J93" s="94"/>
      <c r="K93" s="94"/>
      <c r="L93" s="94"/>
      <c r="M93" s="106"/>
      <c r="N93" s="106"/>
      <c r="O93" s="106"/>
      <c r="P93" s="106"/>
      <c r="Q93" s="106"/>
      <c r="R93" s="106"/>
    </row>
    <row r="94" spans="1:18">
      <c r="A94" s="91"/>
      <c r="B94" s="92"/>
      <c r="C94" s="93"/>
      <c r="D94" s="94"/>
      <c r="E94" s="95"/>
      <c r="F94" s="96"/>
      <c r="G94" s="94"/>
      <c r="H94" s="95"/>
      <c r="I94" s="94"/>
      <c r="J94" s="94"/>
      <c r="K94" s="94"/>
      <c r="L94" s="94"/>
      <c r="M94" s="106"/>
      <c r="N94" s="106"/>
      <c r="O94" s="106"/>
      <c r="P94" s="106"/>
      <c r="Q94" s="106"/>
      <c r="R94" s="106"/>
    </row>
    <row r="95" spans="1:18">
      <c r="A95" s="91"/>
      <c r="B95" s="92"/>
      <c r="C95" s="93"/>
      <c r="D95" s="94"/>
      <c r="E95" s="95"/>
      <c r="F95" s="96"/>
      <c r="G95" s="94"/>
      <c r="H95" s="95"/>
      <c r="I95" s="94"/>
      <c r="J95" s="94"/>
      <c r="K95" s="94"/>
      <c r="L95" s="94"/>
      <c r="M95" s="106"/>
      <c r="N95" s="106"/>
      <c r="O95" s="106"/>
      <c r="P95" s="106"/>
      <c r="Q95" s="106"/>
      <c r="R95" s="106"/>
    </row>
    <row r="96" spans="1:18">
      <c r="A96" s="91"/>
      <c r="B96" s="92"/>
      <c r="C96" s="93"/>
      <c r="D96" s="94"/>
      <c r="E96" s="95"/>
      <c r="F96" s="96"/>
      <c r="G96" s="94"/>
      <c r="H96" s="95"/>
      <c r="I96" s="94"/>
      <c r="J96" s="94"/>
      <c r="K96" s="94"/>
      <c r="L96" s="94"/>
      <c r="M96" s="106"/>
      <c r="N96" s="106"/>
      <c r="O96" s="106"/>
      <c r="P96" s="106"/>
      <c r="Q96" s="106"/>
      <c r="R96" s="106"/>
    </row>
    <row r="97" spans="1:18">
      <c r="A97" s="91"/>
      <c r="B97" s="92"/>
      <c r="C97" s="93"/>
      <c r="D97" s="94"/>
      <c r="E97" s="95"/>
      <c r="F97" s="96"/>
      <c r="G97" s="94"/>
      <c r="H97" s="95"/>
      <c r="I97" s="94"/>
      <c r="J97" s="94"/>
      <c r="K97" s="94"/>
      <c r="L97" s="94"/>
      <c r="M97" s="106"/>
      <c r="N97" s="106"/>
      <c r="O97" s="106"/>
      <c r="P97" s="106"/>
      <c r="Q97" s="106"/>
      <c r="R97" s="106"/>
    </row>
    <row r="98" spans="1:18">
      <c r="A98" s="91"/>
      <c r="B98" s="92"/>
      <c r="C98" s="93"/>
      <c r="D98" s="94"/>
      <c r="E98" s="95"/>
      <c r="F98" s="96"/>
      <c r="G98" s="94"/>
      <c r="H98" s="95"/>
      <c r="I98" s="94"/>
      <c r="J98" s="94"/>
      <c r="K98" s="94"/>
      <c r="L98" s="94"/>
      <c r="M98" s="106"/>
      <c r="N98" s="106"/>
      <c r="O98" s="106"/>
      <c r="P98" s="106"/>
      <c r="Q98" s="106"/>
      <c r="R98" s="106"/>
    </row>
    <row r="99" spans="1:18">
      <c r="A99" s="91"/>
      <c r="B99" s="92"/>
      <c r="C99" s="93"/>
      <c r="D99" s="94"/>
      <c r="E99" s="95"/>
      <c r="F99" s="96"/>
      <c r="G99" s="94"/>
      <c r="H99" s="95"/>
      <c r="I99" s="94"/>
      <c r="J99" s="94"/>
      <c r="K99" s="94"/>
      <c r="L99" s="94"/>
      <c r="M99" s="106"/>
      <c r="N99" s="106"/>
      <c r="O99" s="106"/>
      <c r="P99" s="106"/>
      <c r="Q99" s="106"/>
      <c r="R99" s="106"/>
    </row>
    <row r="100" spans="1:18">
      <c r="A100" s="91"/>
      <c r="B100" s="92"/>
      <c r="C100" s="93"/>
      <c r="D100" s="94"/>
      <c r="E100" s="95"/>
      <c r="F100" s="96"/>
      <c r="G100" s="94"/>
      <c r="H100" s="95"/>
      <c r="I100" s="94"/>
      <c r="J100" s="94"/>
      <c r="K100" s="94"/>
      <c r="L100" s="94"/>
      <c r="M100" s="106"/>
      <c r="N100" s="106"/>
      <c r="O100" s="106"/>
      <c r="P100" s="106"/>
      <c r="Q100" s="106"/>
      <c r="R100" s="106"/>
    </row>
    <row r="101" spans="1:18">
      <c r="A101" s="91"/>
      <c r="B101" s="92"/>
      <c r="C101" s="93"/>
      <c r="D101" s="94"/>
      <c r="E101" s="95"/>
      <c r="F101" s="96"/>
      <c r="G101" s="94"/>
      <c r="H101" s="95"/>
      <c r="I101" s="94"/>
      <c r="J101" s="94"/>
      <c r="K101" s="94"/>
      <c r="L101" s="94"/>
      <c r="M101" s="106"/>
      <c r="N101" s="106"/>
      <c r="O101" s="106"/>
      <c r="P101" s="106"/>
      <c r="Q101" s="106"/>
      <c r="R101" s="106"/>
    </row>
    <row r="102" spans="1:18">
      <c r="A102" s="91"/>
      <c r="B102" s="92"/>
      <c r="C102" s="93"/>
      <c r="D102" s="94"/>
      <c r="E102" s="95"/>
      <c r="F102" s="96"/>
      <c r="G102" s="94"/>
      <c r="H102" s="95"/>
      <c r="I102" s="94"/>
      <c r="J102" s="94"/>
      <c r="K102" s="94"/>
      <c r="L102" s="94"/>
      <c r="M102" s="106"/>
      <c r="N102" s="106"/>
      <c r="O102" s="106"/>
      <c r="P102" s="106"/>
      <c r="Q102" s="106"/>
      <c r="R102" s="106"/>
    </row>
    <row r="103" spans="1:18">
      <c r="A103" s="91"/>
      <c r="B103" s="92"/>
      <c r="C103" s="93"/>
      <c r="D103" s="94"/>
      <c r="E103" s="95"/>
      <c r="F103" s="96"/>
      <c r="G103" s="94"/>
      <c r="H103" s="95"/>
      <c r="I103" s="94"/>
      <c r="J103" s="94"/>
      <c r="K103" s="94"/>
      <c r="L103" s="94"/>
      <c r="M103" s="106"/>
      <c r="N103" s="106"/>
      <c r="O103" s="106"/>
      <c r="P103" s="106"/>
      <c r="Q103" s="106"/>
      <c r="R103" s="106"/>
    </row>
    <row r="104" spans="1:18">
      <c r="A104" s="91"/>
      <c r="B104" s="92"/>
      <c r="C104" s="93"/>
      <c r="D104" s="94"/>
      <c r="E104" s="95"/>
      <c r="F104" s="96"/>
      <c r="G104" s="94"/>
      <c r="H104" s="95"/>
      <c r="I104" s="94"/>
      <c r="J104" s="94"/>
      <c r="K104" s="94"/>
      <c r="L104" s="94"/>
      <c r="M104" s="106"/>
      <c r="N104" s="106"/>
      <c r="O104" s="106"/>
      <c r="P104" s="106"/>
      <c r="Q104" s="106"/>
      <c r="R104" s="106"/>
    </row>
    <row r="105" spans="1:18">
      <c r="A105" s="91"/>
      <c r="B105" s="92"/>
      <c r="C105" s="93"/>
      <c r="D105" s="94"/>
      <c r="E105" s="95"/>
      <c r="F105" s="96"/>
      <c r="G105" s="94"/>
      <c r="H105" s="95"/>
      <c r="I105" s="94"/>
      <c r="J105" s="94"/>
      <c r="K105" s="94"/>
      <c r="L105" s="94"/>
      <c r="M105" s="106"/>
      <c r="N105" s="106"/>
      <c r="O105" s="106"/>
      <c r="P105" s="106"/>
      <c r="Q105" s="106"/>
      <c r="R105" s="106"/>
    </row>
    <row r="106" spans="1:18">
      <c r="A106" s="91"/>
      <c r="B106" s="92"/>
      <c r="C106" s="93"/>
      <c r="D106" s="94"/>
      <c r="E106" s="95"/>
      <c r="F106" s="96"/>
      <c r="G106" s="94"/>
      <c r="H106" s="95"/>
      <c r="I106" s="94"/>
      <c r="J106" s="94"/>
      <c r="K106" s="94"/>
      <c r="L106" s="94"/>
      <c r="M106" s="106"/>
      <c r="N106" s="106"/>
      <c r="O106" s="106"/>
      <c r="P106" s="106"/>
      <c r="Q106" s="106"/>
      <c r="R106" s="106"/>
    </row>
    <row r="107" spans="1:18">
      <c r="A107" s="91"/>
      <c r="B107" s="92"/>
      <c r="C107" s="93"/>
      <c r="D107" s="94"/>
      <c r="E107" s="95"/>
      <c r="F107" s="96"/>
      <c r="G107" s="94"/>
      <c r="H107" s="95"/>
      <c r="I107" s="94"/>
      <c r="J107" s="94"/>
      <c r="K107" s="94"/>
      <c r="L107" s="94"/>
      <c r="M107" s="106"/>
      <c r="N107" s="106"/>
      <c r="O107" s="106"/>
      <c r="P107" s="106"/>
      <c r="Q107" s="106"/>
      <c r="R107" s="106"/>
    </row>
    <row r="108" spans="1:18">
      <c r="A108" s="91"/>
      <c r="B108" s="92"/>
      <c r="C108" s="93"/>
      <c r="D108" s="94"/>
      <c r="E108" s="95"/>
      <c r="F108" s="96"/>
      <c r="G108" s="94"/>
      <c r="H108" s="95"/>
      <c r="I108" s="94"/>
      <c r="J108" s="94"/>
      <c r="K108" s="94"/>
      <c r="L108" s="94"/>
      <c r="M108" s="106"/>
      <c r="N108" s="106"/>
      <c r="O108" s="106"/>
      <c r="P108" s="106"/>
      <c r="Q108" s="106"/>
      <c r="R108" s="106"/>
    </row>
    <row r="109" spans="1:18">
      <c r="A109" s="91"/>
      <c r="B109" s="92"/>
      <c r="C109" s="93"/>
      <c r="D109" s="94"/>
      <c r="E109" s="95"/>
      <c r="F109" s="96"/>
      <c r="G109" s="94"/>
      <c r="H109" s="95"/>
      <c r="I109" s="94"/>
      <c r="J109" s="94"/>
      <c r="K109" s="94"/>
      <c r="L109" s="94"/>
      <c r="M109" s="106"/>
      <c r="N109" s="106"/>
      <c r="O109" s="106"/>
      <c r="P109" s="106"/>
      <c r="Q109" s="106"/>
      <c r="R109" s="106"/>
    </row>
    <row r="110" spans="1:18">
      <c r="A110" s="91"/>
      <c r="B110" s="92"/>
      <c r="C110" s="93"/>
      <c r="D110" s="94"/>
      <c r="E110" s="95"/>
      <c r="F110" s="96"/>
      <c r="G110" s="94"/>
      <c r="H110" s="95"/>
      <c r="I110" s="94"/>
      <c r="J110" s="94"/>
      <c r="K110" s="94"/>
      <c r="L110" s="94"/>
      <c r="M110" s="106"/>
      <c r="N110" s="106"/>
      <c r="O110" s="106"/>
      <c r="P110" s="106"/>
      <c r="Q110" s="106"/>
      <c r="R110" s="106"/>
    </row>
    <row r="111" spans="1:18">
      <c r="A111" s="91"/>
      <c r="B111" s="92"/>
      <c r="C111" s="93"/>
      <c r="D111" s="94"/>
      <c r="E111" s="95"/>
      <c r="F111" s="96"/>
      <c r="G111" s="94"/>
      <c r="H111" s="95"/>
      <c r="I111" s="94"/>
      <c r="J111" s="94"/>
      <c r="K111" s="94"/>
      <c r="L111" s="94"/>
      <c r="M111" s="106"/>
      <c r="N111" s="106"/>
      <c r="O111" s="106"/>
      <c r="P111" s="106"/>
      <c r="Q111" s="106"/>
      <c r="R111" s="106"/>
    </row>
    <row r="112" spans="1:18">
      <c r="A112" s="91"/>
      <c r="B112" s="92"/>
      <c r="C112" s="93"/>
      <c r="D112" s="94"/>
      <c r="E112" s="95"/>
      <c r="F112" s="96"/>
      <c r="G112" s="94"/>
      <c r="H112" s="95"/>
      <c r="I112" s="94"/>
      <c r="J112" s="94"/>
      <c r="K112" s="94"/>
      <c r="L112" s="94"/>
      <c r="M112" s="106"/>
      <c r="N112" s="106"/>
      <c r="O112" s="106"/>
      <c r="P112" s="106"/>
      <c r="Q112" s="106"/>
      <c r="R112" s="106"/>
    </row>
    <row r="113" spans="1:18">
      <c r="A113" s="91"/>
      <c r="B113" s="92"/>
      <c r="C113" s="93"/>
      <c r="D113" s="94"/>
      <c r="E113" s="95"/>
      <c r="F113" s="96"/>
      <c r="G113" s="94"/>
      <c r="H113" s="95"/>
      <c r="I113" s="94"/>
      <c r="J113" s="94"/>
      <c r="K113" s="94"/>
      <c r="L113" s="94"/>
      <c r="M113" s="106"/>
      <c r="N113" s="106"/>
      <c r="O113" s="106"/>
      <c r="P113" s="106"/>
      <c r="Q113" s="106"/>
      <c r="R113" s="106"/>
    </row>
    <row r="114" spans="1:18">
      <c r="A114" s="91"/>
      <c r="B114" s="92"/>
      <c r="C114" s="93"/>
      <c r="D114" s="94"/>
      <c r="E114" s="95"/>
      <c r="F114" s="96"/>
      <c r="G114" s="94"/>
      <c r="H114" s="95"/>
      <c r="I114" s="94"/>
      <c r="J114" s="94"/>
      <c r="K114" s="94"/>
      <c r="L114" s="94"/>
      <c r="M114" s="106"/>
      <c r="N114" s="106"/>
      <c r="O114" s="106"/>
      <c r="P114" s="106"/>
      <c r="Q114" s="106"/>
      <c r="R114" s="106"/>
    </row>
    <row r="115" spans="1:18">
      <c r="A115" s="91"/>
      <c r="B115" s="92"/>
      <c r="C115" s="93"/>
      <c r="D115" s="94"/>
      <c r="E115" s="95"/>
      <c r="F115" s="96"/>
      <c r="G115" s="94"/>
      <c r="H115" s="95"/>
      <c r="I115" s="94"/>
      <c r="J115" s="94"/>
      <c r="K115" s="94"/>
      <c r="L115" s="94"/>
      <c r="M115" s="106"/>
      <c r="N115" s="106"/>
      <c r="O115" s="106"/>
      <c r="P115" s="106"/>
      <c r="Q115" s="106"/>
      <c r="R115" s="106"/>
    </row>
    <row r="116" spans="1:18">
      <c r="A116" s="91"/>
      <c r="B116" s="92"/>
      <c r="C116" s="93"/>
      <c r="D116" s="94"/>
      <c r="E116" s="95"/>
      <c r="F116" s="96"/>
      <c r="G116" s="94"/>
      <c r="H116" s="95"/>
      <c r="I116" s="94"/>
      <c r="J116" s="94"/>
      <c r="K116" s="94"/>
      <c r="L116" s="94"/>
      <c r="M116" s="106"/>
      <c r="N116" s="106"/>
      <c r="O116" s="106"/>
      <c r="P116" s="106"/>
      <c r="Q116" s="106"/>
      <c r="R116" s="106"/>
    </row>
    <row r="117" spans="1:18">
      <c r="A117" s="91"/>
      <c r="B117" s="92"/>
      <c r="C117" s="93"/>
      <c r="D117" s="94"/>
      <c r="E117" s="95"/>
      <c r="F117" s="96"/>
      <c r="G117" s="94"/>
      <c r="H117" s="95"/>
      <c r="I117" s="94"/>
      <c r="J117" s="94"/>
      <c r="K117" s="94"/>
      <c r="L117" s="94"/>
      <c r="M117" s="106"/>
      <c r="N117" s="106"/>
      <c r="O117" s="106"/>
      <c r="P117" s="106"/>
      <c r="Q117" s="106"/>
      <c r="R117" s="106"/>
    </row>
    <row r="118" spans="1:18">
      <c r="A118" s="91"/>
      <c r="B118" s="92"/>
      <c r="C118" s="93"/>
      <c r="D118" s="94"/>
      <c r="E118" s="95"/>
      <c r="F118" s="96"/>
      <c r="G118" s="94"/>
      <c r="H118" s="95"/>
      <c r="I118" s="94"/>
      <c r="J118" s="94"/>
      <c r="K118" s="94"/>
      <c r="L118" s="94"/>
      <c r="M118" s="106"/>
      <c r="N118" s="106"/>
      <c r="O118" s="106"/>
      <c r="P118" s="106"/>
      <c r="Q118" s="106"/>
      <c r="R118" s="106"/>
    </row>
    <row r="119" spans="1:18">
      <c r="A119" s="91"/>
      <c r="B119" s="92"/>
      <c r="C119" s="93"/>
      <c r="D119" s="94"/>
      <c r="E119" s="95"/>
      <c r="F119" s="96"/>
      <c r="G119" s="94"/>
      <c r="H119" s="95"/>
      <c r="I119" s="94"/>
      <c r="J119" s="94"/>
      <c r="K119" s="94"/>
      <c r="L119" s="94"/>
      <c r="M119" s="106"/>
      <c r="N119" s="106"/>
      <c r="O119" s="106"/>
      <c r="P119" s="106"/>
      <c r="Q119" s="106"/>
      <c r="R119" s="106"/>
    </row>
    <row r="120" spans="1:18">
      <c r="A120" s="91"/>
      <c r="B120" s="92"/>
      <c r="C120" s="93"/>
      <c r="D120" s="94"/>
      <c r="E120" s="95"/>
      <c r="F120" s="96"/>
      <c r="G120" s="94"/>
      <c r="H120" s="95"/>
      <c r="I120" s="94"/>
      <c r="J120" s="94"/>
      <c r="K120" s="94"/>
      <c r="L120" s="94"/>
      <c r="M120" s="106"/>
      <c r="N120" s="106"/>
      <c r="O120" s="106"/>
      <c r="P120" s="106"/>
      <c r="Q120" s="106"/>
      <c r="R120" s="106"/>
    </row>
    <row r="121" spans="1:18">
      <c r="A121" s="91"/>
      <c r="B121" s="92"/>
      <c r="C121" s="93"/>
      <c r="D121" s="94"/>
      <c r="E121" s="95"/>
      <c r="F121" s="96"/>
      <c r="G121" s="94"/>
      <c r="H121" s="95"/>
      <c r="I121" s="94"/>
      <c r="J121" s="94"/>
      <c r="K121" s="94"/>
      <c r="L121" s="94"/>
      <c r="M121" s="106"/>
      <c r="N121" s="106"/>
      <c r="O121" s="106"/>
      <c r="P121" s="106"/>
      <c r="Q121" s="106"/>
      <c r="R121" s="106"/>
    </row>
    <row r="122" spans="1:18">
      <c r="A122" s="91"/>
      <c r="B122" s="92"/>
      <c r="C122" s="93"/>
      <c r="D122" s="94"/>
      <c r="E122" s="95"/>
      <c r="F122" s="96"/>
      <c r="G122" s="94"/>
      <c r="H122" s="95"/>
      <c r="I122" s="94"/>
      <c r="J122" s="94"/>
      <c r="K122" s="94"/>
      <c r="L122" s="94"/>
      <c r="M122" s="106"/>
      <c r="N122" s="106"/>
      <c r="O122" s="106"/>
      <c r="P122" s="106"/>
      <c r="Q122" s="106"/>
      <c r="R122" s="106"/>
    </row>
    <row r="123" spans="1:18">
      <c r="A123" s="91"/>
      <c r="B123" s="92"/>
      <c r="C123" s="93"/>
      <c r="D123" s="94"/>
      <c r="E123" s="95"/>
      <c r="F123" s="96"/>
      <c r="G123" s="94"/>
      <c r="H123" s="95"/>
      <c r="I123" s="94"/>
      <c r="J123" s="94"/>
      <c r="K123" s="94"/>
      <c r="L123" s="94"/>
      <c r="M123" s="106"/>
      <c r="N123" s="106"/>
      <c r="O123" s="106"/>
      <c r="P123" s="106"/>
      <c r="Q123" s="106"/>
      <c r="R123" s="106"/>
    </row>
    <row r="124" spans="1:18">
      <c r="A124" s="91"/>
      <c r="B124" s="92"/>
      <c r="C124" s="93"/>
      <c r="D124" s="94"/>
      <c r="E124" s="95"/>
      <c r="F124" s="96"/>
      <c r="G124" s="94"/>
      <c r="H124" s="95"/>
      <c r="I124" s="94"/>
      <c r="J124" s="94"/>
      <c r="K124" s="94"/>
      <c r="L124" s="94"/>
      <c r="M124" s="106"/>
      <c r="N124" s="106"/>
      <c r="O124" s="106"/>
      <c r="P124" s="106"/>
      <c r="Q124" s="106"/>
      <c r="R124" s="106"/>
    </row>
    <row r="125" spans="1:18">
      <c r="A125" s="91"/>
      <c r="B125" s="92"/>
      <c r="C125" s="93"/>
      <c r="D125" s="94"/>
      <c r="E125" s="95"/>
      <c r="F125" s="96"/>
      <c r="G125" s="94"/>
      <c r="H125" s="95"/>
      <c r="I125" s="94"/>
      <c r="J125" s="94"/>
      <c r="K125" s="94"/>
      <c r="L125" s="94"/>
      <c r="M125" s="106"/>
      <c r="N125" s="106"/>
      <c r="O125" s="106"/>
      <c r="P125" s="106"/>
      <c r="Q125" s="106"/>
      <c r="R125" s="106"/>
    </row>
    <row r="126" spans="1:18">
      <c r="A126" s="91"/>
      <c r="B126" s="92"/>
      <c r="C126" s="93"/>
      <c r="D126" s="94"/>
      <c r="E126" s="95"/>
      <c r="F126" s="96"/>
      <c r="G126" s="94"/>
      <c r="H126" s="95"/>
      <c r="I126" s="94"/>
      <c r="J126" s="94"/>
      <c r="K126" s="94"/>
      <c r="L126" s="94"/>
      <c r="M126" s="106"/>
      <c r="N126" s="106"/>
      <c r="O126" s="106"/>
      <c r="P126" s="106"/>
      <c r="Q126" s="106"/>
      <c r="R126" s="106"/>
    </row>
    <row r="127" spans="1:18">
      <c r="A127" s="91"/>
      <c r="B127" s="92"/>
      <c r="C127" s="93"/>
      <c r="D127" s="94"/>
      <c r="E127" s="95"/>
      <c r="F127" s="96"/>
      <c r="G127" s="94"/>
      <c r="H127" s="95"/>
      <c r="I127" s="94"/>
      <c r="J127" s="94"/>
      <c r="K127" s="94"/>
      <c r="L127" s="94"/>
      <c r="M127" s="106"/>
      <c r="N127" s="106"/>
      <c r="O127" s="106"/>
      <c r="P127" s="106"/>
      <c r="Q127" s="106"/>
      <c r="R127" s="106"/>
    </row>
    <row r="128" spans="1:18">
      <c r="A128" s="91"/>
      <c r="B128" s="92"/>
      <c r="C128" s="93"/>
      <c r="D128" s="94"/>
      <c r="E128" s="95"/>
      <c r="F128" s="96"/>
      <c r="G128" s="94"/>
      <c r="H128" s="95"/>
      <c r="I128" s="94"/>
      <c r="J128" s="94"/>
      <c r="K128" s="94"/>
      <c r="L128" s="94"/>
      <c r="M128" s="106"/>
      <c r="N128" s="106"/>
      <c r="O128" s="106"/>
      <c r="P128" s="106"/>
      <c r="Q128" s="106"/>
      <c r="R128" s="106"/>
    </row>
    <row r="129" spans="1:18">
      <c r="A129" s="91"/>
      <c r="B129" s="92"/>
      <c r="C129" s="93"/>
      <c r="D129" s="94"/>
      <c r="E129" s="95"/>
      <c r="F129" s="96"/>
      <c r="G129" s="94"/>
      <c r="H129" s="95"/>
      <c r="I129" s="94"/>
      <c r="J129" s="94"/>
      <c r="K129" s="94"/>
      <c r="L129" s="94"/>
      <c r="M129" s="106"/>
      <c r="N129" s="106"/>
      <c r="O129" s="106"/>
      <c r="P129" s="106"/>
      <c r="Q129" s="106"/>
      <c r="R129" s="106"/>
    </row>
    <row r="130" spans="1:18">
      <c r="A130" s="91"/>
      <c r="B130" s="92"/>
      <c r="C130" s="93"/>
      <c r="D130" s="94"/>
      <c r="E130" s="95"/>
      <c r="F130" s="96"/>
      <c r="G130" s="94"/>
      <c r="H130" s="95"/>
      <c r="I130" s="94"/>
      <c r="J130" s="94"/>
      <c r="K130" s="94"/>
      <c r="L130" s="94"/>
      <c r="M130" s="106"/>
      <c r="N130" s="106"/>
      <c r="O130" s="106"/>
      <c r="P130" s="106"/>
      <c r="Q130" s="106"/>
      <c r="R130" s="106"/>
    </row>
    <row r="131" spans="1:18">
      <c r="A131" s="91"/>
      <c r="B131" s="92"/>
      <c r="C131" s="93"/>
      <c r="D131" s="94"/>
      <c r="E131" s="95"/>
      <c r="F131" s="96"/>
      <c r="G131" s="94"/>
      <c r="H131" s="95"/>
      <c r="I131" s="94"/>
      <c r="J131" s="94"/>
      <c r="K131" s="94"/>
      <c r="L131" s="94"/>
      <c r="M131" s="106"/>
      <c r="N131" s="106"/>
      <c r="O131" s="106"/>
      <c r="P131" s="106"/>
      <c r="Q131" s="106"/>
      <c r="R131" s="106"/>
    </row>
    <row r="132" spans="1:18">
      <c r="A132" s="91"/>
      <c r="B132" s="92"/>
      <c r="C132" s="93"/>
      <c r="D132" s="94"/>
      <c r="E132" s="95"/>
      <c r="F132" s="96"/>
      <c r="G132" s="94"/>
      <c r="H132" s="95"/>
      <c r="I132" s="94"/>
      <c r="J132" s="94"/>
      <c r="K132" s="94"/>
      <c r="L132" s="94"/>
      <c r="M132" s="106"/>
      <c r="N132" s="106"/>
      <c r="O132" s="106"/>
      <c r="P132" s="106"/>
      <c r="Q132" s="106"/>
      <c r="R132" s="106"/>
    </row>
    <row r="133" spans="1:18">
      <c r="A133" s="91"/>
      <c r="B133" s="92"/>
      <c r="C133" s="93"/>
      <c r="D133" s="94"/>
      <c r="E133" s="95"/>
      <c r="F133" s="96"/>
      <c r="G133" s="94"/>
      <c r="H133" s="95"/>
      <c r="I133" s="94"/>
      <c r="J133" s="94"/>
      <c r="K133" s="94"/>
      <c r="L133" s="94"/>
      <c r="M133" s="106"/>
      <c r="N133" s="106"/>
      <c r="O133" s="106"/>
      <c r="P133" s="106"/>
      <c r="Q133" s="106"/>
      <c r="R133" s="106"/>
    </row>
    <row r="134" spans="1:18">
      <c r="A134" s="91"/>
      <c r="B134" s="92"/>
      <c r="C134" s="93"/>
      <c r="D134" s="94"/>
      <c r="E134" s="95"/>
      <c r="F134" s="96"/>
      <c r="G134" s="94"/>
      <c r="H134" s="95"/>
      <c r="I134" s="94"/>
      <c r="J134" s="94"/>
      <c r="K134" s="94"/>
      <c r="L134" s="94"/>
      <c r="M134" s="106"/>
      <c r="N134" s="106"/>
      <c r="O134" s="106"/>
      <c r="P134" s="106"/>
      <c r="Q134" s="106"/>
      <c r="R134" s="106"/>
    </row>
    <row r="135" spans="1:18">
      <c r="A135" s="91"/>
      <c r="B135" s="92"/>
      <c r="C135" s="93"/>
      <c r="D135" s="94"/>
      <c r="E135" s="95"/>
      <c r="F135" s="96"/>
      <c r="G135" s="94"/>
      <c r="H135" s="95"/>
      <c r="I135" s="94"/>
      <c r="J135" s="94"/>
      <c r="K135" s="94"/>
      <c r="L135" s="94"/>
      <c r="M135" s="106"/>
      <c r="N135" s="106"/>
      <c r="O135" s="106"/>
      <c r="P135" s="106"/>
      <c r="Q135" s="106"/>
      <c r="R135" s="106"/>
    </row>
    <row r="136" spans="1:18">
      <c r="A136" s="91"/>
      <c r="B136" s="92"/>
      <c r="C136" s="93"/>
      <c r="D136" s="94"/>
      <c r="E136" s="95"/>
      <c r="F136" s="96"/>
      <c r="G136" s="94"/>
      <c r="H136" s="95"/>
      <c r="I136" s="94"/>
      <c r="J136" s="94"/>
      <c r="K136" s="94"/>
      <c r="L136" s="94"/>
      <c r="M136" s="106"/>
      <c r="N136" s="106"/>
      <c r="O136" s="106"/>
      <c r="P136" s="106"/>
      <c r="Q136" s="106"/>
      <c r="R136" s="106"/>
    </row>
    <row r="137" spans="1:18">
      <c r="A137" s="91"/>
      <c r="B137" s="92"/>
      <c r="C137" s="93"/>
      <c r="D137" s="94"/>
      <c r="E137" s="95"/>
      <c r="F137" s="96"/>
      <c r="G137" s="94"/>
      <c r="H137" s="95"/>
      <c r="I137" s="94"/>
      <c r="J137" s="94"/>
      <c r="K137" s="94"/>
      <c r="L137" s="94"/>
      <c r="M137" s="106"/>
      <c r="N137" s="106"/>
      <c r="O137" s="106"/>
      <c r="P137" s="106"/>
      <c r="Q137" s="106"/>
      <c r="R137" s="106"/>
    </row>
    <row r="138" spans="1:18">
      <c r="A138" s="91"/>
      <c r="B138" s="92"/>
      <c r="C138" s="93"/>
      <c r="D138" s="94"/>
      <c r="E138" s="95"/>
      <c r="F138" s="96"/>
      <c r="G138" s="94"/>
      <c r="H138" s="95"/>
      <c r="I138" s="94"/>
      <c r="J138" s="94"/>
      <c r="K138" s="94"/>
      <c r="L138" s="94"/>
      <c r="M138" s="106"/>
      <c r="N138" s="106"/>
      <c r="O138" s="106"/>
      <c r="P138" s="106"/>
      <c r="Q138" s="106"/>
      <c r="R138" s="106"/>
    </row>
    <row r="139" spans="1:18">
      <c r="A139" s="91"/>
      <c r="B139" s="92"/>
      <c r="C139" s="93"/>
      <c r="D139" s="94"/>
      <c r="E139" s="95"/>
      <c r="F139" s="96"/>
      <c r="G139" s="94"/>
      <c r="H139" s="95"/>
      <c r="I139" s="94"/>
      <c r="J139" s="94"/>
      <c r="K139" s="94"/>
      <c r="L139" s="94"/>
      <c r="M139" s="106"/>
      <c r="N139" s="106"/>
      <c r="O139" s="106"/>
      <c r="P139" s="106"/>
      <c r="Q139" s="106"/>
      <c r="R139" s="106"/>
    </row>
    <row r="140" spans="1:18">
      <c r="A140" s="91"/>
      <c r="B140" s="92"/>
      <c r="C140" s="93"/>
      <c r="D140" s="94"/>
      <c r="E140" s="95"/>
      <c r="F140" s="96"/>
      <c r="G140" s="94"/>
      <c r="H140" s="95"/>
      <c r="I140" s="94"/>
      <c r="J140" s="94"/>
      <c r="K140" s="94"/>
      <c r="L140" s="94"/>
      <c r="M140" s="106"/>
      <c r="N140" s="106"/>
      <c r="O140" s="106"/>
      <c r="P140" s="106"/>
      <c r="Q140" s="106"/>
      <c r="R140" s="106"/>
    </row>
    <row r="141" spans="1:18">
      <c r="A141" s="91"/>
      <c r="B141" s="92"/>
      <c r="C141" s="93"/>
      <c r="D141" s="94"/>
      <c r="E141" s="95"/>
      <c r="F141" s="96"/>
      <c r="G141" s="94"/>
      <c r="H141" s="95"/>
      <c r="I141" s="94"/>
      <c r="J141" s="94"/>
      <c r="K141" s="94"/>
      <c r="L141" s="94"/>
      <c r="M141" s="106"/>
      <c r="N141" s="106"/>
      <c r="O141" s="106"/>
      <c r="P141" s="106"/>
      <c r="Q141" s="106"/>
      <c r="R141" s="106"/>
    </row>
    <row r="142" spans="1:18">
      <c r="A142" s="91"/>
      <c r="B142" s="92"/>
      <c r="C142" s="93"/>
      <c r="D142" s="94"/>
      <c r="E142" s="95"/>
      <c r="F142" s="96"/>
      <c r="G142" s="94"/>
      <c r="H142" s="95"/>
      <c r="I142" s="94"/>
      <c r="J142" s="94"/>
      <c r="K142" s="94"/>
      <c r="L142" s="94"/>
      <c r="M142" s="106"/>
      <c r="N142" s="106"/>
      <c r="O142" s="106"/>
      <c r="P142" s="106"/>
      <c r="Q142" s="106"/>
      <c r="R142" s="106"/>
    </row>
    <row r="143" spans="1:18">
      <c r="A143" s="91"/>
      <c r="B143" s="92"/>
      <c r="C143" s="93"/>
      <c r="D143" s="94"/>
      <c r="E143" s="95"/>
      <c r="F143" s="96"/>
      <c r="G143" s="94"/>
      <c r="H143" s="95"/>
      <c r="I143" s="94"/>
      <c r="J143" s="94"/>
      <c r="K143" s="94"/>
      <c r="L143" s="94"/>
      <c r="M143" s="106"/>
      <c r="N143" s="106"/>
      <c r="O143" s="106"/>
      <c r="P143" s="106"/>
      <c r="Q143" s="106"/>
      <c r="R143" s="106"/>
    </row>
    <row r="144" spans="1:18">
      <c r="A144" s="91"/>
      <c r="B144" s="92"/>
      <c r="C144" s="93"/>
      <c r="D144" s="94"/>
      <c r="E144" s="95"/>
      <c r="F144" s="96"/>
      <c r="G144" s="94"/>
      <c r="H144" s="95"/>
      <c r="I144" s="94"/>
      <c r="J144" s="94"/>
      <c r="K144" s="94"/>
      <c r="L144" s="94"/>
      <c r="M144" s="106"/>
      <c r="N144" s="106"/>
      <c r="O144" s="106"/>
      <c r="P144" s="106"/>
      <c r="Q144" s="106"/>
      <c r="R144" s="106"/>
    </row>
    <row r="145" spans="1:18">
      <c r="A145" s="91"/>
      <c r="B145" s="92"/>
      <c r="C145" s="93"/>
      <c r="D145" s="94"/>
      <c r="E145" s="95"/>
      <c r="F145" s="96"/>
      <c r="G145" s="94"/>
      <c r="H145" s="95"/>
      <c r="I145" s="94"/>
      <c r="J145" s="94"/>
      <c r="K145" s="94"/>
      <c r="L145" s="94"/>
      <c r="M145" s="106"/>
      <c r="N145" s="106"/>
      <c r="O145" s="106"/>
      <c r="P145" s="106"/>
      <c r="Q145" s="106"/>
      <c r="R145" s="106"/>
    </row>
    <row r="146" spans="1:18">
      <c r="A146" s="91"/>
      <c r="B146" s="92"/>
      <c r="C146" s="93"/>
      <c r="D146" s="94"/>
      <c r="E146" s="95"/>
      <c r="F146" s="96"/>
      <c r="G146" s="94"/>
      <c r="H146" s="95"/>
      <c r="I146" s="94"/>
      <c r="J146" s="94"/>
      <c r="K146" s="94"/>
      <c r="L146" s="94"/>
      <c r="M146" s="106"/>
      <c r="N146" s="106"/>
      <c r="O146" s="106"/>
      <c r="P146" s="106"/>
      <c r="Q146" s="106"/>
      <c r="R146" s="106"/>
    </row>
    <row r="147" spans="1:18">
      <c r="A147" s="91"/>
      <c r="B147" s="92"/>
      <c r="C147" s="93"/>
      <c r="D147" s="94"/>
      <c r="E147" s="95"/>
      <c r="F147" s="96"/>
      <c r="G147" s="94"/>
      <c r="H147" s="95"/>
      <c r="I147" s="94"/>
      <c r="J147" s="94"/>
      <c r="K147" s="94"/>
      <c r="L147" s="94"/>
      <c r="M147" s="106"/>
      <c r="N147" s="106"/>
      <c r="O147" s="106"/>
      <c r="P147" s="106"/>
      <c r="Q147" s="106"/>
      <c r="R147" s="106"/>
    </row>
    <row r="148" spans="1:18">
      <c r="A148" s="91"/>
      <c r="B148" s="92"/>
      <c r="C148" s="93"/>
      <c r="D148" s="94"/>
      <c r="E148" s="95"/>
      <c r="F148" s="96"/>
      <c r="G148" s="94"/>
      <c r="H148" s="95"/>
      <c r="I148" s="94"/>
      <c r="J148" s="94"/>
      <c r="K148" s="94"/>
      <c r="L148" s="94"/>
      <c r="M148" s="106"/>
      <c r="N148" s="106"/>
      <c r="O148" s="106"/>
      <c r="P148" s="106"/>
      <c r="Q148" s="106"/>
      <c r="R148" s="106"/>
    </row>
    <row r="149" spans="1:18">
      <c r="A149" s="91"/>
      <c r="B149" s="92"/>
      <c r="C149" s="93"/>
      <c r="D149" s="94"/>
      <c r="E149" s="95"/>
      <c r="F149" s="96"/>
      <c r="G149" s="94"/>
      <c r="H149" s="95"/>
      <c r="I149" s="94"/>
      <c r="J149" s="94"/>
      <c r="K149" s="94"/>
      <c r="L149" s="94"/>
      <c r="M149" s="106"/>
      <c r="N149" s="106"/>
      <c r="O149" s="106"/>
      <c r="P149" s="106"/>
      <c r="Q149" s="106"/>
      <c r="R149" s="106"/>
    </row>
    <row r="150" spans="1:18">
      <c r="A150" s="91"/>
      <c r="B150" s="92"/>
      <c r="C150" s="93"/>
      <c r="D150" s="94"/>
      <c r="E150" s="95"/>
      <c r="F150" s="96"/>
      <c r="G150" s="94"/>
      <c r="H150" s="95"/>
      <c r="I150" s="94"/>
      <c r="J150" s="94"/>
      <c r="K150" s="94"/>
      <c r="L150" s="94"/>
      <c r="M150" s="106"/>
      <c r="N150" s="106"/>
      <c r="O150" s="106"/>
      <c r="P150" s="106"/>
      <c r="Q150" s="106"/>
      <c r="R150" s="106"/>
    </row>
    <row r="151" spans="1:18">
      <c r="A151" s="91"/>
      <c r="B151" s="92"/>
      <c r="C151" s="93"/>
      <c r="D151" s="94"/>
      <c r="E151" s="95"/>
      <c r="F151" s="96"/>
      <c r="G151" s="94"/>
      <c r="H151" s="95"/>
      <c r="I151" s="94"/>
      <c r="J151" s="94"/>
      <c r="K151" s="94"/>
      <c r="L151" s="94"/>
      <c r="M151" s="106"/>
      <c r="N151" s="106"/>
      <c r="O151" s="106"/>
      <c r="P151" s="106"/>
      <c r="Q151" s="106"/>
      <c r="R151" s="106"/>
    </row>
    <row r="152" spans="1:18">
      <c r="A152" s="91"/>
      <c r="B152" s="92"/>
      <c r="C152" s="93"/>
      <c r="D152" s="94"/>
      <c r="E152" s="95"/>
      <c r="F152" s="96"/>
      <c r="G152" s="94"/>
      <c r="H152" s="95"/>
      <c r="I152" s="94"/>
      <c r="J152" s="94"/>
      <c r="K152" s="94"/>
      <c r="L152" s="94"/>
      <c r="M152" s="106"/>
      <c r="N152" s="106"/>
      <c r="O152" s="106"/>
      <c r="P152" s="106"/>
      <c r="Q152" s="106"/>
      <c r="R152" s="106"/>
    </row>
    <row r="153" spans="1:18">
      <c r="A153" s="91"/>
      <c r="B153" s="92"/>
      <c r="C153" s="93"/>
      <c r="D153" s="94"/>
      <c r="E153" s="95"/>
      <c r="F153" s="96"/>
      <c r="G153" s="94"/>
      <c r="H153" s="95"/>
      <c r="I153" s="94"/>
      <c r="J153" s="94"/>
      <c r="K153" s="94"/>
      <c r="L153" s="94"/>
      <c r="M153" s="106"/>
      <c r="N153" s="106"/>
      <c r="O153" s="106"/>
      <c r="P153" s="106"/>
      <c r="Q153" s="106"/>
      <c r="R153" s="106"/>
    </row>
    <row r="154" spans="1:18">
      <c r="A154" s="91"/>
      <c r="B154" s="92"/>
      <c r="C154" s="93"/>
      <c r="D154" s="94"/>
      <c r="E154" s="95"/>
      <c r="F154" s="96"/>
      <c r="G154" s="94"/>
      <c r="H154" s="95"/>
      <c r="I154" s="94"/>
      <c r="J154" s="94"/>
      <c r="K154" s="94"/>
      <c r="L154" s="94"/>
      <c r="M154" s="106"/>
      <c r="N154" s="106"/>
      <c r="O154" s="106"/>
      <c r="P154" s="106"/>
      <c r="Q154" s="106"/>
      <c r="R154" s="106"/>
    </row>
    <row r="155" spans="1:18">
      <c r="A155" s="91"/>
      <c r="B155" s="92"/>
      <c r="C155" s="93"/>
      <c r="D155" s="94"/>
      <c r="E155" s="95"/>
      <c r="F155" s="96"/>
      <c r="G155" s="94"/>
      <c r="H155" s="95"/>
      <c r="I155" s="94"/>
      <c r="J155" s="94"/>
      <c r="K155" s="94"/>
      <c r="L155" s="94"/>
      <c r="M155" s="106"/>
      <c r="N155" s="106"/>
      <c r="O155" s="106"/>
      <c r="P155" s="106"/>
      <c r="Q155" s="106"/>
      <c r="R155" s="106"/>
    </row>
    <row r="156" spans="1:18">
      <c r="A156" s="91"/>
      <c r="B156" s="92"/>
      <c r="C156" s="93"/>
      <c r="D156" s="94"/>
      <c r="E156" s="95"/>
      <c r="F156" s="96"/>
      <c r="G156" s="94"/>
      <c r="H156" s="95"/>
      <c r="I156" s="94"/>
      <c r="J156" s="94"/>
      <c r="K156" s="94"/>
      <c r="L156" s="94"/>
      <c r="M156" s="106"/>
      <c r="N156" s="106"/>
      <c r="O156" s="106"/>
      <c r="P156" s="106"/>
      <c r="Q156" s="106"/>
      <c r="R156" s="106"/>
    </row>
    <row r="157" spans="1:18">
      <c r="A157" s="91"/>
      <c r="B157" s="92"/>
      <c r="C157" s="93"/>
      <c r="D157" s="94"/>
      <c r="E157" s="95"/>
      <c r="F157" s="96"/>
      <c r="G157" s="94"/>
      <c r="H157" s="95"/>
      <c r="I157" s="94"/>
      <c r="J157" s="94"/>
      <c r="K157" s="94"/>
      <c r="L157" s="94"/>
      <c r="M157" s="106"/>
      <c r="N157" s="106"/>
      <c r="O157" s="106"/>
      <c r="P157" s="106"/>
      <c r="Q157" s="106"/>
      <c r="R157" s="106"/>
    </row>
    <row r="158" spans="1:18">
      <c r="A158" s="91"/>
      <c r="B158" s="92"/>
      <c r="C158" s="93"/>
      <c r="D158" s="94"/>
      <c r="E158" s="95"/>
      <c r="F158" s="96"/>
      <c r="G158" s="94"/>
      <c r="H158" s="95"/>
      <c r="I158" s="94"/>
      <c r="J158" s="94"/>
      <c r="K158" s="94"/>
      <c r="L158" s="94"/>
      <c r="M158" s="106"/>
      <c r="N158" s="106"/>
      <c r="O158" s="106"/>
      <c r="P158" s="106"/>
      <c r="Q158" s="106"/>
      <c r="R158" s="106"/>
    </row>
    <row r="159" spans="1:18">
      <c r="A159" s="91"/>
      <c r="B159" s="92"/>
      <c r="C159" s="93"/>
      <c r="D159" s="94"/>
      <c r="E159" s="95"/>
      <c r="F159" s="96"/>
      <c r="G159" s="94"/>
      <c r="H159" s="95"/>
      <c r="I159" s="94"/>
      <c r="J159" s="94"/>
      <c r="K159" s="94"/>
      <c r="L159" s="94"/>
      <c r="M159" s="106"/>
      <c r="N159" s="106"/>
      <c r="O159" s="106"/>
      <c r="P159" s="106"/>
      <c r="Q159" s="106"/>
      <c r="R159" s="106"/>
    </row>
    <row r="160" spans="1:18">
      <c r="A160" s="91"/>
      <c r="B160" s="92"/>
      <c r="C160" s="93"/>
      <c r="D160" s="94"/>
      <c r="E160" s="95"/>
      <c r="F160" s="96"/>
      <c r="G160" s="94"/>
      <c r="H160" s="95"/>
      <c r="I160" s="94"/>
      <c r="J160" s="94"/>
      <c r="K160" s="94"/>
      <c r="L160" s="94"/>
      <c r="M160" s="106"/>
      <c r="N160" s="106"/>
      <c r="O160" s="106"/>
      <c r="P160" s="106"/>
      <c r="Q160" s="106"/>
      <c r="R160" s="106"/>
    </row>
    <row r="161" spans="1:18">
      <c r="A161" s="91"/>
      <c r="B161" s="92"/>
      <c r="C161" s="93"/>
      <c r="D161" s="94"/>
      <c r="E161" s="95"/>
      <c r="F161" s="96"/>
      <c r="G161" s="94"/>
      <c r="H161" s="95"/>
      <c r="I161" s="94"/>
      <c r="J161" s="94"/>
      <c r="K161" s="94"/>
      <c r="L161" s="94"/>
      <c r="M161" s="106"/>
      <c r="N161" s="106"/>
      <c r="O161" s="106"/>
      <c r="P161" s="106"/>
      <c r="Q161" s="106"/>
      <c r="R161" s="106"/>
    </row>
    <row r="162" spans="1:18">
      <c r="A162" s="91"/>
      <c r="B162" s="92"/>
      <c r="C162" s="93"/>
      <c r="D162" s="94"/>
      <c r="E162" s="95"/>
      <c r="F162" s="96"/>
      <c r="G162" s="94"/>
      <c r="H162" s="95"/>
      <c r="I162" s="94"/>
      <c r="J162" s="94"/>
      <c r="K162" s="94"/>
      <c r="L162" s="94"/>
      <c r="M162" s="106"/>
      <c r="N162" s="106"/>
      <c r="O162" s="106"/>
      <c r="P162" s="106"/>
      <c r="Q162" s="106"/>
      <c r="R162" s="106"/>
    </row>
    <row r="163" spans="1:18">
      <c r="A163" s="91"/>
      <c r="B163" s="92"/>
      <c r="C163" s="93"/>
      <c r="D163" s="94"/>
      <c r="E163" s="95"/>
      <c r="F163" s="96"/>
      <c r="G163" s="94"/>
      <c r="H163" s="95"/>
      <c r="I163" s="94"/>
      <c r="J163" s="94"/>
      <c r="K163" s="94"/>
      <c r="L163" s="94"/>
      <c r="M163" s="106"/>
      <c r="N163" s="106"/>
      <c r="O163" s="106"/>
      <c r="P163" s="106"/>
      <c r="Q163" s="106"/>
      <c r="R163" s="106"/>
    </row>
    <row r="164" spans="1:18">
      <c r="A164" s="91"/>
      <c r="B164" s="92"/>
      <c r="C164" s="93"/>
      <c r="D164" s="94"/>
      <c r="E164" s="95"/>
      <c r="F164" s="96"/>
      <c r="G164" s="94"/>
      <c r="H164" s="95"/>
      <c r="I164" s="94"/>
      <c r="J164" s="94"/>
      <c r="K164" s="94"/>
      <c r="L164" s="94"/>
      <c r="M164" s="106"/>
      <c r="N164" s="106"/>
      <c r="O164" s="106"/>
      <c r="P164" s="106"/>
      <c r="Q164" s="106"/>
      <c r="R164" s="106"/>
    </row>
    <row r="165" spans="1:18">
      <c r="A165" s="91"/>
      <c r="B165" s="92"/>
      <c r="C165" s="93"/>
      <c r="D165" s="94"/>
      <c r="E165" s="95"/>
      <c r="F165" s="96"/>
      <c r="G165" s="94"/>
      <c r="H165" s="95"/>
      <c r="I165" s="94"/>
      <c r="J165" s="94"/>
      <c r="K165" s="94"/>
      <c r="L165" s="94"/>
      <c r="M165" s="106"/>
      <c r="N165" s="106"/>
      <c r="O165" s="106"/>
      <c r="P165" s="106"/>
      <c r="Q165" s="106"/>
      <c r="R165" s="106"/>
    </row>
    <row r="166" spans="1:18">
      <c r="A166" s="91"/>
      <c r="B166" s="92"/>
      <c r="C166" s="93"/>
      <c r="D166" s="94"/>
      <c r="E166" s="95"/>
      <c r="F166" s="96"/>
      <c r="G166" s="94"/>
      <c r="H166" s="95"/>
      <c r="I166" s="94"/>
      <c r="J166" s="94"/>
      <c r="K166" s="94"/>
      <c r="L166" s="94"/>
      <c r="M166" s="106"/>
      <c r="N166" s="106"/>
      <c r="O166" s="106"/>
      <c r="P166" s="106"/>
      <c r="Q166" s="106"/>
      <c r="R166" s="106"/>
    </row>
    <row r="167" spans="1:18">
      <c r="A167" s="91"/>
      <c r="B167" s="92"/>
      <c r="C167" s="93"/>
      <c r="D167" s="94"/>
      <c r="E167" s="95"/>
      <c r="F167" s="96"/>
      <c r="G167" s="94"/>
      <c r="H167" s="95"/>
      <c r="I167" s="94"/>
      <c r="J167" s="94"/>
      <c r="K167" s="94"/>
      <c r="L167" s="94"/>
      <c r="M167" s="106"/>
      <c r="N167" s="106"/>
      <c r="O167" s="106"/>
      <c r="P167" s="106"/>
      <c r="Q167" s="106"/>
      <c r="R167" s="106"/>
    </row>
    <row r="168" spans="1:18">
      <c r="A168" s="91"/>
      <c r="B168" s="92"/>
      <c r="C168" s="93"/>
      <c r="D168" s="94"/>
      <c r="E168" s="95"/>
      <c r="F168" s="96"/>
      <c r="G168" s="94"/>
      <c r="H168" s="95"/>
      <c r="I168" s="94"/>
      <c r="J168" s="94"/>
      <c r="K168" s="94"/>
      <c r="L168" s="94"/>
      <c r="M168" s="106"/>
      <c r="N168" s="106"/>
      <c r="O168" s="106"/>
      <c r="P168" s="106"/>
      <c r="Q168" s="106"/>
      <c r="R168" s="106"/>
    </row>
    <row r="169" spans="1:18">
      <c r="A169" s="91"/>
      <c r="B169" s="92"/>
      <c r="C169" s="93"/>
      <c r="D169" s="94"/>
      <c r="E169" s="95"/>
      <c r="F169" s="96"/>
      <c r="G169" s="94"/>
      <c r="H169" s="95"/>
      <c r="I169" s="94"/>
      <c r="J169" s="94"/>
      <c r="K169" s="94"/>
      <c r="L169" s="94"/>
      <c r="M169" s="106"/>
      <c r="N169" s="106"/>
      <c r="O169" s="106"/>
      <c r="P169" s="106"/>
      <c r="Q169" s="106"/>
      <c r="R169" s="106"/>
    </row>
    <row r="170" spans="1:18">
      <c r="A170" s="91"/>
      <c r="B170" s="92"/>
      <c r="C170" s="93"/>
      <c r="D170" s="94"/>
      <c r="E170" s="95"/>
      <c r="F170" s="96"/>
      <c r="G170" s="94"/>
      <c r="H170" s="95"/>
      <c r="I170" s="94"/>
      <c r="J170" s="94"/>
      <c r="K170" s="94"/>
      <c r="L170" s="94"/>
      <c r="M170" s="106"/>
      <c r="N170" s="106"/>
      <c r="O170" s="106"/>
      <c r="P170" s="106"/>
      <c r="Q170" s="106"/>
      <c r="R170" s="106"/>
    </row>
    <row r="171" spans="1:18">
      <c r="A171" s="91"/>
      <c r="B171" s="92"/>
      <c r="C171" s="93"/>
      <c r="D171" s="94"/>
      <c r="E171" s="95"/>
      <c r="F171" s="96"/>
      <c r="G171" s="94"/>
      <c r="H171" s="95"/>
      <c r="I171" s="94"/>
      <c r="J171" s="94"/>
      <c r="K171" s="94"/>
      <c r="L171" s="94"/>
      <c r="M171" s="106"/>
      <c r="N171" s="106"/>
      <c r="O171" s="106"/>
      <c r="P171" s="106"/>
      <c r="Q171" s="106"/>
      <c r="R171" s="106"/>
    </row>
    <row r="172" spans="1:18">
      <c r="A172" s="91"/>
      <c r="B172" s="92"/>
      <c r="C172" s="93"/>
      <c r="D172" s="94"/>
      <c r="E172" s="95"/>
      <c r="F172" s="96"/>
      <c r="G172" s="94"/>
      <c r="H172" s="95"/>
      <c r="I172" s="94"/>
      <c r="J172" s="94"/>
      <c r="K172" s="94"/>
      <c r="L172" s="94"/>
      <c r="M172" s="106"/>
      <c r="N172" s="106"/>
      <c r="O172" s="106"/>
      <c r="P172" s="106"/>
      <c r="Q172" s="106"/>
      <c r="R172" s="106"/>
    </row>
    <row r="173" spans="1:18">
      <c r="A173" s="91"/>
      <c r="B173" s="92"/>
      <c r="C173" s="93"/>
      <c r="D173" s="94"/>
      <c r="E173" s="95"/>
      <c r="F173" s="96"/>
      <c r="G173" s="94"/>
      <c r="H173" s="95"/>
      <c r="I173" s="94"/>
      <c r="J173" s="94"/>
      <c r="K173" s="94"/>
      <c r="L173" s="94"/>
      <c r="M173" s="106"/>
      <c r="N173" s="106"/>
      <c r="O173" s="106"/>
      <c r="P173" s="106"/>
      <c r="Q173" s="106"/>
      <c r="R173" s="106"/>
    </row>
    <row r="174" spans="1:18">
      <c r="A174" s="91"/>
      <c r="B174" s="92"/>
      <c r="C174" s="93"/>
      <c r="D174" s="94"/>
      <c r="E174" s="95"/>
      <c r="F174" s="96"/>
      <c r="G174" s="94"/>
      <c r="H174" s="95"/>
      <c r="I174" s="94"/>
      <c r="J174" s="94"/>
      <c r="K174" s="94"/>
      <c r="L174" s="94"/>
      <c r="M174" s="106"/>
      <c r="N174" s="106"/>
      <c r="O174" s="106"/>
      <c r="P174" s="106"/>
      <c r="Q174" s="106"/>
      <c r="R174" s="106"/>
    </row>
    <row r="175" spans="1:18">
      <c r="A175" s="91"/>
      <c r="B175" s="92"/>
      <c r="C175" s="93"/>
      <c r="D175" s="94"/>
      <c r="E175" s="95"/>
      <c r="F175" s="96"/>
      <c r="G175" s="94"/>
      <c r="H175" s="95"/>
      <c r="I175" s="94"/>
      <c r="J175" s="94"/>
      <c r="K175" s="94"/>
      <c r="L175" s="94"/>
      <c r="M175" s="106"/>
      <c r="N175" s="106"/>
      <c r="O175" s="106"/>
      <c r="P175" s="106"/>
      <c r="Q175" s="106"/>
      <c r="R175" s="106"/>
    </row>
    <row r="176" spans="1:18">
      <c r="A176" s="91"/>
      <c r="B176" s="92"/>
      <c r="C176" s="93"/>
      <c r="D176" s="94"/>
      <c r="E176" s="95"/>
      <c r="F176" s="96"/>
      <c r="G176" s="94"/>
      <c r="H176" s="95"/>
      <c r="I176" s="94"/>
      <c r="J176" s="94"/>
      <c r="K176" s="94"/>
      <c r="L176" s="94"/>
      <c r="M176" s="106"/>
      <c r="N176" s="106"/>
      <c r="O176" s="106"/>
      <c r="P176" s="106"/>
      <c r="Q176" s="106"/>
      <c r="R176" s="106"/>
    </row>
    <row r="177" spans="1:18">
      <c r="A177" s="91"/>
      <c r="B177" s="92"/>
      <c r="C177" s="93"/>
      <c r="D177" s="94"/>
      <c r="E177" s="95"/>
      <c r="F177" s="96"/>
      <c r="G177" s="94"/>
      <c r="H177" s="95"/>
      <c r="I177" s="94"/>
      <c r="J177" s="94"/>
      <c r="K177" s="94"/>
      <c r="L177" s="94"/>
      <c r="M177" s="106"/>
      <c r="N177" s="106"/>
      <c r="O177" s="106"/>
      <c r="P177" s="106"/>
      <c r="Q177" s="106"/>
      <c r="R177" s="106"/>
    </row>
    <row r="178" spans="1:18">
      <c r="A178" s="91"/>
      <c r="B178" s="92"/>
      <c r="C178" s="93"/>
      <c r="D178" s="94"/>
      <c r="E178" s="95"/>
      <c r="F178" s="96"/>
      <c r="G178" s="94"/>
      <c r="H178" s="95"/>
      <c r="I178" s="94"/>
      <c r="J178" s="94"/>
      <c r="K178" s="94"/>
      <c r="L178" s="94"/>
      <c r="M178" s="106"/>
      <c r="N178" s="106"/>
      <c r="O178" s="106"/>
      <c r="P178" s="106"/>
      <c r="Q178" s="106"/>
      <c r="R178" s="106"/>
    </row>
    <row r="179" spans="1:18">
      <c r="A179" s="91"/>
      <c r="B179" s="92"/>
      <c r="C179" s="93"/>
      <c r="D179" s="94"/>
      <c r="E179" s="95"/>
      <c r="F179" s="96"/>
      <c r="G179" s="94"/>
      <c r="H179" s="95"/>
      <c r="I179" s="94"/>
      <c r="J179" s="94"/>
      <c r="K179" s="94"/>
      <c r="L179" s="94"/>
      <c r="M179" s="106"/>
      <c r="N179" s="106"/>
      <c r="O179" s="106"/>
      <c r="P179" s="106"/>
      <c r="Q179" s="106"/>
      <c r="R179" s="106"/>
    </row>
    <row r="180" spans="1:18">
      <c r="A180" s="91"/>
      <c r="B180" s="92"/>
      <c r="C180" s="93"/>
      <c r="D180" s="94"/>
      <c r="E180" s="95"/>
      <c r="F180" s="96"/>
      <c r="G180" s="94"/>
      <c r="H180" s="95"/>
      <c r="I180" s="94"/>
      <c r="J180" s="94"/>
      <c r="K180" s="94"/>
      <c r="L180" s="94"/>
      <c r="M180" s="106"/>
      <c r="N180" s="106"/>
      <c r="O180" s="106"/>
      <c r="P180" s="106"/>
      <c r="Q180" s="106"/>
      <c r="R180" s="106"/>
    </row>
    <row r="181" spans="1:18">
      <c r="A181" s="91"/>
      <c r="B181" s="92"/>
      <c r="C181" s="93"/>
      <c r="D181" s="94"/>
      <c r="E181" s="95"/>
      <c r="F181" s="96"/>
      <c r="G181" s="94"/>
      <c r="H181" s="95"/>
      <c r="I181" s="94"/>
      <c r="J181" s="94"/>
      <c r="K181" s="94"/>
      <c r="L181" s="94"/>
      <c r="M181" s="106"/>
      <c r="N181" s="106"/>
      <c r="O181" s="106"/>
      <c r="P181" s="106"/>
      <c r="Q181" s="106"/>
      <c r="R181" s="106"/>
    </row>
    <row r="182" spans="1:18">
      <c r="A182" s="91"/>
      <c r="B182" s="92"/>
      <c r="C182" s="93"/>
      <c r="D182" s="94"/>
      <c r="E182" s="95"/>
      <c r="F182" s="96"/>
      <c r="G182" s="94"/>
      <c r="H182" s="95"/>
      <c r="I182" s="94"/>
      <c r="J182" s="94"/>
      <c r="K182" s="94"/>
      <c r="L182" s="94"/>
      <c r="M182" s="106"/>
      <c r="N182" s="106"/>
      <c r="O182" s="106"/>
      <c r="P182" s="106"/>
      <c r="Q182" s="106"/>
      <c r="R182" s="106"/>
    </row>
    <row r="183" spans="1:18">
      <c r="A183" s="91"/>
      <c r="B183" s="92"/>
      <c r="C183" s="93"/>
      <c r="D183" s="94"/>
      <c r="E183" s="95"/>
      <c r="F183" s="96"/>
      <c r="G183" s="94"/>
      <c r="H183" s="95"/>
      <c r="I183" s="94"/>
      <c r="J183" s="94"/>
      <c r="K183" s="94"/>
      <c r="L183" s="94"/>
      <c r="M183" s="106"/>
      <c r="N183" s="106"/>
      <c r="O183" s="106"/>
      <c r="P183" s="106"/>
      <c r="Q183" s="106"/>
      <c r="R183" s="106"/>
    </row>
    <row r="184" spans="1:18">
      <c r="A184" s="91"/>
      <c r="B184" s="92"/>
      <c r="C184" s="93"/>
      <c r="D184" s="94"/>
      <c r="E184" s="95"/>
      <c r="F184" s="96"/>
      <c r="G184" s="94"/>
      <c r="H184" s="95"/>
      <c r="I184" s="94"/>
      <c r="J184" s="94"/>
      <c r="K184" s="94"/>
      <c r="L184" s="94"/>
      <c r="M184" s="106"/>
      <c r="N184" s="106"/>
      <c r="O184" s="106"/>
      <c r="P184" s="106"/>
      <c r="Q184" s="106"/>
      <c r="R184" s="106"/>
    </row>
    <row r="185" spans="1:18">
      <c r="A185" s="91"/>
      <c r="B185" s="92"/>
      <c r="C185" s="93"/>
      <c r="D185" s="94"/>
      <c r="E185" s="95"/>
      <c r="F185" s="96"/>
      <c r="G185" s="94"/>
      <c r="H185" s="95"/>
      <c r="I185" s="94"/>
      <c r="J185" s="94"/>
      <c r="K185" s="94"/>
      <c r="L185" s="94"/>
      <c r="M185" s="106"/>
      <c r="N185" s="106"/>
      <c r="O185" s="106"/>
      <c r="P185" s="106"/>
      <c r="Q185" s="106"/>
      <c r="R185" s="106"/>
    </row>
    <row r="186" spans="1:18">
      <c r="A186" s="91"/>
      <c r="B186" s="92"/>
      <c r="C186" s="93"/>
      <c r="D186" s="94"/>
      <c r="E186" s="95"/>
      <c r="F186" s="96"/>
      <c r="G186" s="94"/>
      <c r="H186" s="95"/>
      <c r="I186" s="94"/>
      <c r="J186" s="94"/>
      <c r="K186" s="94"/>
      <c r="L186" s="94"/>
      <c r="M186" s="106"/>
      <c r="N186" s="106"/>
      <c r="O186" s="106"/>
      <c r="P186" s="106"/>
      <c r="Q186" s="106"/>
      <c r="R186" s="106"/>
    </row>
    <row r="187" spans="1:18">
      <c r="A187" s="91"/>
      <c r="B187" s="92"/>
      <c r="C187" s="93"/>
      <c r="D187" s="94"/>
      <c r="E187" s="95"/>
      <c r="F187" s="96"/>
      <c r="G187" s="94"/>
      <c r="H187" s="95"/>
      <c r="I187" s="94"/>
      <c r="J187" s="94"/>
      <c r="K187" s="94"/>
      <c r="L187" s="94"/>
      <c r="M187" s="106"/>
      <c r="N187" s="106"/>
      <c r="O187" s="106"/>
      <c r="P187" s="106"/>
      <c r="Q187" s="106"/>
      <c r="R187" s="106"/>
    </row>
    <row r="188" spans="1:18">
      <c r="A188" s="91"/>
      <c r="B188" s="92"/>
      <c r="C188" s="93"/>
      <c r="D188" s="94"/>
      <c r="E188" s="95"/>
      <c r="F188" s="96"/>
      <c r="G188" s="94"/>
      <c r="H188" s="95"/>
      <c r="I188" s="94"/>
      <c r="J188" s="94"/>
      <c r="K188" s="94"/>
      <c r="L188" s="94"/>
      <c r="M188" s="106"/>
      <c r="N188" s="106"/>
      <c r="O188" s="106"/>
      <c r="P188" s="106"/>
      <c r="Q188" s="106"/>
      <c r="R188" s="106"/>
    </row>
    <row r="189" spans="1:18">
      <c r="A189" s="91"/>
      <c r="B189" s="92"/>
      <c r="C189" s="93"/>
      <c r="D189" s="94"/>
      <c r="E189" s="95"/>
      <c r="F189" s="96"/>
      <c r="G189" s="94"/>
      <c r="H189" s="95"/>
      <c r="I189" s="94"/>
      <c r="J189" s="94"/>
      <c r="K189" s="94"/>
      <c r="L189" s="94"/>
      <c r="M189" s="106"/>
      <c r="N189" s="106"/>
      <c r="O189" s="106"/>
      <c r="P189" s="106"/>
      <c r="Q189" s="106"/>
      <c r="R189" s="106"/>
    </row>
    <row r="190" spans="1:18">
      <c r="A190" s="91"/>
      <c r="B190" s="92"/>
      <c r="C190" s="93"/>
      <c r="D190" s="94"/>
      <c r="E190" s="95"/>
      <c r="F190" s="96"/>
      <c r="G190" s="94"/>
      <c r="H190" s="95"/>
      <c r="I190" s="94"/>
      <c r="J190" s="94"/>
      <c r="K190" s="94"/>
      <c r="L190" s="94"/>
      <c r="M190" s="106"/>
      <c r="N190" s="106"/>
      <c r="O190" s="106"/>
      <c r="P190" s="106"/>
      <c r="Q190" s="106"/>
      <c r="R190" s="106"/>
    </row>
    <row r="191" spans="1:18">
      <c r="A191" s="91"/>
      <c r="B191" s="92"/>
      <c r="C191" s="93"/>
      <c r="D191" s="94"/>
      <c r="E191" s="95"/>
      <c r="F191" s="96"/>
      <c r="G191" s="94"/>
      <c r="H191" s="95"/>
      <c r="I191" s="94"/>
      <c r="J191" s="94"/>
      <c r="K191" s="94"/>
      <c r="L191" s="94"/>
      <c r="M191" s="106"/>
      <c r="N191" s="106"/>
      <c r="O191" s="106"/>
      <c r="P191" s="106"/>
      <c r="Q191" s="106"/>
      <c r="R191" s="106"/>
    </row>
    <row r="192" spans="1:18">
      <c r="A192" s="91"/>
      <c r="B192" s="92"/>
      <c r="C192" s="93"/>
      <c r="D192" s="94"/>
      <c r="E192" s="95"/>
      <c r="F192" s="96"/>
      <c r="G192" s="94"/>
      <c r="H192" s="95"/>
      <c r="I192" s="94"/>
      <c r="J192" s="94"/>
      <c r="K192" s="94"/>
      <c r="L192" s="94"/>
      <c r="M192" s="106"/>
      <c r="N192" s="106"/>
      <c r="O192" s="106"/>
      <c r="P192" s="106"/>
      <c r="Q192" s="106"/>
      <c r="R192" s="106"/>
    </row>
    <row r="193" spans="1:18">
      <c r="A193" s="91"/>
      <c r="B193" s="92"/>
      <c r="C193" s="93"/>
      <c r="D193" s="94"/>
      <c r="E193" s="95"/>
      <c r="F193" s="96"/>
      <c r="G193" s="94"/>
      <c r="H193" s="95"/>
      <c r="I193" s="94"/>
      <c r="J193" s="94"/>
      <c r="K193" s="94"/>
      <c r="L193" s="94"/>
      <c r="M193" s="106"/>
      <c r="N193" s="106"/>
      <c r="O193" s="106"/>
      <c r="P193" s="106"/>
      <c r="Q193" s="106"/>
      <c r="R193" s="106"/>
    </row>
    <row r="194" spans="1:18">
      <c r="A194" s="91"/>
      <c r="B194" s="92"/>
      <c r="C194" s="93"/>
      <c r="D194" s="94"/>
      <c r="E194" s="95"/>
      <c r="F194" s="96"/>
      <c r="G194" s="94"/>
      <c r="H194" s="95"/>
      <c r="I194" s="94"/>
      <c r="J194" s="94"/>
      <c r="K194" s="94"/>
      <c r="L194" s="94"/>
      <c r="M194" s="106"/>
      <c r="N194" s="106"/>
      <c r="O194" s="106"/>
      <c r="P194" s="106"/>
      <c r="Q194" s="106"/>
      <c r="R194" s="106"/>
    </row>
    <row r="195" spans="1:18">
      <c r="A195" s="91"/>
      <c r="B195" s="92"/>
      <c r="C195" s="93"/>
      <c r="D195" s="94"/>
      <c r="E195" s="95"/>
      <c r="F195" s="96"/>
      <c r="G195" s="94"/>
      <c r="H195" s="95"/>
      <c r="I195" s="94"/>
      <c r="J195" s="94"/>
      <c r="K195" s="94"/>
      <c r="L195" s="94"/>
      <c r="M195" s="106"/>
      <c r="N195" s="106"/>
      <c r="O195" s="106"/>
      <c r="P195" s="106"/>
      <c r="Q195" s="106"/>
      <c r="R195" s="106"/>
    </row>
    <row r="196" spans="1:18">
      <c r="A196" s="91"/>
      <c r="B196" s="92"/>
      <c r="C196" s="93"/>
      <c r="D196" s="94"/>
      <c r="E196" s="95"/>
      <c r="F196" s="96"/>
      <c r="G196" s="94"/>
      <c r="H196" s="95"/>
      <c r="I196" s="94"/>
      <c r="J196" s="94"/>
      <c r="K196" s="94"/>
      <c r="L196" s="94"/>
      <c r="M196" s="106"/>
      <c r="N196" s="106"/>
      <c r="O196" s="106"/>
      <c r="P196" s="106"/>
      <c r="Q196" s="106"/>
      <c r="R196" s="106"/>
    </row>
    <row r="197" spans="1:18">
      <c r="A197" s="91"/>
      <c r="B197" s="92"/>
      <c r="C197" s="93"/>
      <c r="D197" s="94"/>
      <c r="E197" s="95"/>
      <c r="F197" s="96"/>
      <c r="G197" s="94"/>
      <c r="H197" s="95"/>
      <c r="I197" s="94"/>
      <c r="J197" s="94"/>
      <c r="K197" s="94"/>
      <c r="L197" s="94"/>
      <c r="M197" s="106"/>
      <c r="N197" s="106"/>
      <c r="O197" s="106"/>
      <c r="P197" s="106"/>
      <c r="Q197" s="106"/>
      <c r="R197" s="106"/>
    </row>
    <row r="198" spans="1:18">
      <c r="A198" s="91"/>
      <c r="B198" s="92"/>
      <c r="C198" s="93"/>
      <c r="D198" s="94"/>
      <c r="E198" s="95"/>
      <c r="F198" s="96"/>
      <c r="G198" s="94"/>
      <c r="H198" s="95"/>
      <c r="I198" s="94"/>
      <c r="J198" s="94"/>
      <c r="K198" s="94"/>
      <c r="L198" s="94"/>
      <c r="M198" s="106"/>
      <c r="N198" s="106"/>
      <c r="O198" s="106"/>
      <c r="P198" s="106"/>
      <c r="Q198" s="106"/>
      <c r="R198" s="106"/>
    </row>
    <row r="199" spans="1:18">
      <c r="A199" s="91"/>
      <c r="B199" s="92"/>
      <c r="C199" s="93"/>
      <c r="D199" s="94"/>
      <c r="E199" s="95"/>
      <c r="F199" s="96"/>
      <c r="G199" s="94"/>
      <c r="H199" s="95"/>
      <c r="I199" s="94"/>
      <c r="J199" s="94"/>
      <c r="K199" s="94"/>
      <c r="L199" s="94"/>
      <c r="M199" s="106"/>
      <c r="N199" s="106"/>
      <c r="O199" s="106"/>
      <c r="P199" s="106"/>
      <c r="Q199" s="106"/>
      <c r="R199" s="106"/>
    </row>
    <row r="200" spans="1:18">
      <c r="A200" s="91"/>
      <c r="B200" s="92"/>
      <c r="C200" s="93"/>
      <c r="D200" s="94"/>
      <c r="E200" s="95"/>
      <c r="F200" s="96"/>
      <c r="G200" s="94"/>
      <c r="H200" s="95"/>
      <c r="I200" s="94"/>
      <c r="J200" s="94"/>
      <c r="K200" s="94"/>
      <c r="L200" s="94"/>
      <c r="M200" s="106"/>
      <c r="N200" s="106"/>
      <c r="O200" s="106"/>
      <c r="P200" s="106"/>
      <c r="Q200" s="106"/>
      <c r="R200" s="106"/>
    </row>
    <row r="201" spans="1:18">
      <c r="A201" s="91"/>
      <c r="B201" s="92"/>
      <c r="C201" s="93"/>
      <c r="D201" s="94"/>
      <c r="E201" s="95"/>
      <c r="F201" s="96"/>
      <c r="G201" s="94"/>
      <c r="H201" s="95"/>
      <c r="I201" s="94"/>
      <c r="J201" s="94"/>
      <c r="K201" s="94"/>
      <c r="L201" s="94"/>
      <c r="M201" s="106"/>
      <c r="N201" s="106"/>
      <c r="O201" s="106"/>
      <c r="P201" s="106"/>
      <c r="Q201" s="106"/>
      <c r="R201" s="106"/>
    </row>
    <row r="202" spans="1:18">
      <c r="A202" s="91"/>
      <c r="B202" s="92"/>
      <c r="C202" s="93"/>
      <c r="D202" s="94"/>
      <c r="E202" s="95"/>
      <c r="F202" s="96"/>
      <c r="G202" s="94"/>
      <c r="H202" s="95"/>
      <c r="I202" s="94"/>
      <c r="J202" s="94"/>
      <c r="K202" s="94"/>
      <c r="L202" s="94"/>
      <c r="M202" s="106"/>
      <c r="N202" s="106"/>
      <c r="O202" s="106"/>
      <c r="P202" s="106"/>
      <c r="Q202" s="106"/>
      <c r="R202" s="106"/>
    </row>
    <row r="203" spans="1:18">
      <c r="A203" s="91"/>
      <c r="B203" s="92"/>
      <c r="C203" s="93"/>
      <c r="D203" s="94"/>
      <c r="E203" s="95"/>
      <c r="F203" s="96"/>
      <c r="G203" s="94"/>
      <c r="H203" s="95"/>
      <c r="I203" s="94"/>
      <c r="J203" s="94"/>
      <c r="K203" s="94"/>
      <c r="L203" s="94"/>
      <c r="M203" s="106"/>
      <c r="N203" s="106"/>
      <c r="O203" s="106"/>
      <c r="P203" s="106"/>
      <c r="Q203" s="106"/>
      <c r="R203" s="106"/>
    </row>
    <row r="204" spans="1:18">
      <c r="A204" s="91"/>
      <c r="B204" s="92"/>
      <c r="C204" s="93"/>
      <c r="D204" s="94"/>
      <c r="E204" s="95"/>
      <c r="F204" s="96"/>
      <c r="G204" s="94"/>
      <c r="H204" s="95"/>
      <c r="I204" s="94"/>
      <c r="J204" s="94"/>
      <c r="K204" s="94"/>
      <c r="L204" s="94"/>
      <c r="M204" s="106"/>
      <c r="N204" s="106"/>
      <c r="O204" s="106"/>
      <c r="P204" s="106"/>
      <c r="Q204" s="106"/>
      <c r="R204" s="106"/>
    </row>
    <row r="205" spans="1:18">
      <c r="A205" s="91"/>
      <c r="B205" s="92"/>
      <c r="C205" s="93"/>
      <c r="D205" s="94"/>
      <c r="E205" s="95"/>
      <c r="F205" s="96"/>
      <c r="G205" s="94"/>
      <c r="H205" s="95"/>
      <c r="I205" s="94"/>
      <c r="J205" s="94"/>
      <c r="K205" s="94"/>
      <c r="L205" s="94"/>
      <c r="M205" s="106"/>
      <c r="N205" s="106"/>
      <c r="O205" s="106"/>
      <c r="P205" s="106"/>
      <c r="Q205" s="106"/>
      <c r="R205" s="106"/>
    </row>
    <row r="206" spans="1:18">
      <c r="A206" s="91"/>
      <c r="B206" s="92"/>
      <c r="C206" s="93"/>
      <c r="D206" s="94"/>
      <c r="E206" s="95"/>
      <c r="F206" s="96"/>
      <c r="G206" s="94"/>
      <c r="H206" s="95"/>
      <c r="I206" s="94"/>
      <c r="J206" s="94"/>
      <c r="K206" s="94"/>
      <c r="L206" s="94"/>
      <c r="M206" s="106"/>
      <c r="N206" s="106"/>
      <c r="O206" s="106"/>
      <c r="P206" s="106"/>
      <c r="Q206" s="106"/>
      <c r="R206" s="106"/>
    </row>
    <row r="207" spans="1:18">
      <c r="A207" s="91"/>
      <c r="B207" s="92"/>
      <c r="C207" s="93"/>
      <c r="D207" s="94"/>
      <c r="E207" s="95"/>
      <c r="F207" s="96"/>
      <c r="G207" s="94"/>
      <c r="H207" s="95"/>
      <c r="I207" s="94"/>
      <c r="J207" s="94"/>
      <c r="K207" s="94"/>
      <c r="L207" s="94"/>
      <c r="M207" s="106"/>
      <c r="N207" s="106"/>
      <c r="O207" s="106"/>
      <c r="P207" s="106"/>
      <c r="Q207" s="106"/>
      <c r="R207" s="106"/>
    </row>
    <row r="208" spans="1:18">
      <c r="A208" s="91"/>
      <c r="B208" s="92"/>
      <c r="C208" s="93"/>
      <c r="D208" s="94"/>
      <c r="E208" s="95"/>
      <c r="F208" s="96"/>
      <c r="G208" s="94"/>
      <c r="H208" s="95"/>
      <c r="I208" s="94"/>
      <c r="J208" s="94"/>
      <c r="K208" s="94"/>
      <c r="L208" s="94"/>
      <c r="M208" s="106"/>
      <c r="N208" s="106"/>
      <c r="O208" s="106"/>
      <c r="P208" s="106"/>
      <c r="Q208" s="106"/>
      <c r="R208" s="106"/>
    </row>
    <row r="209" spans="1:18">
      <c r="A209" s="91"/>
      <c r="B209" s="92"/>
      <c r="C209" s="93"/>
      <c r="D209" s="94"/>
      <c r="E209" s="95"/>
      <c r="F209" s="96"/>
      <c r="G209" s="94"/>
      <c r="H209" s="95"/>
      <c r="I209" s="94"/>
      <c r="J209" s="94"/>
      <c r="K209" s="94"/>
      <c r="L209" s="94"/>
      <c r="M209" s="106"/>
      <c r="N209" s="106"/>
      <c r="O209" s="106"/>
      <c r="P209" s="106"/>
      <c r="Q209" s="106"/>
      <c r="R209" s="106"/>
    </row>
    <row r="210" spans="1:18">
      <c r="A210" s="91"/>
      <c r="B210" s="92"/>
      <c r="C210" s="93"/>
      <c r="D210" s="94"/>
      <c r="E210" s="95"/>
      <c r="F210" s="96"/>
      <c r="G210" s="94"/>
      <c r="H210" s="95"/>
      <c r="I210" s="94"/>
      <c r="J210" s="94"/>
      <c r="K210" s="94"/>
      <c r="L210" s="94"/>
      <c r="M210" s="106"/>
      <c r="N210" s="106"/>
      <c r="O210" s="106"/>
      <c r="P210" s="106"/>
      <c r="Q210" s="106"/>
      <c r="R210" s="106"/>
    </row>
    <row r="211" spans="1:18">
      <c r="A211" s="91"/>
      <c r="B211" s="92"/>
      <c r="C211" s="93"/>
      <c r="D211" s="94"/>
      <c r="E211" s="95"/>
      <c r="F211" s="96"/>
      <c r="G211" s="94"/>
      <c r="H211" s="95"/>
      <c r="I211" s="94"/>
      <c r="J211" s="94"/>
      <c r="K211" s="94"/>
      <c r="L211" s="94"/>
      <c r="M211" s="106"/>
      <c r="N211" s="106"/>
      <c r="O211" s="106"/>
      <c r="P211" s="106"/>
      <c r="Q211" s="106"/>
      <c r="R211" s="106"/>
    </row>
    <row r="212" spans="1:18">
      <c r="A212" s="91"/>
      <c r="B212" s="92"/>
      <c r="C212" s="93"/>
      <c r="D212" s="94"/>
      <c r="E212" s="95"/>
      <c r="F212" s="96"/>
      <c r="G212" s="94"/>
      <c r="H212" s="95"/>
      <c r="I212" s="94"/>
      <c r="J212" s="94"/>
      <c r="K212" s="94"/>
      <c r="L212" s="94"/>
      <c r="M212" s="106"/>
      <c r="N212" s="106"/>
      <c r="O212" s="106"/>
      <c r="P212" s="106"/>
      <c r="Q212" s="106"/>
      <c r="R212" s="106"/>
    </row>
    <row r="213" spans="1:18">
      <c r="A213" s="91"/>
      <c r="B213" s="92"/>
      <c r="C213" s="93"/>
      <c r="D213" s="94"/>
      <c r="E213" s="95"/>
      <c r="F213" s="96"/>
      <c r="G213" s="94"/>
      <c r="H213" s="95"/>
      <c r="I213" s="94"/>
      <c r="J213" s="94"/>
      <c r="K213" s="94"/>
      <c r="L213" s="94"/>
      <c r="M213" s="106"/>
      <c r="N213" s="106"/>
      <c r="O213" s="106"/>
      <c r="P213" s="106"/>
      <c r="Q213" s="106"/>
      <c r="R213" s="106"/>
    </row>
    <row r="214" spans="1:18">
      <c r="A214" s="91"/>
      <c r="B214" s="92"/>
      <c r="C214" s="93"/>
      <c r="D214" s="94"/>
      <c r="E214" s="95"/>
      <c r="F214" s="96"/>
      <c r="G214" s="94"/>
      <c r="H214" s="95"/>
      <c r="I214" s="94"/>
      <c r="J214" s="94"/>
      <c r="K214" s="94"/>
      <c r="L214" s="94"/>
      <c r="M214" s="106"/>
      <c r="N214" s="106"/>
      <c r="O214" s="106"/>
      <c r="P214" s="106"/>
      <c r="Q214" s="106"/>
      <c r="R214" s="106"/>
    </row>
    <row r="215" spans="1:18">
      <c r="A215" s="91"/>
      <c r="B215" s="92"/>
      <c r="C215" s="93"/>
      <c r="D215" s="94"/>
      <c r="E215" s="95"/>
      <c r="F215" s="96"/>
      <c r="G215" s="94"/>
      <c r="H215" s="95"/>
      <c r="I215" s="94"/>
      <c r="J215" s="94"/>
      <c r="K215" s="94"/>
      <c r="L215" s="94"/>
      <c r="M215" s="106"/>
      <c r="N215" s="106"/>
      <c r="O215" s="106"/>
      <c r="P215" s="106"/>
      <c r="Q215" s="106"/>
      <c r="R215" s="106"/>
    </row>
    <row r="216" spans="1:18">
      <c r="A216" s="91"/>
      <c r="B216" s="92"/>
      <c r="C216" s="93"/>
      <c r="D216" s="94"/>
      <c r="E216" s="95"/>
      <c r="F216" s="96"/>
      <c r="G216" s="94"/>
      <c r="H216" s="95"/>
      <c r="I216" s="94"/>
      <c r="J216" s="94"/>
      <c r="K216" s="94"/>
      <c r="L216" s="94"/>
      <c r="M216" s="106"/>
      <c r="N216" s="106"/>
      <c r="O216" s="106"/>
      <c r="P216" s="106"/>
      <c r="Q216" s="106"/>
      <c r="R216" s="106"/>
    </row>
    <row r="217" spans="1:18">
      <c r="A217" s="91"/>
      <c r="B217" s="92"/>
      <c r="C217" s="93"/>
      <c r="D217" s="94"/>
      <c r="E217" s="95"/>
      <c r="F217" s="96"/>
      <c r="G217" s="94"/>
      <c r="H217" s="95"/>
      <c r="I217" s="94"/>
      <c r="J217" s="94"/>
      <c r="K217" s="94"/>
      <c r="L217" s="94"/>
      <c r="M217" s="106"/>
      <c r="N217" s="106"/>
      <c r="O217" s="106"/>
      <c r="P217" s="106"/>
      <c r="Q217" s="106"/>
      <c r="R217" s="106"/>
    </row>
    <row r="218" spans="1:18">
      <c r="A218" s="91"/>
      <c r="B218" s="92"/>
      <c r="C218" s="93"/>
      <c r="D218" s="94"/>
      <c r="E218" s="95"/>
      <c r="F218" s="96"/>
      <c r="G218" s="94"/>
      <c r="H218" s="95"/>
      <c r="I218" s="94"/>
      <c r="J218" s="94"/>
      <c r="K218" s="94"/>
      <c r="L218" s="94"/>
      <c r="M218" s="106"/>
      <c r="N218" s="106"/>
      <c r="O218" s="106"/>
      <c r="P218" s="106"/>
      <c r="Q218" s="106"/>
      <c r="R218" s="106"/>
    </row>
    <row r="219" spans="1:18">
      <c r="A219" s="91"/>
      <c r="B219" s="92"/>
      <c r="C219" s="93"/>
      <c r="D219" s="94"/>
      <c r="E219" s="95"/>
      <c r="F219" s="96"/>
      <c r="G219" s="94"/>
      <c r="H219" s="95"/>
      <c r="I219" s="94"/>
      <c r="J219" s="94"/>
      <c r="K219" s="94"/>
      <c r="L219" s="94"/>
      <c r="M219" s="106"/>
      <c r="N219" s="106"/>
      <c r="O219" s="106"/>
      <c r="P219" s="106"/>
      <c r="Q219" s="106"/>
      <c r="R219" s="106"/>
    </row>
    <row r="220" spans="1:18">
      <c r="A220" s="91"/>
      <c r="B220" s="92"/>
      <c r="C220" s="93"/>
      <c r="D220" s="94"/>
      <c r="E220" s="95"/>
      <c r="F220" s="96"/>
      <c r="G220" s="94"/>
      <c r="H220" s="95"/>
      <c r="I220" s="94"/>
      <c r="J220" s="94"/>
      <c r="K220" s="94"/>
      <c r="L220" s="94"/>
      <c r="M220" s="106"/>
      <c r="N220" s="106"/>
      <c r="O220" s="106"/>
      <c r="P220" s="106"/>
      <c r="Q220" s="106"/>
      <c r="R220" s="106"/>
    </row>
    <row r="221" spans="1:18">
      <c r="A221" s="91"/>
      <c r="B221" s="92"/>
      <c r="C221" s="93"/>
      <c r="D221" s="94"/>
      <c r="E221" s="95"/>
      <c r="F221" s="96"/>
      <c r="G221" s="94"/>
      <c r="H221" s="95"/>
      <c r="I221" s="94"/>
      <c r="J221" s="94"/>
      <c r="K221" s="94"/>
      <c r="L221" s="94"/>
      <c r="M221" s="106"/>
      <c r="N221" s="106"/>
      <c r="O221" s="106"/>
      <c r="P221" s="106"/>
      <c r="Q221" s="106"/>
      <c r="R221" s="106"/>
    </row>
    <row r="222" spans="1:18">
      <c r="A222" s="91"/>
      <c r="B222" s="92"/>
      <c r="C222" s="93"/>
      <c r="D222" s="94"/>
      <c r="E222" s="95"/>
      <c r="F222" s="96"/>
      <c r="G222" s="94"/>
      <c r="H222" s="95"/>
      <c r="I222" s="94"/>
      <c r="J222" s="94"/>
      <c r="K222" s="94"/>
      <c r="L222" s="94"/>
      <c r="M222" s="106"/>
      <c r="N222" s="106"/>
      <c r="O222" s="106"/>
      <c r="P222" s="106"/>
      <c r="Q222" s="106"/>
      <c r="R222" s="106"/>
    </row>
    <row r="223" spans="1:18">
      <c r="A223" s="91"/>
      <c r="B223" s="92"/>
      <c r="C223" s="93"/>
      <c r="D223" s="94"/>
      <c r="E223" s="95"/>
      <c r="F223" s="96"/>
      <c r="G223" s="94"/>
      <c r="H223" s="95"/>
      <c r="I223" s="94"/>
      <c r="J223" s="94"/>
      <c r="K223" s="94"/>
      <c r="L223" s="94"/>
      <c r="M223" s="106"/>
      <c r="N223" s="106"/>
      <c r="O223" s="106"/>
      <c r="P223" s="106"/>
      <c r="Q223" s="106"/>
      <c r="R223" s="106"/>
    </row>
    <row r="224" spans="1:18">
      <c r="A224" s="91"/>
      <c r="B224" s="92"/>
      <c r="C224" s="93"/>
      <c r="D224" s="94"/>
      <c r="E224" s="95"/>
      <c r="F224" s="96"/>
      <c r="G224" s="94"/>
      <c r="H224" s="95"/>
      <c r="I224" s="94"/>
      <c r="J224" s="94"/>
      <c r="K224" s="94"/>
      <c r="L224" s="94"/>
      <c r="M224" s="106"/>
      <c r="N224" s="106"/>
      <c r="O224" s="106"/>
      <c r="P224" s="106"/>
      <c r="Q224" s="106"/>
      <c r="R224" s="106"/>
    </row>
    <row r="225" spans="1:18">
      <c r="A225" s="91"/>
      <c r="B225" s="92"/>
      <c r="C225" s="93"/>
      <c r="D225" s="94"/>
      <c r="E225" s="95"/>
      <c r="F225" s="96"/>
      <c r="G225" s="94"/>
      <c r="H225" s="95"/>
      <c r="I225" s="94"/>
      <c r="J225" s="94"/>
      <c r="K225" s="94"/>
      <c r="L225" s="94"/>
      <c r="M225" s="106"/>
      <c r="N225" s="106"/>
      <c r="O225" s="106"/>
      <c r="P225" s="106"/>
      <c r="Q225" s="106"/>
      <c r="R225" s="106"/>
    </row>
    <row r="226" spans="1:18">
      <c r="A226" s="91"/>
      <c r="B226" s="92"/>
      <c r="C226" s="93"/>
      <c r="D226" s="94"/>
      <c r="E226" s="95"/>
      <c r="F226" s="96"/>
      <c r="G226" s="94"/>
      <c r="H226" s="95"/>
      <c r="I226" s="94"/>
      <c r="J226" s="94"/>
      <c r="K226" s="94"/>
      <c r="L226" s="94"/>
      <c r="M226" s="106"/>
      <c r="N226" s="106"/>
      <c r="O226" s="106"/>
      <c r="P226" s="106"/>
      <c r="Q226" s="106"/>
      <c r="R226" s="106"/>
    </row>
    <row r="227" spans="1:18">
      <c r="A227" s="91"/>
      <c r="B227" s="92"/>
      <c r="C227" s="93"/>
      <c r="D227" s="94"/>
      <c r="E227" s="95"/>
      <c r="F227" s="96"/>
      <c r="G227" s="94"/>
      <c r="H227" s="95"/>
      <c r="I227" s="94"/>
      <c r="J227" s="94"/>
      <c r="K227" s="94"/>
      <c r="L227" s="94"/>
      <c r="M227" s="106"/>
      <c r="N227" s="106"/>
      <c r="O227" s="106"/>
      <c r="P227" s="106"/>
      <c r="Q227" s="106"/>
      <c r="R227" s="106"/>
    </row>
    <row r="228" spans="1:18">
      <c r="A228" s="91"/>
      <c r="B228" s="92"/>
      <c r="C228" s="93"/>
      <c r="D228" s="94"/>
      <c r="E228" s="95"/>
      <c r="F228" s="96"/>
      <c r="G228" s="94"/>
      <c r="H228" s="95"/>
      <c r="I228" s="94"/>
      <c r="J228" s="94"/>
      <c r="K228" s="94"/>
      <c r="L228" s="94"/>
      <c r="M228" s="106"/>
      <c r="N228" s="106"/>
      <c r="O228" s="106"/>
      <c r="P228" s="106"/>
      <c r="Q228" s="106"/>
      <c r="R228" s="106"/>
    </row>
    <row r="229" spans="1:18">
      <c r="A229" s="91"/>
      <c r="B229" s="92"/>
      <c r="C229" s="93"/>
      <c r="D229" s="94"/>
      <c r="E229" s="95"/>
      <c r="F229" s="96"/>
      <c r="G229" s="94"/>
      <c r="H229" s="95"/>
      <c r="I229" s="94"/>
      <c r="J229" s="94"/>
      <c r="K229" s="94"/>
      <c r="L229" s="94"/>
      <c r="M229" s="106"/>
      <c r="N229" s="106"/>
      <c r="O229" s="106"/>
      <c r="P229" s="106"/>
      <c r="Q229" s="106"/>
      <c r="R229" s="106"/>
    </row>
    <row r="230" spans="1:18">
      <c r="A230" s="91"/>
      <c r="B230" s="92"/>
      <c r="C230" s="93"/>
      <c r="D230" s="94"/>
      <c r="E230" s="95"/>
      <c r="F230" s="96"/>
      <c r="G230" s="94"/>
      <c r="H230" s="95"/>
      <c r="I230" s="94"/>
      <c r="J230" s="94"/>
      <c r="K230" s="94"/>
      <c r="L230" s="94"/>
      <c r="M230" s="106"/>
      <c r="N230" s="106"/>
      <c r="O230" s="106"/>
      <c r="P230" s="106"/>
      <c r="Q230" s="106"/>
      <c r="R230" s="106"/>
    </row>
    <row r="231" spans="1:18">
      <c r="A231" s="91"/>
      <c r="B231" s="92"/>
      <c r="C231" s="93"/>
      <c r="D231" s="94"/>
      <c r="E231" s="95"/>
      <c r="F231" s="96"/>
      <c r="G231" s="94"/>
      <c r="H231" s="95"/>
      <c r="I231" s="94"/>
      <c r="J231" s="94"/>
      <c r="K231" s="94"/>
      <c r="L231" s="94"/>
      <c r="M231" s="106"/>
      <c r="N231" s="106"/>
      <c r="O231" s="106"/>
      <c r="P231" s="106"/>
      <c r="Q231" s="106"/>
      <c r="R231" s="106"/>
    </row>
    <row r="232" spans="1:18">
      <c r="A232" s="91"/>
      <c r="B232" s="92"/>
      <c r="C232" s="93"/>
      <c r="D232" s="94"/>
      <c r="E232" s="95"/>
      <c r="F232" s="96"/>
      <c r="G232" s="94"/>
      <c r="H232" s="95"/>
      <c r="I232" s="94"/>
      <c r="J232" s="94"/>
      <c r="K232" s="94"/>
      <c r="L232" s="94"/>
      <c r="M232" s="106"/>
      <c r="N232" s="106"/>
      <c r="O232" s="106"/>
      <c r="P232" s="106"/>
      <c r="Q232" s="106"/>
      <c r="R232" s="106"/>
    </row>
    <row r="233" spans="1:18">
      <c r="A233" s="91"/>
      <c r="B233" s="92"/>
      <c r="C233" s="93"/>
      <c r="D233" s="94"/>
      <c r="E233" s="95"/>
      <c r="F233" s="96"/>
      <c r="G233" s="94"/>
      <c r="H233" s="95"/>
      <c r="I233" s="94"/>
      <c r="J233" s="94"/>
      <c r="K233" s="94"/>
      <c r="L233" s="94"/>
      <c r="M233" s="106"/>
      <c r="N233" s="106"/>
      <c r="O233" s="106"/>
      <c r="P233" s="106"/>
      <c r="Q233" s="106"/>
      <c r="R233" s="106"/>
    </row>
    <row r="234" spans="1:18">
      <c r="A234" s="91"/>
      <c r="B234" s="92"/>
      <c r="C234" s="93"/>
      <c r="D234" s="94"/>
      <c r="E234" s="95"/>
      <c r="F234" s="96"/>
      <c r="G234" s="94"/>
      <c r="H234" s="95"/>
      <c r="I234" s="94"/>
      <c r="J234" s="94"/>
      <c r="K234" s="94"/>
      <c r="L234" s="94"/>
      <c r="M234" s="106"/>
      <c r="N234" s="106"/>
      <c r="O234" s="106"/>
      <c r="P234" s="106"/>
      <c r="Q234" s="106"/>
      <c r="R234" s="106"/>
    </row>
    <row r="235" spans="1:18">
      <c r="A235" s="91"/>
      <c r="B235" s="92"/>
      <c r="C235" s="93"/>
      <c r="D235" s="94"/>
      <c r="E235" s="95"/>
      <c r="F235" s="96"/>
      <c r="G235" s="94"/>
      <c r="H235" s="95"/>
      <c r="I235" s="94"/>
      <c r="J235" s="94"/>
      <c r="K235" s="94"/>
      <c r="L235" s="94"/>
      <c r="M235" s="106"/>
      <c r="N235" s="106"/>
      <c r="O235" s="106"/>
      <c r="P235" s="106"/>
      <c r="Q235" s="106"/>
      <c r="R235" s="106"/>
    </row>
    <row r="236" spans="1:18">
      <c r="A236" s="91"/>
      <c r="B236" s="92"/>
      <c r="C236" s="93"/>
      <c r="D236" s="94"/>
      <c r="E236" s="95"/>
      <c r="F236" s="96"/>
      <c r="G236" s="94"/>
      <c r="H236" s="95"/>
      <c r="I236" s="94"/>
      <c r="J236" s="94"/>
      <c r="K236" s="94"/>
      <c r="L236" s="94"/>
      <c r="M236" s="106"/>
      <c r="N236" s="106"/>
      <c r="O236" s="106"/>
      <c r="P236" s="106"/>
      <c r="Q236" s="106"/>
      <c r="R236" s="106"/>
    </row>
    <row r="237" spans="1:18">
      <c r="A237" s="91"/>
      <c r="B237" s="92"/>
      <c r="C237" s="93"/>
      <c r="D237" s="94"/>
      <c r="E237" s="95"/>
      <c r="F237" s="96"/>
      <c r="G237" s="94"/>
      <c r="H237" s="95"/>
      <c r="I237" s="94"/>
      <c r="J237" s="94"/>
      <c r="K237" s="94"/>
      <c r="L237" s="94"/>
      <c r="M237" s="106"/>
      <c r="N237" s="106"/>
      <c r="O237" s="106"/>
      <c r="P237" s="106"/>
      <c r="Q237" s="106"/>
      <c r="R237" s="106"/>
    </row>
    <row r="238" spans="1:18">
      <c r="A238" s="91"/>
      <c r="B238" s="92"/>
      <c r="C238" s="93"/>
      <c r="D238" s="94"/>
      <c r="E238" s="95"/>
      <c r="F238" s="96"/>
      <c r="G238" s="94"/>
      <c r="H238" s="95"/>
      <c r="I238" s="94"/>
      <c r="J238" s="94"/>
      <c r="K238" s="94"/>
      <c r="L238" s="94"/>
      <c r="M238" s="106"/>
      <c r="N238" s="106"/>
      <c r="O238" s="106"/>
      <c r="P238" s="106"/>
      <c r="Q238" s="106"/>
      <c r="R238" s="106"/>
    </row>
    <row r="239" spans="1:18">
      <c r="A239" s="91"/>
      <c r="B239" s="92"/>
      <c r="C239" s="93"/>
      <c r="D239" s="94"/>
      <c r="E239" s="95"/>
      <c r="F239" s="96"/>
      <c r="G239" s="94"/>
      <c r="H239" s="95"/>
      <c r="I239" s="94"/>
      <c r="J239" s="94"/>
      <c r="K239" s="94"/>
      <c r="L239" s="94"/>
      <c r="M239" s="106"/>
      <c r="N239" s="106"/>
      <c r="O239" s="106"/>
      <c r="P239" s="106"/>
      <c r="Q239" s="106"/>
      <c r="R239" s="106"/>
    </row>
    <row r="240" spans="1:18">
      <c r="A240" s="91"/>
      <c r="B240" s="92"/>
      <c r="C240" s="93"/>
      <c r="D240" s="94"/>
      <c r="E240" s="95"/>
      <c r="F240" s="96"/>
      <c r="G240" s="94"/>
      <c r="H240" s="95"/>
      <c r="I240" s="94"/>
      <c r="J240" s="94"/>
      <c r="K240" s="94"/>
      <c r="L240" s="94"/>
      <c r="M240" s="106"/>
      <c r="N240" s="106"/>
      <c r="O240" s="106"/>
      <c r="P240" s="106"/>
      <c r="Q240" s="106"/>
      <c r="R240" s="106"/>
    </row>
    <row r="241" spans="1:18">
      <c r="A241" s="91"/>
      <c r="B241" s="92"/>
      <c r="C241" s="93"/>
      <c r="D241" s="94"/>
      <c r="E241" s="95"/>
      <c r="F241" s="96"/>
      <c r="G241" s="94"/>
      <c r="H241" s="95"/>
      <c r="I241" s="94"/>
      <c r="J241" s="94"/>
      <c r="K241" s="94"/>
      <c r="L241" s="94"/>
      <c r="M241" s="106"/>
      <c r="N241" s="106"/>
      <c r="O241" s="106"/>
      <c r="P241" s="106"/>
      <c r="Q241" s="106"/>
      <c r="R241" s="106"/>
    </row>
    <row r="242" spans="1:18">
      <c r="A242" s="91"/>
      <c r="B242" s="92"/>
      <c r="C242" s="93"/>
      <c r="D242" s="94"/>
      <c r="E242" s="95"/>
      <c r="F242" s="96"/>
      <c r="G242" s="94"/>
      <c r="H242" s="95"/>
      <c r="I242" s="94"/>
      <c r="J242" s="94"/>
      <c r="K242" s="94"/>
      <c r="L242" s="94"/>
      <c r="M242" s="106"/>
      <c r="N242" s="106"/>
      <c r="O242" s="106"/>
      <c r="P242" s="106"/>
      <c r="Q242" s="106"/>
      <c r="R242" s="106"/>
    </row>
    <row r="243" spans="1:18">
      <c r="A243" s="91"/>
      <c r="B243" s="92"/>
      <c r="C243" s="93"/>
      <c r="D243" s="94"/>
      <c r="E243" s="95"/>
      <c r="F243" s="96"/>
      <c r="G243" s="94"/>
      <c r="H243" s="95"/>
      <c r="I243" s="94"/>
      <c r="J243" s="94"/>
      <c r="K243" s="94"/>
      <c r="L243" s="94"/>
      <c r="M243" s="106"/>
      <c r="N243" s="106"/>
      <c r="O243" s="106"/>
      <c r="P243" s="106"/>
      <c r="Q243" s="106"/>
      <c r="R243" s="106"/>
    </row>
    <row r="244" spans="1:18">
      <c r="A244" s="91"/>
      <c r="B244" s="92"/>
      <c r="C244" s="93"/>
      <c r="D244" s="94"/>
      <c r="E244" s="95"/>
      <c r="F244" s="96"/>
      <c r="G244" s="94"/>
      <c r="H244" s="95"/>
      <c r="I244" s="94"/>
      <c r="J244" s="94"/>
      <c r="K244" s="94"/>
      <c r="L244" s="94"/>
      <c r="M244" s="106"/>
      <c r="N244" s="106"/>
      <c r="O244" s="106"/>
      <c r="P244" s="106"/>
      <c r="Q244" s="106"/>
      <c r="R244" s="106"/>
    </row>
    <row r="245" spans="1:18">
      <c r="A245" s="91"/>
      <c r="B245" s="92"/>
      <c r="C245" s="93"/>
      <c r="D245" s="94"/>
      <c r="E245" s="95"/>
      <c r="F245" s="96"/>
      <c r="G245" s="94"/>
      <c r="H245" s="95"/>
      <c r="I245" s="94"/>
      <c r="J245" s="94"/>
      <c r="K245" s="94"/>
      <c r="L245" s="94"/>
      <c r="M245" s="106"/>
      <c r="N245" s="106"/>
      <c r="O245" s="106"/>
      <c r="P245" s="106"/>
      <c r="Q245" s="106"/>
      <c r="R245" s="106"/>
    </row>
    <row r="246" spans="1:18">
      <c r="A246" s="91"/>
      <c r="B246" s="92"/>
      <c r="C246" s="93"/>
      <c r="D246" s="94"/>
      <c r="E246" s="95"/>
      <c r="F246" s="96"/>
      <c r="G246" s="94"/>
      <c r="H246" s="95"/>
      <c r="I246" s="94"/>
      <c r="J246" s="94"/>
      <c r="K246" s="94"/>
      <c r="L246" s="94"/>
      <c r="M246" s="106"/>
      <c r="N246" s="106"/>
      <c r="O246" s="106"/>
      <c r="P246" s="106"/>
      <c r="Q246" s="106"/>
      <c r="R246" s="106"/>
    </row>
    <row r="247" spans="1:18">
      <c r="A247" s="91"/>
      <c r="B247" s="92"/>
      <c r="C247" s="93"/>
      <c r="D247" s="94"/>
      <c r="E247" s="95"/>
      <c r="F247" s="96"/>
      <c r="G247" s="94"/>
      <c r="H247" s="95"/>
      <c r="I247" s="94"/>
      <c r="J247" s="94"/>
      <c r="K247" s="94"/>
      <c r="L247" s="94"/>
      <c r="M247" s="106"/>
      <c r="N247" s="106"/>
      <c r="O247" s="106"/>
      <c r="P247" s="106"/>
      <c r="Q247" s="106"/>
      <c r="R247" s="106"/>
    </row>
    <row r="248" spans="1:18">
      <c r="A248" s="91"/>
      <c r="B248" s="92"/>
      <c r="C248" s="93"/>
      <c r="D248" s="94"/>
      <c r="E248" s="95"/>
      <c r="F248" s="96"/>
      <c r="G248" s="94"/>
      <c r="H248" s="95"/>
      <c r="I248" s="94"/>
      <c r="J248" s="94"/>
      <c r="K248" s="94"/>
      <c r="L248" s="94"/>
      <c r="M248" s="106"/>
      <c r="N248" s="106"/>
      <c r="O248" s="106"/>
      <c r="P248" s="106"/>
      <c r="Q248" s="106"/>
      <c r="R248" s="106"/>
    </row>
    <row r="249" spans="1:18">
      <c r="A249" s="91"/>
      <c r="B249" s="92"/>
      <c r="C249" s="93"/>
      <c r="D249" s="94"/>
      <c r="E249" s="95"/>
      <c r="F249" s="96"/>
      <c r="G249" s="94"/>
      <c r="H249" s="95"/>
      <c r="I249" s="94"/>
      <c r="J249" s="94"/>
      <c r="K249" s="94"/>
      <c r="L249" s="94"/>
      <c r="M249" s="106"/>
      <c r="N249" s="106"/>
      <c r="O249" s="106"/>
      <c r="P249" s="106"/>
      <c r="Q249" s="106"/>
      <c r="R249" s="106"/>
    </row>
    <row r="250" spans="1:18">
      <c r="A250" s="91"/>
      <c r="B250" s="92"/>
      <c r="C250" s="93"/>
      <c r="D250" s="94"/>
      <c r="E250" s="95"/>
      <c r="F250" s="96"/>
      <c r="G250" s="94"/>
      <c r="H250" s="95"/>
      <c r="I250" s="94"/>
      <c r="J250" s="94"/>
      <c r="K250" s="94"/>
      <c r="L250" s="94"/>
      <c r="M250" s="106"/>
      <c r="N250" s="106"/>
      <c r="O250" s="106"/>
      <c r="P250" s="106"/>
      <c r="Q250" s="106"/>
      <c r="R250" s="106"/>
    </row>
    <row r="251" spans="1:18">
      <c r="A251" s="91"/>
      <c r="B251" s="92"/>
      <c r="C251" s="93"/>
      <c r="D251" s="94"/>
      <c r="E251" s="95"/>
      <c r="F251" s="96"/>
      <c r="G251" s="94"/>
      <c r="H251" s="95"/>
      <c r="I251" s="94"/>
      <c r="J251" s="94"/>
      <c r="K251" s="94"/>
      <c r="L251" s="94"/>
      <c r="M251" s="106"/>
      <c r="N251" s="106"/>
      <c r="O251" s="106"/>
      <c r="P251" s="106"/>
      <c r="Q251" s="106"/>
      <c r="R251" s="106"/>
    </row>
    <row r="252" spans="1:18">
      <c r="A252" s="91"/>
      <c r="B252" s="92"/>
      <c r="C252" s="93"/>
      <c r="D252" s="94"/>
      <c r="E252" s="95"/>
      <c r="F252" s="96"/>
      <c r="G252" s="94"/>
      <c r="H252" s="95"/>
      <c r="I252" s="94"/>
      <c r="J252" s="94"/>
      <c r="K252" s="94"/>
      <c r="L252" s="94"/>
      <c r="M252" s="106"/>
      <c r="N252" s="106"/>
      <c r="O252" s="106"/>
      <c r="P252" s="106"/>
      <c r="Q252" s="106"/>
      <c r="R252" s="106"/>
    </row>
    <row r="253" spans="1:18">
      <c r="A253" s="91"/>
      <c r="B253" s="92"/>
      <c r="C253" s="93"/>
      <c r="D253" s="94"/>
      <c r="E253" s="95"/>
      <c r="F253" s="96"/>
      <c r="G253" s="94"/>
      <c r="H253" s="95"/>
      <c r="I253" s="94"/>
      <c r="J253" s="94"/>
      <c r="K253" s="94"/>
      <c r="L253" s="94"/>
      <c r="M253" s="106"/>
      <c r="N253" s="106"/>
      <c r="O253" s="106"/>
      <c r="P253" s="106"/>
      <c r="Q253" s="106"/>
      <c r="R253" s="106"/>
    </row>
    <row r="254" spans="1:18">
      <c r="A254" s="91"/>
      <c r="B254" s="92"/>
      <c r="C254" s="93"/>
      <c r="D254" s="94"/>
      <c r="E254" s="95"/>
      <c r="F254" s="96"/>
      <c r="G254" s="94"/>
      <c r="H254" s="95"/>
      <c r="I254" s="94"/>
      <c r="J254" s="94"/>
      <c r="K254" s="94"/>
      <c r="L254" s="94"/>
      <c r="M254" s="106"/>
      <c r="N254" s="106"/>
      <c r="O254" s="106"/>
      <c r="P254" s="106"/>
      <c r="Q254" s="106"/>
      <c r="R254" s="106"/>
    </row>
    <row r="255" spans="1:18">
      <c r="A255" s="91"/>
      <c r="B255" s="92"/>
      <c r="C255" s="93"/>
      <c r="D255" s="94"/>
      <c r="E255" s="95"/>
      <c r="F255" s="96"/>
      <c r="G255" s="94"/>
      <c r="H255" s="95"/>
      <c r="I255" s="94"/>
      <c r="J255" s="94"/>
      <c r="K255" s="94"/>
      <c r="L255" s="94"/>
      <c r="M255" s="106"/>
      <c r="N255" s="106"/>
      <c r="O255" s="106"/>
      <c r="P255" s="106"/>
      <c r="Q255" s="106"/>
      <c r="R255" s="106"/>
    </row>
    <row r="256" spans="1:18">
      <c r="A256" s="91"/>
      <c r="B256" s="92"/>
      <c r="C256" s="93"/>
      <c r="D256" s="94"/>
      <c r="E256" s="95"/>
      <c r="F256" s="96"/>
      <c r="G256" s="94"/>
      <c r="H256" s="95"/>
      <c r="I256" s="94"/>
      <c r="J256" s="94"/>
      <c r="K256" s="94"/>
      <c r="L256" s="94"/>
      <c r="M256" s="106"/>
      <c r="N256" s="106"/>
      <c r="O256" s="106"/>
      <c r="P256" s="106"/>
      <c r="Q256" s="106"/>
      <c r="R256" s="106"/>
    </row>
    <row r="257" spans="1:18">
      <c r="A257" s="91"/>
      <c r="B257" s="92"/>
      <c r="C257" s="93"/>
      <c r="D257" s="94"/>
      <c r="E257" s="95"/>
      <c r="F257" s="96"/>
      <c r="G257" s="94"/>
      <c r="H257" s="95"/>
      <c r="I257" s="94"/>
      <c r="J257" s="94"/>
      <c r="K257" s="94"/>
      <c r="L257" s="94"/>
      <c r="M257" s="106"/>
      <c r="N257" s="106"/>
      <c r="O257" s="106"/>
      <c r="P257" s="106"/>
      <c r="Q257" s="106"/>
      <c r="R257" s="106"/>
    </row>
    <row r="258" spans="1:18">
      <c r="A258" s="91"/>
      <c r="B258" s="92"/>
      <c r="C258" s="93"/>
      <c r="D258" s="94"/>
      <c r="E258" s="95"/>
      <c r="F258" s="96"/>
      <c r="G258" s="94"/>
      <c r="H258" s="95"/>
      <c r="I258" s="94"/>
      <c r="J258" s="94"/>
      <c r="K258" s="94"/>
      <c r="L258" s="94"/>
      <c r="M258" s="106"/>
      <c r="N258" s="106"/>
      <c r="O258" s="106"/>
      <c r="P258" s="106"/>
      <c r="Q258" s="106"/>
      <c r="R258" s="106"/>
    </row>
    <row r="259" spans="1:18">
      <c r="A259" s="91"/>
      <c r="B259" s="92"/>
      <c r="C259" s="93"/>
      <c r="D259" s="94"/>
      <c r="E259" s="95"/>
      <c r="F259" s="96"/>
      <c r="G259" s="94"/>
      <c r="H259" s="95"/>
      <c r="I259" s="94"/>
      <c r="J259" s="94"/>
      <c r="K259" s="94"/>
      <c r="L259" s="94"/>
      <c r="M259" s="106"/>
      <c r="N259" s="106"/>
      <c r="O259" s="106"/>
      <c r="P259" s="106"/>
      <c r="Q259" s="106"/>
      <c r="R259" s="106"/>
    </row>
    <row r="260" spans="1:18">
      <c r="A260" s="91"/>
      <c r="B260" s="92"/>
      <c r="C260" s="93"/>
      <c r="D260" s="94"/>
      <c r="E260" s="95"/>
      <c r="F260" s="96"/>
      <c r="G260" s="94"/>
      <c r="H260" s="95"/>
      <c r="I260" s="94"/>
      <c r="J260" s="94"/>
      <c r="K260" s="94"/>
      <c r="L260" s="94"/>
      <c r="M260" s="106"/>
      <c r="N260" s="106"/>
      <c r="O260" s="106"/>
      <c r="P260" s="106"/>
      <c r="Q260" s="106"/>
      <c r="R260" s="106"/>
    </row>
    <row r="261" spans="1:18">
      <c r="A261" s="91"/>
      <c r="B261" s="92"/>
      <c r="C261" s="93"/>
      <c r="D261" s="94"/>
      <c r="E261" s="95"/>
      <c r="F261" s="96"/>
      <c r="G261" s="94"/>
      <c r="H261" s="95"/>
      <c r="I261" s="94"/>
      <c r="J261" s="94"/>
      <c r="K261" s="94"/>
      <c r="L261" s="94"/>
      <c r="M261" s="106"/>
      <c r="N261" s="106"/>
      <c r="O261" s="106"/>
      <c r="P261" s="106"/>
      <c r="Q261" s="106"/>
      <c r="R261" s="106"/>
    </row>
    <row r="262" spans="1:18">
      <c r="A262" s="91"/>
      <c r="B262" s="92"/>
      <c r="C262" s="93"/>
      <c r="D262" s="94"/>
      <c r="E262" s="95"/>
      <c r="F262" s="96"/>
      <c r="G262" s="94"/>
      <c r="H262" s="95"/>
      <c r="I262" s="94"/>
      <c r="J262" s="94"/>
      <c r="K262" s="94"/>
      <c r="L262" s="94"/>
      <c r="M262" s="106"/>
      <c r="N262" s="106"/>
      <c r="O262" s="106"/>
      <c r="P262" s="106"/>
      <c r="Q262" s="106"/>
      <c r="R262" s="106"/>
    </row>
    <row r="263" spans="1:18">
      <c r="A263" s="91"/>
      <c r="B263" s="92"/>
      <c r="C263" s="93"/>
      <c r="D263" s="94"/>
      <c r="E263" s="95"/>
      <c r="F263" s="96"/>
      <c r="G263" s="94"/>
      <c r="H263" s="95"/>
      <c r="I263" s="94"/>
      <c r="J263" s="94"/>
      <c r="K263" s="94"/>
      <c r="L263" s="94"/>
      <c r="M263" s="106"/>
      <c r="N263" s="106"/>
      <c r="O263" s="106"/>
      <c r="P263" s="106"/>
      <c r="Q263" s="106"/>
      <c r="R263" s="106"/>
    </row>
    <row r="264" spans="1:18">
      <c r="A264" s="91"/>
      <c r="B264" s="92"/>
      <c r="C264" s="93"/>
      <c r="D264" s="94"/>
      <c r="E264" s="95"/>
      <c r="F264" s="96"/>
      <c r="G264" s="94"/>
      <c r="H264" s="95"/>
      <c r="I264" s="94"/>
      <c r="J264" s="94"/>
      <c r="K264" s="94"/>
      <c r="L264" s="94"/>
      <c r="M264" s="106"/>
      <c r="N264" s="106"/>
      <c r="O264" s="106"/>
      <c r="P264" s="106"/>
      <c r="Q264" s="106"/>
      <c r="R264" s="106"/>
    </row>
    <row r="265" spans="1:18">
      <c r="A265" s="91"/>
      <c r="B265" s="92"/>
      <c r="C265" s="93"/>
      <c r="D265" s="94"/>
      <c r="E265" s="95"/>
      <c r="F265" s="96"/>
      <c r="G265" s="94"/>
      <c r="H265" s="95"/>
      <c r="I265" s="94"/>
      <c r="J265" s="94"/>
      <c r="K265" s="94"/>
      <c r="L265" s="94"/>
      <c r="M265" s="106"/>
      <c r="N265" s="106"/>
      <c r="O265" s="106"/>
      <c r="P265" s="106"/>
      <c r="Q265" s="106"/>
      <c r="R265" s="106"/>
    </row>
    <row r="266" spans="1:18">
      <c r="A266" s="91"/>
      <c r="B266" s="92"/>
      <c r="C266" s="93"/>
      <c r="D266" s="94"/>
      <c r="E266" s="95"/>
      <c r="F266" s="96"/>
      <c r="G266" s="94"/>
      <c r="H266" s="95"/>
      <c r="I266" s="94"/>
      <c r="J266" s="94"/>
      <c r="K266" s="94"/>
      <c r="L266" s="94"/>
      <c r="M266" s="106"/>
      <c r="N266" s="106"/>
      <c r="O266" s="106"/>
      <c r="P266" s="106"/>
      <c r="Q266" s="106"/>
      <c r="R266" s="106"/>
    </row>
    <row r="267" spans="1:18">
      <c r="A267" s="91"/>
      <c r="B267" s="92"/>
      <c r="C267" s="93"/>
      <c r="D267" s="94"/>
      <c r="E267" s="95"/>
      <c r="F267" s="96"/>
      <c r="G267" s="94"/>
      <c r="H267" s="95"/>
      <c r="I267" s="94"/>
      <c r="J267" s="94"/>
      <c r="K267" s="94"/>
      <c r="L267" s="94"/>
      <c r="M267" s="106"/>
      <c r="N267" s="106"/>
      <c r="O267" s="106"/>
      <c r="P267" s="106"/>
      <c r="Q267" s="106"/>
      <c r="R267" s="106"/>
    </row>
    <row r="268" spans="1:18">
      <c r="A268" s="91"/>
      <c r="B268" s="92"/>
      <c r="C268" s="93"/>
      <c r="D268" s="94"/>
      <c r="E268" s="95"/>
      <c r="F268" s="96"/>
      <c r="G268" s="94"/>
      <c r="H268" s="95"/>
      <c r="I268" s="94"/>
      <c r="J268" s="94"/>
      <c r="K268" s="94"/>
      <c r="L268" s="94"/>
      <c r="M268" s="106"/>
      <c r="N268" s="106"/>
      <c r="O268" s="106"/>
      <c r="P268" s="106"/>
      <c r="Q268" s="106"/>
      <c r="R268" s="106"/>
    </row>
    <row r="269" spans="1:18">
      <c r="A269" s="91"/>
      <c r="B269" s="92"/>
      <c r="C269" s="93"/>
      <c r="D269" s="94"/>
      <c r="E269" s="95"/>
      <c r="F269" s="96"/>
      <c r="G269" s="94"/>
      <c r="H269" s="95"/>
      <c r="I269" s="94"/>
      <c r="J269" s="94"/>
      <c r="K269" s="94"/>
      <c r="L269" s="94"/>
      <c r="M269" s="106"/>
      <c r="N269" s="106"/>
      <c r="O269" s="106"/>
      <c r="P269" s="106"/>
      <c r="Q269" s="106"/>
      <c r="R269" s="106"/>
    </row>
    <row r="270" spans="1:18">
      <c r="A270" s="91"/>
      <c r="B270" s="92"/>
      <c r="C270" s="93"/>
      <c r="D270" s="94"/>
      <c r="E270" s="95"/>
      <c r="F270" s="96"/>
      <c r="G270" s="94"/>
      <c r="H270" s="95"/>
      <c r="I270" s="94"/>
      <c r="J270" s="94"/>
      <c r="K270" s="94"/>
      <c r="L270" s="94"/>
      <c r="M270" s="106"/>
      <c r="N270" s="106"/>
      <c r="O270" s="106"/>
      <c r="P270" s="106"/>
      <c r="Q270" s="106"/>
      <c r="R270" s="106"/>
    </row>
    <row r="271" spans="1:18">
      <c r="A271" s="91"/>
      <c r="B271" s="92"/>
      <c r="C271" s="93"/>
      <c r="D271" s="94"/>
      <c r="E271" s="95"/>
      <c r="F271" s="96"/>
      <c r="G271" s="94"/>
      <c r="H271" s="95"/>
      <c r="I271" s="94"/>
      <c r="J271" s="94"/>
      <c r="K271" s="94"/>
      <c r="L271" s="94"/>
      <c r="M271" s="106"/>
      <c r="N271" s="106"/>
      <c r="O271" s="106"/>
      <c r="P271" s="106"/>
      <c r="Q271" s="106"/>
      <c r="R271" s="106"/>
    </row>
    <row r="272" spans="1:18">
      <c r="A272" s="91"/>
      <c r="B272" s="92"/>
      <c r="C272" s="93"/>
      <c r="D272" s="94"/>
      <c r="E272" s="95"/>
      <c r="F272" s="96"/>
      <c r="G272" s="94"/>
      <c r="H272" s="95"/>
      <c r="I272" s="94"/>
      <c r="J272" s="94"/>
      <c r="K272" s="94"/>
      <c r="L272" s="94"/>
      <c r="M272" s="106"/>
      <c r="N272" s="106"/>
      <c r="O272" s="106"/>
      <c r="P272" s="106"/>
      <c r="Q272" s="106"/>
      <c r="R272" s="106"/>
    </row>
    <row r="273" spans="1:18">
      <c r="A273" s="91"/>
      <c r="B273" s="92"/>
      <c r="C273" s="93"/>
      <c r="D273" s="94"/>
      <c r="E273" s="95"/>
      <c r="F273" s="96"/>
      <c r="G273" s="94"/>
      <c r="H273" s="95"/>
      <c r="I273" s="94"/>
      <c r="J273" s="94"/>
      <c r="K273" s="94"/>
      <c r="L273" s="94"/>
      <c r="M273" s="106"/>
      <c r="N273" s="106"/>
      <c r="O273" s="106"/>
      <c r="P273" s="106"/>
      <c r="Q273" s="106"/>
      <c r="R273" s="106"/>
    </row>
    <row r="274" spans="1:18">
      <c r="A274" s="91"/>
      <c r="B274" s="92"/>
      <c r="C274" s="93"/>
      <c r="D274" s="94"/>
      <c r="E274" s="95"/>
      <c r="F274" s="96"/>
      <c r="G274" s="94"/>
      <c r="H274" s="95"/>
      <c r="I274" s="94"/>
      <c r="J274" s="94"/>
      <c r="K274" s="94"/>
      <c r="L274" s="94"/>
      <c r="M274" s="106"/>
      <c r="N274" s="106"/>
      <c r="O274" s="106"/>
      <c r="P274" s="106"/>
      <c r="Q274" s="106"/>
      <c r="R274" s="106"/>
    </row>
    <row r="275" spans="1:18">
      <c r="A275" s="91"/>
      <c r="B275" s="92"/>
      <c r="C275" s="93"/>
      <c r="D275" s="94"/>
      <c r="E275" s="95"/>
      <c r="F275" s="96"/>
      <c r="G275" s="94"/>
      <c r="H275" s="95"/>
      <c r="I275" s="94"/>
      <c r="J275" s="94"/>
      <c r="K275" s="94"/>
      <c r="L275" s="94"/>
      <c r="M275" s="106"/>
      <c r="N275" s="106"/>
      <c r="O275" s="106"/>
      <c r="P275" s="106"/>
      <c r="Q275" s="106"/>
      <c r="R275" s="106"/>
    </row>
    <row r="276" spans="1:18">
      <c r="A276" s="91"/>
      <c r="B276" s="92"/>
      <c r="C276" s="93"/>
      <c r="D276" s="94"/>
      <c r="E276" s="95"/>
      <c r="F276" s="96"/>
      <c r="G276" s="94"/>
      <c r="H276" s="95"/>
      <c r="I276" s="94"/>
      <c r="J276" s="94"/>
      <c r="K276" s="94"/>
      <c r="L276" s="94"/>
      <c r="M276" s="106"/>
      <c r="N276" s="106"/>
      <c r="O276" s="106"/>
      <c r="P276" s="106"/>
      <c r="Q276" s="106"/>
      <c r="R276" s="106"/>
    </row>
    <row r="277" spans="1:18">
      <c r="A277" s="91"/>
      <c r="B277" s="92"/>
      <c r="C277" s="93"/>
      <c r="D277" s="94"/>
      <c r="E277" s="95"/>
      <c r="F277" s="96"/>
      <c r="G277" s="94"/>
      <c r="H277" s="95"/>
      <c r="I277" s="94"/>
      <c r="J277" s="94"/>
      <c r="K277" s="94"/>
      <c r="L277" s="94"/>
      <c r="M277" s="106"/>
      <c r="N277" s="106"/>
      <c r="O277" s="106"/>
      <c r="P277" s="106"/>
      <c r="Q277" s="106"/>
      <c r="R277" s="106"/>
    </row>
    <row r="278" spans="1:18">
      <c r="A278" s="91"/>
      <c r="B278" s="92"/>
      <c r="C278" s="93"/>
      <c r="D278" s="94"/>
      <c r="E278" s="95"/>
      <c r="F278" s="96"/>
      <c r="G278" s="94"/>
      <c r="H278" s="95"/>
      <c r="I278" s="94"/>
      <c r="J278" s="94"/>
      <c r="K278" s="94"/>
      <c r="L278" s="94"/>
      <c r="M278" s="106"/>
      <c r="N278" s="106"/>
      <c r="O278" s="106"/>
      <c r="P278" s="106"/>
      <c r="Q278" s="106"/>
      <c r="R278" s="106"/>
    </row>
    <row r="279" spans="1:18">
      <c r="A279" s="91"/>
      <c r="B279" s="92"/>
      <c r="C279" s="93"/>
      <c r="D279" s="94"/>
      <c r="E279" s="95"/>
      <c r="F279" s="96"/>
      <c r="G279" s="94"/>
      <c r="H279" s="95"/>
      <c r="I279" s="94"/>
      <c r="J279" s="94"/>
      <c r="K279" s="94"/>
      <c r="L279" s="94"/>
      <c r="M279" s="106"/>
      <c r="N279" s="106"/>
      <c r="O279" s="106"/>
      <c r="P279" s="106"/>
      <c r="Q279" s="106"/>
      <c r="R279" s="106"/>
    </row>
    <row r="280" spans="1:18">
      <c r="A280" s="91"/>
      <c r="B280" s="92"/>
      <c r="C280" s="93"/>
      <c r="D280" s="94"/>
      <c r="E280" s="95"/>
      <c r="F280" s="96"/>
      <c r="G280" s="94"/>
      <c r="H280" s="95"/>
      <c r="I280" s="94"/>
      <c r="J280" s="94"/>
      <c r="K280" s="94"/>
      <c r="L280" s="94"/>
      <c r="M280" s="106"/>
      <c r="N280" s="106"/>
      <c r="O280" s="106"/>
      <c r="P280" s="106"/>
      <c r="Q280" s="106"/>
      <c r="R280" s="106"/>
    </row>
    <row r="281" spans="1:18">
      <c r="A281" s="91"/>
      <c r="B281" s="92"/>
      <c r="C281" s="93"/>
      <c r="D281" s="94"/>
      <c r="E281" s="95"/>
      <c r="F281" s="96"/>
      <c r="G281" s="94"/>
      <c r="H281" s="95"/>
      <c r="I281" s="94"/>
      <c r="J281" s="94"/>
      <c r="K281" s="94"/>
      <c r="L281" s="94"/>
      <c r="M281" s="106"/>
      <c r="N281" s="106"/>
      <c r="O281" s="106"/>
      <c r="P281" s="106"/>
      <c r="Q281" s="106"/>
      <c r="R281" s="106"/>
    </row>
    <row r="282" spans="1:18">
      <c r="A282" s="91"/>
      <c r="B282" s="92"/>
      <c r="C282" s="93"/>
      <c r="D282" s="94"/>
      <c r="E282" s="95"/>
      <c r="F282" s="96"/>
      <c r="G282" s="94"/>
      <c r="H282" s="95"/>
      <c r="I282" s="94"/>
      <c r="J282" s="94"/>
      <c r="K282" s="94"/>
      <c r="L282" s="94"/>
      <c r="M282" s="106"/>
      <c r="N282" s="106"/>
      <c r="O282" s="106"/>
      <c r="P282" s="106"/>
      <c r="Q282" s="106"/>
      <c r="R282" s="106"/>
    </row>
    <row r="283" spans="1:18">
      <c r="A283" s="91"/>
      <c r="B283" s="92"/>
      <c r="C283" s="93"/>
      <c r="D283" s="94"/>
      <c r="E283" s="95"/>
      <c r="F283" s="96"/>
      <c r="G283" s="94"/>
      <c r="H283" s="95"/>
      <c r="I283" s="94"/>
      <c r="J283" s="94"/>
      <c r="K283" s="94"/>
      <c r="L283" s="94"/>
      <c r="M283" s="106"/>
      <c r="N283" s="106"/>
      <c r="O283" s="106"/>
      <c r="P283" s="106"/>
      <c r="Q283" s="106"/>
      <c r="R283" s="106"/>
    </row>
    <row r="284" spans="1:18">
      <c r="A284" s="91"/>
      <c r="B284" s="92"/>
      <c r="C284" s="93"/>
      <c r="D284" s="94"/>
      <c r="E284" s="95"/>
      <c r="F284" s="96"/>
      <c r="G284" s="94"/>
      <c r="H284" s="95"/>
      <c r="I284" s="94"/>
      <c r="J284" s="94"/>
      <c r="K284" s="94"/>
      <c r="L284" s="94"/>
      <c r="M284" s="106"/>
      <c r="N284" s="106"/>
      <c r="O284" s="106"/>
      <c r="P284" s="106"/>
      <c r="Q284" s="106"/>
      <c r="R284" s="106"/>
    </row>
    <row r="285" spans="1:18">
      <c r="A285" s="91"/>
      <c r="B285" s="92"/>
      <c r="C285" s="93"/>
      <c r="D285" s="94"/>
      <c r="E285" s="95"/>
      <c r="F285" s="96"/>
      <c r="G285" s="94"/>
      <c r="H285" s="95"/>
      <c r="I285" s="94"/>
      <c r="J285" s="94"/>
      <c r="K285" s="94"/>
      <c r="L285" s="94"/>
      <c r="M285" s="106"/>
      <c r="N285" s="106"/>
      <c r="O285" s="106"/>
      <c r="P285" s="106"/>
      <c r="Q285" s="106"/>
      <c r="R285" s="106"/>
    </row>
    <row r="286" spans="1:18">
      <c r="A286" s="91"/>
      <c r="B286" s="92"/>
      <c r="C286" s="93"/>
      <c r="D286" s="94"/>
      <c r="E286" s="95"/>
      <c r="F286" s="96"/>
      <c r="G286" s="94"/>
      <c r="H286" s="95"/>
      <c r="I286" s="94"/>
      <c r="J286" s="94"/>
      <c r="K286" s="94"/>
      <c r="L286" s="94"/>
      <c r="M286" s="106"/>
      <c r="N286" s="106"/>
      <c r="O286" s="106"/>
      <c r="P286" s="106"/>
      <c r="Q286" s="106"/>
      <c r="R286" s="106"/>
    </row>
    <row r="287" spans="1:18">
      <c r="A287" s="91"/>
      <c r="B287" s="92"/>
      <c r="C287" s="93"/>
      <c r="D287" s="94"/>
      <c r="E287" s="95"/>
      <c r="F287" s="96"/>
      <c r="G287" s="94"/>
      <c r="H287" s="95"/>
      <c r="I287" s="94"/>
      <c r="J287" s="94"/>
      <c r="K287" s="94"/>
      <c r="L287" s="94"/>
      <c r="M287" s="106"/>
      <c r="N287" s="106"/>
      <c r="O287" s="106"/>
      <c r="P287" s="106"/>
      <c r="Q287" s="106"/>
      <c r="R287" s="106"/>
    </row>
    <row r="288" spans="1:18">
      <c r="A288" s="91"/>
      <c r="B288" s="92"/>
      <c r="C288" s="93"/>
      <c r="D288" s="94"/>
      <c r="E288" s="95"/>
      <c r="F288" s="96"/>
      <c r="G288" s="94"/>
      <c r="H288" s="95"/>
      <c r="I288" s="94"/>
      <c r="J288" s="94"/>
      <c r="K288" s="94"/>
      <c r="L288" s="94"/>
      <c r="M288" s="106"/>
      <c r="N288" s="106"/>
      <c r="O288" s="106"/>
      <c r="P288" s="106"/>
      <c r="Q288" s="106"/>
      <c r="R288" s="106"/>
    </row>
    <row r="289" spans="1:18">
      <c r="A289" s="91"/>
      <c r="B289" s="92"/>
      <c r="C289" s="93"/>
      <c r="D289" s="94"/>
      <c r="E289" s="95"/>
      <c r="F289" s="96"/>
      <c r="G289" s="94"/>
      <c r="H289" s="95"/>
      <c r="I289" s="94"/>
      <c r="J289" s="94"/>
      <c r="K289" s="94"/>
      <c r="L289" s="94"/>
      <c r="M289" s="106"/>
      <c r="N289" s="106"/>
      <c r="O289" s="106"/>
      <c r="P289" s="106"/>
      <c r="Q289" s="106"/>
      <c r="R289" s="106"/>
    </row>
    <row r="290" spans="1:18">
      <c r="A290" s="91"/>
      <c r="B290" s="92"/>
      <c r="C290" s="93"/>
      <c r="D290" s="94"/>
      <c r="E290" s="95"/>
      <c r="F290" s="96"/>
      <c r="G290" s="94"/>
      <c r="H290" s="95"/>
      <c r="I290" s="94"/>
      <c r="J290" s="94"/>
      <c r="K290" s="94"/>
      <c r="L290" s="94"/>
      <c r="M290" s="106"/>
      <c r="N290" s="106"/>
      <c r="O290" s="106"/>
      <c r="P290" s="106"/>
      <c r="Q290" s="106"/>
      <c r="R290" s="106"/>
    </row>
    <row r="291" spans="1:18">
      <c r="A291" s="91"/>
      <c r="B291" s="92"/>
      <c r="C291" s="93"/>
      <c r="D291" s="94"/>
      <c r="E291" s="95"/>
      <c r="F291" s="96"/>
      <c r="G291" s="94"/>
      <c r="H291" s="95"/>
      <c r="I291" s="94"/>
      <c r="J291" s="94"/>
      <c r="K291" s="94"/>
      <c r="L291" s="94"/>
      <c r="M291" s="106"/>
      <c r="N291" s="106"/>
      <c r="O291" s="106"/>
      <c r="P291" s="106"/>
      <c r="Q291" s="106"/>
      <c r="R291" s="106"/>
    </row>
  </sheetData>
  <mergeCells count="12">
    <mergeCell ref="A3:A5"/>
    <mergeCell ref="B3:B5"/>
    <mergeCell ref="C3:C5"/>
    <mergeCell ref="M3:M5"/>
    <mergeCell ref="A1:M1"/>
    <mergeCell ref="A2:M2"/>
    <mergeCell ref="D3:F3"/>
    <mergeCell ref="G3:I3"/>
    <mergeCell ref="J3:L3"/>
    <mergeCell ref="D4:E4"/>
    <mergeCell ref="G4:H4"/>
    <mergeCell ref="J4:K4"/>
  </mergeCells>
  <phoneticPr fontId="76" type="noConversion"/>
  <pageMargins left="0.75" right="0.75" top="1" bottom="1" header="0.5" footer="0.5"/>
  <pageSetup paperSize="9" orientation="portrait" horizontalDpi="0" verticalDpi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4301-2A80-4D92-B712-C05D45223E23}">
  <sheetPr>
    <tabColor rgb="FF92D050"/>
  </sheetPr>
  <dimension ref="A1:Q287"/>
  <sheetViews>
    <sheetView view="pageBreakPreview" zoomScale="145" zoomScaleNormal="100" workbookViewId="0">
      <selection activeCell="E6" sqref="E6:E12"/>
    </sheetView>
  </sheetViews>
  <sheetFormatPr defaultColWidth="8.75" defaultRowHeight="14.25"/>
  <cols>
    <col min="1" max="1" width="5.625" customWidth="1"/>
    <col min="2" max="2" width="32.375" customWidth="1"/>
    <col min="3" max="3" width="5.625" customWidth="1"/>
    <col min="4" max="4" width="7.625" customWidth="1"/>
    <col min="5" max="5" width="10.625" customWidth="1"/>
    <col min="6" max="12" width="7.625" customWidth="1"/>
  </cols>
  <sheetData>
    <row r="1" spans="1:17" ht="23.1" customHeight="1">
      <c r="A1" s="425" t="s">
        <v>1294</v>
      </c>
      <c r="B1" s="425"/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134"/>
      <c r="N1" s="134"/>
      <c r="O1" s="134"/>
      <c r="P1" s="134"/>
      <c r="Q1" s="106"/>
    </row>
    <row r="2" spans="1:17" s="59" customFormat="1" ht="23.1" customHeight="1">
      <c r="A2" s="428" t="s">
        <v>1051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135"/>
      <c r="N2" s="135"/>
      <c r="O2" s="135"/>
      <c r="P2" s="135"/>
      <c r="Q2" s="139"/>
    </row>
    <row r="3" spans="1:17" s="59" customFormat="1" ht="23.1" customHeight="1">
      <c r="A3" s="453" t="s">
        <v>32</v>
      </c>
      <c r="B3" s="454" t="s">
        <v>90</v>
      </c>
      <c r="C3" s="457" t="s">
        <v>34</v>
      </c>
      <c r="D3" s="453" t="s">
        <v>92</v>
      </c>
      <c r="E3" s="453"/>
      <c r="F3" s="453" t="s">
        <v>36</v>
      </c>
      <c r="G3" s="453"/>
      <c r="H3" s="453"/>
      <c r="I3" s="453" t="s">
        <v>37</v>
      </c>
      <c r="J3" s="453"/>
      <c r="K3" s="453"/>
      <c r="L3" s="447" t="s">
        <v>38</v>
      </c>
      <c r="M3" s="135"/>
      <c r="N3" s="135"/>
      <c r="O3" s="135"/>
      <c r="P3" s="135"/>
      <c r="Q3" s="139"/>
    </row>
    <row r="4" spans="1:17" s="59" customFormat="1" ht="23.1" customHeight="1">
      <c r="A4" s="420"/>
      <c r="B4" s="420"/>
      <c r="C4" s="420"/>
      <c r="D4" s="430" t="s">
        <v>42</v>
      </c>
      <c r="E4" s="430"/>
      <c r="F4" s="430" t="s">
        <v>42</v>
      </c>
      <c r="G4" s="430"/>
      <c r="H4" s="115" t="s">
        <v>43</v>
      </c>
      <c r="I4" s="430" t="s">
        <v>42</v>
      </c>
      <c r="J4" s="430"/>
      <c r="K4" s="115" t="s">
        <v>43</v>
      </c>
      <c r="L4" s="447"/>
      <c r="M4" s="135"/>
      <c r="N4" s="135"/>
      <c r="O4" s="135"/>
      <c r="P4" s="135"/>
      <c r="Q4" s="139"/>
    </row>
    <row r="5" spans="1:17" s="59" customFormat="1" ht="23.1" customHeight="1">
      <c r="A5" s="420"/>
      <c r="B5" s="420"/>
      <c r="C5" s="420"/>
      <c r="D5" s="114" t="s">
        <v>1053</v>
      </c>
      <c r="E5" s="116" t="s">
        <v>97</v>
      </c>
      <c r="F5" s="114" t="s">
        <v>1053</v>
      </c>
      <c r="G5" s="116" t="s">
        <v>97</v>
      </c>
      <c r="H5" s="112" t="s">
        <v>97</v>
      </c>
      <c r="I5" s="114" t="s">
        <v>1053</v>
      </c>
      <c r="J5" s="116" t="s">
        <v>97</v>
      </c>
      <c r="K5" s="112" t="s">
        <v>97</v>
      </c>
      <c r="L5" s="447"/>
      <c r="M5" s="135"/>
      <c r="N5" s="135"/>
      <c r="O5" s="135"/>
      <c r="P5" s="135"/>
      <c r="Q5" s="139"/>
    </row>
    <row r="6" spans="1:17" s="59" customFormat="1" ht="24" customHeight="1">
      <c r="A6" s="65">
        <v>1</v>
      </c>
      <c r="B6" s="117" t="s">
        <v>1295</v>
      </c>
      <c r="C6" s="118" t="s">
        <v>143</v>
      </c>
      <c r="D6" s="97"/>
      <c r="E6" s="69"/>
      <c r="F6" s="119"/>
      <c r="G6" s="120"/>
      <c r="H6" s="120"/>
      <c r="I6" s="119"/>
      <c r="J6" s="120"/>
      <c r="K6" s="120"/>
      <c r="L6" s="137"/>
      <c r="M6" s="135"/>
      <c r="N6" s="135"/>
      <c r="O6" s="135"/>
      <c r="P6" s="135"/>
      <c r="Q6" s="139"/>
    </row>
    <row r="7" spans="1:17" s="59" customFormat="1" ht="23.1" customHeight="1">
      <c r="A7" s="65">
        <v>2</v>
      </c>
      <c r="B7" s="121" t="s">
        <v>1296</v>
      </c>
      <c r="C7" s="118" t="s">
        <v>247</v>
      </c>
      <c r="D7" s="107"/>
      <c r="E7" s="122"/>
      <c r="F7" s="123"/>
      <c r="G7" s="120"/>
      <c r="H7" s="123"/>
      <c r="I7" s="123"/>
      <c r="J7" s="120"/>
      <c r="K7" s="123"/>
      <c r="L7" s="123"/>
      <c r="M7" s="135"/>
      <c r="N7" s="135"/>
      <c r="O7" s="135"/>
      <c r="P7" s="135"/>
      <c r="Q7" s="139"/>
    </row>
    <row r="8" spans="1:17" s="59" customFormat="1" ht="23.1" customHeight="1">
      <c r="A8" s="65">
        <v>3</v>
      </c>
      <c r="B8" s="121" t="s">
        <v>1297</v>
      </c>
      <c r="C8" s="118" t="s">
        <v>247</v>
      </c>
      <c r="D8" s="107"/>
      <c r="E8" s="122"/>
      <c r="F8" s="123"/>
      <c r="G8" s="120"/>
      <c r="H8" s="123"/>
      <c r="I8" s="123"/>
      <c r="J8" s="120"/>
      <c r="K8" s="123"/>
      <c r="L8" s="123"/>
      <c r="M8" s="135"/>
      <c r="N8" s="135"/>
      <c r="O8" s="135"/>
      <c r="P8" s="135"/>
      <c r="Q8" s="139"/>
    </row>
    <row r="9" spans="1:17" s="59" customFormat="1" ht="23.1" customHeight="1">
      <c r="A9" s="65">
        <v>4</v>
      </c>
      <c r="B9" s="121" t="s">
        <v>1298</v>
      </c>
      <c r="C9" s="118" t="s">
        <v>166</v>
      </c>
      <c r="D9" s="107"/>
      <c r="E9" s="122"/>
      <c r="F9" s="123"/>
      <c r="G9" s="120"/>
      <c r="H9" s="123"/>
      <c r="I9" s="123"/>
      <c r="J9" s="120"/>
      <c r="K9" s="123"/>
      <c r="L9" s="123"/>
      <c r="M9" s="135"/>
      <c r="N9" s="135"/>
      <c r="O9" s="135"/>
      <c r="P9" s="135"/>
      <c r="Q9" s="139"/>
    </row>
    <row r="10" spans="1:17" s="59" customFormat="1" ht="23.1" customHeight="1">
      <c r="A10" s="65">
        <v>5</v>
      </c>
      <c r="B10" s="124" t="s">
        <v>1299</v>
      </c>
      <c r="C10" s="118" t="s">
        <v>247</v>
      </c>
      <c r="D10" s="107"/>
      <c r="E10" s="122"/>
      <c r="F10" s="123"/>
      <c r="G10" s="120"/>
      <c r="H10" s="123"/>
      <c r="I10" s="123"/>
      <c r="J10" s="120"/>
      <c r="K10" s="123"/>
      <c r="L10" s="123"/>
      <c r="M10" s="135"/>
      <c r="N10" s="135"/>
      <c r="O10" s="135"/>
      <c r="P10" s="135"/>
      <c r="Q10" s="139"/>
    </row>
    <row r="11" spans="1:17" s="59" customFormat="1" ht="23.1" customHeight="1">
      <c r="A11" s="65">
        <v>6</v>
      </c>
      <c r="B11" s="124" t="s">
        <v>1300</v>
      </c>
      <c r="C11" s="118" t="s">
        <v>247</v>
      </c>
      <c r="D11" s="107"/>
      <c r="E11" s="122"/>
      <c r="F11" s="123"/>
      <c r="G11" s="120"/>
      <c r="H11" s="123"/>
      <c r="I11" s="123"/>
      <c r="J11" s="120"/>
      <c r="K11" s="123"/>
      <c r="L11" s="123"/>
      <c r="M11" s="135"/>
      <c r="N11" s="135"/>
      <c r="O11" s="135"/>
      <c r="P11" s="135"/>
      <c r="Q11" s="139"/>
    </row>
    <row r="12" spans="1:17" s="59" customFormat="1" ht="23.1" customHeight="1">
      <c r="A12" s="65">
        <v>7</v>
      </c>
      <c r="B12" s="124" t="s">
        <v>1301</v>
      </c>
      <c r="C12" s="125" t="s">
        <v>166</v>
      </c>
      <c r="D12" s="107"/>
      <c r="E12" s="122"/>
      <c r="F12" s="123"/>
      <c r="G12" s="120"/>
      <c r="H12" s="123"/>
      <c r="I12" s="123"/>
      <c r="J12" s="120"/>
      <c r="K12" s="123"/>
      <c r="L12" s="123"/>
      <c r="M12" s="135"/>
      <c r="N12" s="135"/>
      <c r="O12" s="135"/>
      <c r="P12" s="135"/>
      <c r="Q12" s="139"/>
    </row>
    <row r="13" spans="1:17" s="59" customFormat="1" ht="23.1" customHeight="1">
      <c r="A13" s="126"/>
      <c r="B13" s="126" t="s">
        <v>63</v>
      </c>
      <c r="C13" s="127"/>
      <c r="D13" s="107">
        <v>0</v>
      </c>
      <c r="E13" s="98">
        <f>SUM(E6:E12)</f>
        <v>0</v>
      </c>
      <c r="F13" s="123"/>
      <c r="G13" s="120"/>
      <c r="H13" s="123"/>
      <c r="I13" s="123"/>
      <c r="J13" s="120"/>
      <c r="K13" s="123"/>
      <c r="L13" s="123"/>
      <c r="M13" s="135"/>
      <c r="N13" s="135"/>
      <c r="O13" s="135"/>
      <c r="P13" s="135"/>
      <c r="Q13" s="139"/>
    </row>
    <row r="14" spans="1:17">
      <c r="A14" s="128"/>
      <c r="B14" s="129"/>
      <c r="C14" s="130"/>
      <c r="D14" s="131"/>
      <c r="E14" s="132"/>
      <c r="F14" s="131"/>
      <c r="G14" s="132"/>
      <c r="H14" s="133"/>
      <c r="I14" s="131"/>
      <c r="J14" s="132"/>
      <c r="K14" s="133"/>
      <c r="L14" s="138"/>
      <c r="M14" s="106"/>
      <c r="N14" s="106"/>
      <c r="O14" s="106"/>
      <c r="P14" s="106"/>
      <c r="Q14" s="106"/>
    </row>
    <row r="15" spans="1:17">
      <c r="A15" s="128"/>
      <c r="B15" s="129"/>
      <c r="C15" s="130"/>
      <c r="D15" s="131"/>
      <c r="E15" s="132"/>
      <c r="F15" s="131"/>
      <c r="G15" s="132"/>
      <c r="H15" s="133"/>
      <c r="I15" s="131"/>
      <c r="J15" s="132"/>
      <c r="K15" s="133"/>
      <c r="L15" s="138"/>
      <c r="M15" s="106"/>
      <c r="N15" s="106"/>
      <c r="O15" s="106"/>
      <c r="P15" s="106"/>
      <c r="Q15" s="106"/>
    </row>
    <row r="16" spans="1:17">
      <c r="A16" s="91"/>
      <c r="B16" s="92"/>
      <c r="C16" s="93"/>
      <c r="D16" s="94"/>
      <c r="E16" s="95"/>
      <c r="F16" s="94"/>
      <c r="G16" s="95"/>
      <c r="H16" s="96"/>
      <c r="I16" s="94"/>
      <c r="J16" s="95"/>
      <c r="K16" s="96"/>
      <c r="L16" s="104"/>
      <c r="M16" s="106"/>
      <c r="N16" s="106"/>
      <c r="O16" s="106"/>
      <c r="P16" s="106"/>
      <c r="Q16" s="106"/>
    </row>
    <row r="17" spans="1:17">
      <c r="A17" s="91"/>
      <c r="B17" s="92"/>
      <c r="C17" s="93"/>
      <c r="D17" s="94"/>
      <c r="E17" s="95"/>
      <c r="F17" s="94"/>
      <c r="G17" s="95"/>
      <c r="H17" s="96"/>
      <c r="I17" s="94"/>
      <c r="J17" s="95"/>
      <c r="K17" s="96"/>
      <c r="L17" s="104"/>
      <c r="M17" s="106"/>
      <c r="N17" s="106"/>
      <c r="O17" s="106"/>
      <c r="P17" s="106"/>
      <c r="Q17" s="106"/>
    </row>
    <row r="18" spans="1:17">
      <c r="A18" s="91"/>
      <c r="B18" s="92"/>
      <c r="C18" s="93"/>
      <c r="D18" s="94"/>
      <c r="E18" s="95"/>
      <c r="F18" s="94"/>
      <c r="G18" s="95"/>
      <c r="H18" s="96"/>
      <c r="I18" s="94"/>
      <c r="J18" s="95"/>
      <c r="K18" s="96"/>
      <c r="L18" s="104"/>
      <c r="M18" s="106"/>
      <c r="N18" s="106"/>
      <c r="O18" s="106"/>
      <c r="P18" s="106"/>
      <c r="Q18" s="106"/>
    </row>
    <row r="19" spans="1:17">
      <c r="A19" s="91"/>
      <c r="B19" s="92"/>
      <c r="C19" s="93"/>
      <c r="D19" s="94"/>
      <c r="E19" s="95"/>
      <c r="F19" s="94"/>
      <c r="G19" s="95"/>
      <c r="H19" s="96"/>
      <c r="I19" s="94"/>
      <c r="J19" s="95"/>
      <c r="K19" s="96"/>
      <c r="L19" s="104"/>
      <c r="M19" s="106"/>
      <c r="N19" s="106"/>
      <c r="O19" s="106"/>
      <c r="P19" s="106"/>
      <c r="Q19" s="106"/>
    </row>
    <row r="20" spans="1:17">
      <c r="A20" s="91"/>
      <c r="B20" s="92"/>
      <c r="C20" s="93"/>
      <c r="D20" s="94"/>
      <c r="E20" s="95"/>
      <c r="F20" s="94"/>
      <c r="G20" s="95"/>
      <c r="H20" s="96"/>
      <c r="I20" s="94"/>
      <c r="J20" s="95"/>
      <c r="K20" s="96"/>
      <c r="L20" s="104"/>
      <c r="M20" s="106"/>
      <c r="N20" s="106"/>
      <c r="O20" s="106"/>
      <c r="P20" s="106"/>
      <c r="Q20" s="106"/>
    </row>
    <row r="21" spans="1:17">
      <c r="A21" s="91"/>
      <c r="B21" s="92"/>
      <c r="C21" s="93"/>
      <c r="D21" s="94"/>
      <c r="E21" s="95"/>
      <c r="F21" s="94"/>
      <c r="G21" s="95"/>
      <c r="H21" s="96"/>
      <c r="I21" s="94"/>
      <c r="J21" s="95"/>
      <c r="K21" s="96"/>
      <c r="L21" s="104"/>
      <c r="M21" s="106"/>
      <c r="N21" s="106"/>
      <c r="O21" s="106"/>
      <c r="P21" s="106"/>
      <c r="Q21" s="106"/>
    </row>
    <row r="22" spans="1:17">
      <c r="A22" s="91"/>
      <c r="B22" s="92"/>
      <c r="C22" s="93"/>
      <c r="D22" s="94"/>
      <c r="E22" s="95"/>
      <c r="F22" s="94"/>
      <c r="G22" s="95"/>
      <c r="H22" s="96"/>
      <c r="I22" s="94"/>
      <c r="J22" s="95"/>
      <c r="K22" s="96"/>
      <c r="L22" s="104"/>
      <c r="M22" s="106"/>
      <c r="N22" s="106"/>
      <c r="O22" s="106"/>
      <c r="P22" s="106"/>
      <c r="Q22" s="106"/>
    </row>
    <row r="23" spans="1:17">
      <c r="A23" s="91"/>
      <c r="B23" s="92"/>
      <c r="C23" s="93"/>
      <c r="D23" s="94"/>
      <c r="E23" s="95"/>
      <c r="F23" s="94"/>
      <c r="G23" s="95"/>
      <c r="H23" s="96"/>
      <c r="I23" s="94"/>
      <c r="J23" s="95"/>
      <c r="K23" s="96"/>
      <c r="L23" s="104"/>
      <c r="M23" s="106"/>
      <c r="N23" s="106"/>
      <c r="O23" s="106"/>
      <c r="P23" s="106"/>
      <c r="Q23" s="106"/>
    </row>
    <row r="24" spans="1:17">
      <c r="A24" s="91"/>
      <c r="B24" s="92"/>
      <c r="C24" s="93"/>
      <c r="D24" s="94"/>
      <c r="E24" s="95"/>
      <c r="F24" s="94"/>
      <c r="G24" s="95"/>
      <c r="H24" s="96"/>
      <c r="I24" s="94"/>
      <c r="J24" s="95"/>
      <c r="K24" s="96"/>
      <c r="L24" s="104"/>
      <c r="M24" s="106"/>
      <c r="N24" s="106"/>
      <c r="O24" s="106"/>
      <c r="P24" s="106"/>
      <c r="Q24" s="106"/>
    </row>
    <row r="25" spans="1:17">
      <c r="A25" s="91"/>
      <c r="B25" s="92"/>
      <c r="C25" s="93"/>
      <c r="D25" s="94"/>
      <c r="E25" s="95"/>
      <c r="F25" s="94"/>
      <c r="G25" s="95"/>
      <c r="H25" s="96"/>
      <c r="I25" s="94"/>
      <c r="J25" s="95"/>
      <c r="K25" s="96"/>
      <c r="L25" s="104"/>
      <c r="M25" s="106"/>
      <c r="N25" s="106"/>
      <c r="O25" s="106"/>
      <c r="P25" s="106"/>
      <c r="Q25" s="106"/>
    </row>
    <row r="26" spans="1:17">
      <c r="A26" s="91"/>
      <c r="B26" s="92"/>
      <c r="C26" s="93"/>
      <c r="D26" s="94"/>
      <c r="E26" s="95"/>
      <c r="F26" s="94"/>
      <c r="G26" s="95"/>
      <c r="H26" s="96"/>
      <c r="I26" s="94"/>
      <c r="J26" s="95"/>
      <c r="K26" s="96"/>
      <c r="L26" s="106"/>
      <c r="M26" s="106"/>
      <c r="N26" s="106"/>
      <c r="O26" s="106"/>
      <c r="P26" s="106"/>
      <c r="Q26" s="106"/>
    </row>
    <row r="27" spans="1:17">
      <c r="A27" s="91"/>
      <c r="B27" s="92"/>
      <c r="C27" s="93"/>
      <c r="D27" s="94"/>
      <c r="E27" s="95"/>
      <c r="F27" s="94"/>
      <c r="G27" s="95"/>
      <c r="H27" s="96"/>
      <c r="I27" s="94"/>
      <c r="J27" s="95"/>
      <c r="K27" s="96"/>
      <c r="L27" s="106"/>
      <c r="M27" s="106"/>
      <c r="N27" s="106"/>
      <c r="O27" s="106"/>
      <c r="P27" s="106"/>
      <c r="Q27" s="106"/>
    </row>
    <row r="28" spans="1:17">
      <c r="A28" s="91"/>
      <c r="B28" s="92"/>
      <c r="C28" s="93"/>
      <c r="D28" s="94"/>
      <c r="E28" s="95"/>
      <c r="F28" s="94"/>
      <c r="G28" s="95"/>
      <c r="H28" s="96"/>
      <c r="I28" s="94"/>
      <c r="J28" s="95"/>
      <c r="K28" s="96"/>
      <c r="L28" s="106"/>
      <c r="M28" s="106"/>
      <c r="N28" s="106"/>
      <c r="O28" s="106"/>
      <c r="P28" s="106"/>
      <c r="Q28" s="106"/>
    </row>
    <row r="29" spans="1:17">
      <c r="A29" s="91"/>
      <c r="B29" s="92"/>
      <c r="C29" s="93"/>
      <c r="D29" s="94"/>
      <c r="E29" s="95"/>
      <c r="F29" s="94"/>
      <c r="G29" s="95"/>
      <c r="H29" s="96"/>
      <c r="I29" s="94"/>
      <c r="J29" s="95"/>
      <c r="K29" s="96"/>
      <c r="L29" s="106"/>
      <c r="M29" s="106"/>
      <c r="N29" s="106"/>
      <c r="O29" s="106"/>
      <c r="P29" s="106"/>
      <c r="Q29" s="106"/>
    </row>
    <row r="30" spans="1:17">
      <c r="A30" s="91"/>
      <c r="B30" s="92"/>
      <c r="C30" s="93"/>
      <c r="D30" s="94"/>
      <c r="E30" s="95"/>
      <c r="F30" s="94"/>
      <c r="G30" s="95"/>
      <c r="H30" s="96"/>
      <c r="I30" s="94"/>
      <c r="J30" s="95"/>
      <c r="K30" s="96"/>
      <c r="L30" s="106"/>
      <c r="M30" s="106"/>
      <c r="N30" s="106"/>
      <c r="O30" s="106"/>
      <c r="P30" s="106"/>
      <c r="Q30" s="106"/>
    </row>
    <row r="31" spans="1:17">
      <c r="A31" s="91"/>
      <c r="B31" s="92"/>
      <c r="C31" s="93"/>
      <c r="D31" s="94"/>
      <c r="E31" s="95"/>
      <c r="F31" s="94"/>
      <c r="G31" s="95"/>
      <c r="H31" s="96"/>
      <c r="I31" s="94"/>
      <c r="J31" s="95"/>
      <c r="K31" s="96"/>
      <c r="L31" s="106"/>
      <c r="M31" s="106"/>
      <c r="N31" s="106"/>
      <c r="O31" s="106"/>
      <c r="P31" s="106"/>
      <c r="Q31" s="106"/>
    </row>
    <row r="32" spans="1:17">
      <c r="A32" s="91"/>
      <c r="B32" s="92"/>
      <c r="C32" s="93"/>
      <c r="D32" s="94"/>
      <c r="E32" s="95"/>
      <c r="F32" s="94"/>
      <c r="G32" s="95"/>
      <c r="H32" s="96"/>
      <c r="I32" s="94"/>
      <c r="J32" s="95"/>
      <c r="K32" s="96"/>
      <c r="L32" s="106"/>
      <c r="M32" s="106"/>
      <c r="N32" s="106"/>
      <c r="O32" s="106"/>
      <c r="P32" s="106"/>
      <c r="Q32" s="106"/>
    </row>
    <row r="33" spans="1:17">
      <c r="A33" s="91"/>
      <c r="B33" s="92"/>
      <c r="C33" s="93"/>
      <c r="D33" s="94"/>
      <c r="E33" s="95"/>
      <c r="F33" s="94"/>
      <c r="G33" s="95"/>
      <c r="H33" s="96"/>
      <c r="I33" s="94"/>
      <c r="J33" s="95"/>
      <c r="K33" s="96"/>
      <c r="L33" s="106"/>
      <c r="M33" s="106"/>
      <c r="N33" s="106"/>
      <c r="O33" s="106"/>
      <c r="P33" s="106"/>
      <c r="Q33" s="106"/>
    </row>
    <row r="34" spans="1:17">
      <c r="A34" s="91"/>
      <c r="B34" s="92"/>
      <c r="C34" s="93"/>
      <c r="D34" s="94"/>
      <c r="E34" s="95"/>
      <c r="F34" s="94"/>
      <c r="G34" s="95"/>
      <c r="H34" s="96"/>
      <c r="I34" s="94"/>
      <c r="J34" s="95"/>
      <c r="K34" s="96"/>
      <c r="L34" s="106"/>
      <c r="M34" s="106"/>
      <c r="N34" s="106"/>
      <c r="O34" s="106"/>
      <c r="P34" s="106"/>
      <c r="Q34" s="106"/>
    </row>
    <row r="35" spans="1:17">
      <c r="A35" s="91"/>
      <c r="B35" s="92"/>
      <c r="C35" s="93"/>
      <c r="D35" s="94"/>
      <c r="E35" s="95"/>
      <c r="F35" s="94"/>
      <c r="G35" s="95"/>
      <c r="H35" s="96"/>
      <c r="I35" s="94"/>
      <c r="J35" s="95"/>
      <c r="K35" s="96"/>
      <c r="L35" s="106"/>
      <c r="M35" s="106"/>
      <c r="N35" s="106"/>
      <c r="O35" s="106"/>
      <c r="P35" s="106"/>
      <c r="Q35" s="106"/>
    </row>
    <row r="36" spans="1:17">
      <c r="A36" s="91"/>
      <c r="B36" s="92"/>
      <c r="C36" s="93"/>
      <c r="D36" s="94"/>
      <c r="E36" s="95"/>
      <c r="F36" s="94"/>
      <c r="G36" s="95"/>
      <c r="H36" s="96"/>
      <c r="I36" s="94"/>
      <c r="J36" s="95"/>
      <c r="K36" s="96"/>
      <c r="L36" s="106"/>
      <c r="M36" s="106"/>
      <c r="N36" s="106"/>
      <c r="O36" s="106"/>
      <c r="P36" s="106"/>
      <c r="Q36" s="106"/>
    </row>
    <row r="37" spans="1:17">
      <c r="A37" s="91"/>
      <c r="B37" s="92"/>
      <c r="C37" s="93"/>
      <c r="D37" s="94"/>
      <c r="E37" s="95"/>
      <c r="F37" s="94"/>
      <c r="G37" s="95"/>
      <c r="H37" s="96"/>
      <c r="I37" s="94"/>
      <c r="J37" s="95"/>
      <c r="K37" s="96"/>
      <c r="L37" s="106"/>
      <c r="M37" s="106"/>
      <c r="N37" s="106"/>
      <c r="O37" s="106"/>
      <c r="P37" s="106"/>
      <c r="Q37" s="106"/>
    </row>
    <row r="38" spans="1:17">
      <c r="A38" s="91"/>
      <c r="B38" s="92"/>
      <c r="C38" s="93"/>
      <c r="D38" s="94"/>
      <c r="E38" s="95"/>
      <c r="F38" s="94"/>
      <c r="G38" s="95"/>
      <c r="H38" s="96"/>
      <c r="I38" s="94"/>
      <c r="J38" s="95"/>
      <c r="K38" s="96"/>
      <c r="L38" s="106"/>
      <c r="M38" s="106"/>
      <c r="N38" s="106"/>
      <c r="O38" s="106"/>
      <c r="P38" s="106"/>
      <c r="Q38" s="106"/>
    </row>
    <row r="39" spans="1:17">
      <c r="A39" s="91"/>
      <c r="B39" s="92"/>
      <c r="C39" s="93"/>
      <c r="D39" s="94"/>
      <c r="E39" s="95"/>
      <c r="F39" s="94"/>
      <c r="G39" s="95"/>
      <c r="H39" s="96"/>
      <c r="I39" s="94"/>
      <c r="J39" s="95"/>
      <c r="K39" s="96"/>
      <c r="L39" s="106"/>
      <c r="M39" s="106"/>
      <c r="N39" s="106"/>
      <c r="O39" s="106"/>
      <c r="P39" s="106"/>
      <c r="Q39" s="106"/>
    </row>
    <row r="40" spans="1:17">
      <c r="A40" s="91"/>
      <c r="B40" s="92"/>
      <c r="C40" s="93"/>
      <c r="D40" s="94"/>
      <c r="E40" s="95"/>
      <c r="F40" s="94"/>
      <c r="G40" s="95"/>
      <c r="H40" s="96"/>
      <c r="I40" s="94"/>
      <c r="J40" s="95"/>
      <c r="K40" s="96"/>
      <c r="L40" s="106"/>
      <c r="M40" s="106"/>
      <c r="N40" s="106"/>
      <c r="O40" s="106"/>
      <c r="P40" s="106"/>
      <c r="Q40" s="106"/>
    </row>
    <row r="41" spans="1:17">
      <c r="A41" s="91"/>
      <c r="B41" s="92"/>
      <c r="C41" s="93"/>
      <c r="D41" s="94"/>
      <c r="E41" s="95"/>
      <c r="F41" s="94"/>
      <c r="G41" s="95"/>
      <c r="H41" s="96"/>
      <c r="I41" s="94"/>
      <c r="J41" s="95"/>
      <c r="K41" s="96"/>
      <c r="L41" s="106"/>
      <c r="M41" s="106"/>
      <c r="N41" s="106"/>
      <c r="O41" s="106"/>
      <c r="P41" s="106"/>
      <c r="Q41" s="106"/>
    </row>
    <row r="42" spans="1:17">
      <c r="A42" s="91"/>
      <c r="B42" s="92"/>
      <c r="C42" s="93"/>
      <c r="D42" s="94"/>
      <c r="E42" s="95"/>
      <c r="F42" s="94"/>
      <c r="G42" s="95"/>
      <c r="H42" s="96"/>
      <c r="I42" s="94"/>
      <c r="J42" s="95"/>
      <c r="K42" s="96"/>
      <c r="L42" s="106"/>
      <c r="M42" s="106"/>
      <c r="N42" s="106"/>
      <c r="O42" s="106"/>
      <c r="P42" s="106"/>
      <c r="Q42" s="106"/>
    </row>
    <row r="43" spans="1:17">
      <c r="A43" s="91"/>
      <c r="B43" s="92"/>
      <c r="C43" s="93"/>
      <c r="D43" s="94"/>
      <c r="E43" s="95"/>
      <c r="F43" s="94"/>
      <c r="G43" s="95"/>
      <c r="H43" s="96"/>
      <c r="I43" s="94"/>
      <c r="J43" s="95"/>
      <c r="K43" s="96"/>
      <c r="L43" s="106"/>
      <c r="M43" s="106"/>
      <c r="N43" s="106"/>
      <c r="O43" s="106"/>
      <c r="P43" s="106"/>
      <c r="Q43" s="106"/>
    </row>
    <row r="44" spans="1:17">
      <c r="A44" s="91"/>
      <c r="B44" s="92"/>
      <c r="C44" s="93"/>
      <c r="D44" s="94"/>
      <c r="E44" s="95"/>
      <c r="F44" s="94"/>
      <c r="G44" s="95"/>
      <c r="H44" s="96"/>
      <c r="I44" s="94"/>
      <c r="J44" s="95"/>
      <c r="K44" s="96"/>
      <c r="L44" s="106"/>
      <c r="M44" s="106"/>
      <c r="N44" s="106"/>
      <c r="O44" s="106"/>
      <c r="P44" s="106"/>
      <c r="Q44" s="106"/>
    </row>
    <row r="45" spans="1:17">
      <c r="A45" s="91"/>
      <c r="B45" s="92"/>
      <c r="C45" s="93"/>
      <c r="D45" s="94"/>
      <c r="E45" s="95"/>
      <c r="F45" s="94"/>
      <c r="G45" s="95"/>
      <c r="H45" s="96"/>
      <c r="I45" s="94"/>
      <c r="J45" s="95"/>
      <c r="K45" s="96"/>
      <c r="L45" s="106"/>
      <c r="M45" s="106"/>
      <c r="N45" s="106"/>
      <c r="O45" s="106"/>
      <c r="P45" s="106"/>
      <c r="Q45" s="106"/>
    </row>
    <row r="46" spans="1:17">
      <c r="A46" s="91"/>
      <c r="B46" s="92"/>
      <c r="C46" s="93"/>
      <c r="D46" s="94"/>
      <c r="E46" s="95"/>
      <c r="F46" s="94"/>
      <c r="G46" s="95"/>
      <c r="H46" s="96"/>
      <c r="I46" s="94"/>
      <c r="J46" s="95"/>
      <c r="K46" s="96"/>
      <c r="L46" s="106"/>
      <c r="M46" s="106"/>
      <c r="N46" s="106"/>
      <c r="O46" s="106"/>
      <c r="P46" s="106"/>
      <c r="Q46" s="106"/>
    </row>
    <row r="47" spans="1:17">
      <c r="A47" s="91"/>
      <c r="B47" s="92"/>
      <c r="C47" s="93"/>
      <c r="D47" s="94"/>
      <c r="E47" s="95"/>
      <c r="F47" s="94"/>
      <c r="G47" s="95"/>
      <c r="H47" s="96"/>
      <c r="I47" s="94"/>
      <c r="J47" s="95"/>
      <c r="K47" s="96"/>
      <c r="L47" s="106"/>
      <c r="M47" s="106"/>
      <c r="N47" s="106"/>
      <c r="O47" s="106"/>
      <c r="P47" s="106"/>
      <c r="Q47" s="106"/>
    </row>
    <row r="48" spans="1:17">
      <c r="A48" s="91"/>
      <c r="B48" s="92"/>
      <c r="C48" s="93"/>
      <c r="D48" s="94"/>
      <c r="E48" s="95"/>
      <c r="F48" s="94"/>
      <c r="G48" s="95"/>
      <c r="H48" s="96"/>
      <c r="I48" s="94"/>
      <c r="J48" s="95"/>
      <c r="K48" s="96"/>
      <c r="L48" s="106"/>
      <c r="M48" s="106"/>
      <c r="N48" s="106"/>
      <c r="O48" s="106"/>
      <c r="P48" s="106"/>
      <c r="Q48" s="106"/>
    </row>
    <row r="49" spans="1:17">
      <c r="A49" s="91"/>
      <c r="B49" s="92"/>
      <c r="C49" s="93"/>
      <c r="D49" s="94"/>
      <c r="E49" s="95"/>
      <c r="F49" s="94"/>
      <c r="G49" s="95"/>
      <c r="H49" s="96"/>
      <c r="I49" s="94"/>
      <c r="J49" s="95"/>
      <c r="K49" s="96"/>
      <c r="L49" s="106"/>
      <c r="M49" s="106"/>
      <c r="N49" s="106"/>
      <c r="O49" s="106"/>
      <c r="P49" s="106"/>
      <c r="Q49" s="106"/>
    </row>
    <row r="50" spans="1:17">
      <c r="A50" s="91"/>
      <c r="B50" s="92"/>
      <c r="C50" s="93"/>
      <c r="D50" s="94"/>
      <c r="E50" s="95"/>
      <c r="F50" s="94"/>
      <c r="G50" s="95"/>
      <c r="H50" s="96"/>
      <c r="I50" s="94"/>
      <c r="J50" s="95"/>
      <c r="K50" s="96"/>
      <c r="L50" s="106"/>
      <c r="M50" s="106"/>
      <c r="N50" s="106"/>
      <c r="O50" s="106"/>
      <c r="P50" s="106"/>
      <c r="Q50" s="106"/>
    </row>
    <row r="51" spans="1:17">
      <c r="A51" s="91"/>
      <c r="B51" s="92"/>
      <c r="C51" s="93"/>
      <c r="D51" s="94"/>
      <c r="E51" s="95"/>
      <c r="F51" s="94"/>
      <c r="G51" s="95"/>
      <c r="H51" s="96"/>
      <c r="I51" s="94"/>
      <c r="J51" s="95"/>
      <c r="K51" s="96"/>
      <c r="L51" s="106"/>
      <c r="M51" s="106"/>
      <c r="N51" s="106"/>
      <c r="O51" s="106"/>
      <c r="P51" s="106"/>
      <c r="Q51" s="106"/>
    </row>
    <row r="52" spans="1:17">
      <c r="A52" s="91"/>
      <c r="B52" s="92"/>
      <c r="C52" s="93"/>
      <c r="D52" s="94"/>
      <c r="E52" s="95"/>
      <c r="F52" s="94"/>
      <c r="G52" s="95"/>
      <c r="H52" s="96"/>
      <c r="I52" s="94"/>
      <c r="J52" s="95"/>
      <c r="K52" s="96"/>
      <c r="L52" s="106"/>
      <c r="M52" s="106"/>
      <c r="N52" s="106"/>
      <c r="O52" s="106"/>
      <c r="P52" s="106"/>
      <c r="Q52" s="106"/>
    </row>
    <row r="53" spans="1:17">
      <c r="A53" s="91"/>
      <c r="B53" s="92"/>
      <c r="C53" s="93"/>
      <c r="D53" s="94"/>
      <c r="E53" s="95"/>
      <c r="F53" s="94"/>
      <c r="G53" s="95"/>
      <c r="H53" s="96"/>
      <c r="I53" s="94"/>
      <c r="J53" s="95"/>
      <c r="K53" s="96"/>
      <c r="L53" s="106"/>
      <c r="M53" s="106"/>
      <c r="N53" s="106"/>
      <c r="O53" s="106"/>
      <c r="P53" s="106"/>
      <c r="Q53" s="106"/>
    </row>
    <row r="54" spans="1:17">
      <c r="A54" s="91"/>
      <c r="B54" s="92"/>
      <c r="C54" s="93"/>
      <c r="D54" s="94"/>
      <c r="E54" s="95"/>
      <c r="F54" s="94"/>
      <c r="G54" s="95"/>
      <c r="H54" s="96"/>
      <c r="I54" s="94"/>
      <c r="J54" s="95"/>
      <c r="K54" s="96"/>
      <c r="L54" s="106"/>
      <c r="M54" s="106"/>
      <c r="N54" s="106"/>
      <c r="O54" s="106"/>
      <c r="P54" s="106"/>
      <c r="Q54" s="106"/>
    </row>
    <row r="55" spans="1:17">
      <c r="A55" s="91"/>
      <c r="B55" s="92"/>
      <c r="C55" s="93"/>
      <c r="D55" s="94"/>
      <c r="E55" s="95"/>
      <c r="F55" s="94"/>
      <c r="G55" s="95"/>
      <c r="H55" s="96"/>
      <c r="I55" s="94"/>
      <c r="J55" s="95"/>
      <c r="K55" s="96"/>
      <c r="L55" s="106"/>
      <c r="M55" s="106"/>
      <c r="N55" s="106"/>
      <c r="O55" s="106"/>
      <c r="P55" s="106"/>
      <c r="Q55" s="106"/>
    </row>
    <row r="56" spans="1:17">
      <c r="A56" s="91"/>
      <c r="B56" s="92"/>
      <c r="C56" s="93"/>
      <c r="D56" s="94"/>
      <c r="E56" s="95"/>
      <c r="F56" s="94"/>
      <c r="G56" s="95"/>
      <c r="H56" s="96"/>
      <c r="I56" s="94"/>
      <c r="J56" s="95"/>
      <c r="K56" s="96"/>
      <c r="L56" s="106"/>
      <c r="M56" s="106"/>
      <c r="N56" s="106"/>
      <c r="O56" s="106"/>
      <c r="P56" s="106"/>
      <c r="Q56" s="106"/>
    </row>
    <row r="57" spans="1:17">
      <c r="A57" s="91"/>
      <c r="B57" s="92"/>
      <c r="C57" s="93"/>
      <c r="D57" s="94"/>
      <c r="E57" s="95"/>
      <c r="F57" s="94"/>
      <c r="G57" s="95"/>
      <c r="H57" s="96"/>
      <c r="I57" s="94"/>
      <c r="J57" s="95"/>
      <c r="K57" s="96"/>
      <c r="L57" s="106"/>
      <c r="M57" s="106"/>
      <c r="N57" s="106"/>
      <c r="O57" s="106"/>
      <c r="P57" s="106"/>
      <c r="Q57" s="106"/>
    </row>
    <row r="58" spans="1:17">
      <c r="A58" s="91"/>
      <c r="B58" s="92"/>
      <c r="C58" s="93"/>
      <c r="D58" s="94"/>
      <c r="E58" s="95"/>
      <c r="F58" s="94"/>
      <c r="G58" s="95"/>
      <c r="H58" s="96"/>
      <c r="I58" s="94"/>
      <c r="J58" s="95"/>
      <c r="K58" s="96"/>
      <c r="L58" s="106"/>
      <c r="M58" s="106"/>
      <c r="N58" s="106"/>
      <c r="O58" s="106"/>
      <c r="P58" s="106"/>
      <c r="Q58" s="106"/>
    </row>
    <row r="59" spans="1:17">
      <c r="A59" s="91"/>
      <c r="B59" s="92"/>
      <c r="C59" s="93"/>
      <c r="D59" s="94"/>
      <c r="E59" s="95"/>
      <c r="F59" s="94"/>
      <c r="G59" s="95"/>
      <c r="H59" s="96"/>
      <c r="I59" s="94"/>
      <c r="J59" s="95"/>
      <c r="K59" s="96"/>
      <c r="L59" s="106"/>
      <c r="M59" s="106"/>
      <c r="N59" s="106"/>
      <c r="O59" s="106"/>
      <c r="P59" s="106"/>
      <c r="Q59" s="106"/>
    </row>
    <row r="60" spans="1:17">
      <c r="A60" s="91"/>
      <c r="B60" s="92"/>
      <c r="C60" s="93"/>
      <c r="D60" s="94"/>
      <c r="E60" s="95"/>
      <c r="F60" s="94"/>
      <c r="G60" s="95"/>
      <c r="H60" s="96"/>
      <c r="I60" s="94"/>
      <c r="J60" s="95"/>
      <c r="K60" s="96"/>
      <c r="L60" s="106"/>
      <c r="M60" s="106"/>
      <c r="N60" s="106"/>
      <c r="O60" s="106"/>
      <c r="P60" s="106"/>
      <c r="Q60" s="106"/>
    </row>
    <row r="61" spans="1:17">
      <c r="A61" s="91"/>
      <c r="B61" s="92"/>
      <c r="C61" s="93"/>
      <c r="D61" s="94"/>
      <c r="E61" s="95"/>
      <c r="F61" s="94"/>
      <c r="G61" s="95"/>
      <c r="H61" s="96"/>
      <c r="I61" s="94"/>
      <c r="J61" s="95"/>
      <c r="K61" s="96"/>
      <c r="L61" s="106"/>
      <c r="M61" s="106"/>
      <c r="N61" s="106"/>
      <c r="O61" s="106"/>
      <c r="P61" s="106"/>
      <c r="Q61" s="106"/>
    </row>
    <row r="62" spans="1:17">
      <c r="A62" s="91"/>
      <c r="B62" s="92"/>
      <c r="C62" s="93"/>
      <c r="D62" s="94"/>
      <c r="E62" s="95"/>
      <c r="F62" s="94"/>
      <c r="G62" s="95"/>
      <c r="H62" s="96"/>
      <c r="I62" s="94"/>
      <c r="J62" s="95"/>
      <c r="K62" s="96"/>
      <c r="L62" s="106"/>
      <c r="M62" s="106"/>
      <c r="N62" s="106"/>
      <c r="O62" s="106"/>
      <c r="P62" s="106"/>
      <c r="Q62" s="106"/>
    </row>
    <row r="63" spans="1:17">
      <c r="A63" s="91"/>
      <c r="B63" s="92"/>
      <c r="C63" s="93"/>
      <c r="D63" s="94"/>
      <c r="E63" s="95"/>
      <c r="F63" s="94"/>
      <c r="G63" s="95"/>
      <c r="H63" s="96"/>
      <c r="I63" s="94"/>
      <c r="J63" s="95"/>
      <c r="K63" s="96"/>
      <c r="L63" s="106"/>
      <c r="M63" s="106"/>
      <c r="N63" s="106"/>
      <c r="O63" s="106"/>
      <c r="P63" s="106"/>
      <c r="Q63" s="106"/>
    </row>
    <row r="64" spans="1:17">
      <c r="A64" s="91"/>
      <c r="B64" s="92"/>
      <c r="C64" s="93"/>
      <c r="D64" s="94"/>
      <c r="E64" s="95"/>
      <c r="F64" s="94"/>
      <c r="G64" s="95"/>
      <c r="H64" s="96"/>
      <c r="I64" s="94"/>
      <c r="J64" s="95"/>
      <c r="K64" s="96"/>
      <c r="L64" s="106"/>
      <c r="M64" s="106"/>
      <c r="N64" s="106"/>
      <c r="O64" s="106"/>
      <c r="P64" s="106"/>
      <c r="Q64" s="106"/>
    </row>
    <row r="65" spans="1:17">
      <c r="A65" s="91"/>
      <c r="B65" s="92"/>
      <c r="C65" s="93"/>
      <c r="D65" s="94"/>
      <c r="E65" s="95"/>
      <c r="F65" s="94"/>
      <c r="G65" s="95"/>
      <c r="H65" s="96"/>
      <c r="I65" s="94"/>
      <c r="J65" s="95"/>
      <c r="K65" s="96"/>
      <c r="L65" s="106"/>
      <c r="M65" s="106"/>
      <c r="N65" s="106"/>
      <c r="O65" s="106"/>
      <c r="P65" s="106"/>
      <c r="Q65" s="106"/>
    </row>
    <row r="66" spans="1:17">
      <c r="A66" s="91"/>
      <c r="B66" s="92"/>
      <c r="C66" s="93"/>
      <c r="D66" s="94"/>
      <c r="E66" s="95"/>
      <c r="F66" s="94"/>
      <c r="G66" s="95"/>
      <c r="H66" s="96"/>
      <c r="I66" s="94"/>
      <c r="J66" s="95"/>
      <c r="K66" s="96"/>
      <c r="L66" s="106"/>
      <c r="M66" s="106"/>
      <c r="N66" s="106"/>
      <c r="O66" s="106"/>
      <c r="P66" s="106"/>
      <c r="Q66" s="106"/>
    </row>
    <row r="67" spans="1:17">
      <c r="A67" s="91"/>
      <c r="B67" s="92"/>
      <c r="C67" s="93"/>
      <c r="D67" s="94"/>
      <c r="E67" s="95"/>
      <c r="F67" s="94"/>
      <c r="G67" s="95"/>
      <c r="H67" s="96"/>
      <c r="I67" s="94"/>
      <c r="J67" s="95"/>
      <c r="K67" s="96"/>
      <c r="L67" s="106"/>
      <c r="M67" s="106"/>
      <c r="N67" s="106"/>
      <c r="O67" s="106"/>
      <c r="P67" s="106"/>
      <c r="Q67" s="106"/>
    </row>
    <row r="68" spans="1:17">
      <c r="A68" s="91"/>
      <c r="B68" s="92"/>
      <c r="C68" s="93"/>
      <c r="D68" s="94"/>
      <c r="E68" s="95"/>
      <c r="F68" s="94"/>
      <c r="G68" s="95"/>
      <c r="H68" s="96"/>
      <c r="I68" s="94"/>
      <c r="J68" s="95"/>
      <c r="K68" s="96"/>
      <c r="L68" s="106"/>
      <c r="M68" s="106"/>
      <c r="N68" s="106"/>
      <c r="O68" s="106"/>
      <c r="P68" s="106"/>
      <c r="Q68" s="106"/>
    </row>
    <row r="69" spans="1:17">
      <c r="A69" s="91"/>
      <c r="B69" s="92"/>
      <c r="C69" s="93"/>
      <c r="D69" s="94"/>
      <c r="E69" s="95"/>
      <c r="F69" s="94"/>
      <c r="G69" s="95"/>
      <c r="H69" s="96"/>
      <c r="I69" s="94"/>
      <c r="J69" s="95"/>
      <c r="K69" s="96"/>
      <c r="L69" s="106"/>
      <c r="M69" s="106"/>
      <c r="N69" s="106"/>
      <c r="O69" s="106"/>
      <c r="P69" s="106"/>
      <c r="Q69" s="106"/>
    </row>
    <row r="70" spans="1:17">
      <c r="A70" s="91"/>
      <c r="B70" s="92"/>
      <c r="C70" s="93"/>
      <c r="D70" s="94"/>
      <c r="E70" s="95"/>
      <c r="F70" s="94"/>
      <c r="G70" s="95"/>
      <c r="H70" s="96"/>
      <c r="I70" s="94"/>
      <c r="J70" s="95"/>
      <c r="K70" s="96"/>
      <c r="L70" s="106"/>
      <c r="M70" s="106"/>
      <c r="N70" s="106"/>
      <c r="O70" s="106"/>
      <c r="P70" s="106"/>
      <c r="Q70" s="106"/>
    </row>
    <row r="71" spans="1:17">
      <c r="A71" s="91"/>
      <c r="B71" s="92"/>
      <c r="C71" s="93"/>
      <c r="D71" s="94"/>
      <c r="E71" s="95"/>
      <c r="F71" s="94"/>
      <c r="G71" s="95"/>
      <c r="H71" s="96"/>
      <c r="I71" s="94"/>
      <c r="J71" s="95"/>
      <c r="K71" s="96"/>
      <c r="L71" s="106"/>
      <c r="M71" s="106"/>
      <c r="N71" s="106"/>
      <c r="O71" s="106"/>
      <c r="P71" s="106"/>
      <c r="Q71" s="106"/>
    </row>
    <row r="72" spans="1:17">
      <c r="A72" s="91"/>
      <c r="B72" s="92"/>
      <c r="C72" s="93"/>
      <c r="D72" s="94"/>
      <c r="E72" s="95"/>
      <c r="F72" s="94"/>
      <c r="G72" s="95"/>
      <c r="H72" s="96"/>
      <c r="I72" s="94"/>
      <c r="J72" s="95"/>
      <c r="K72" s="96"/>
      <c r="L72" s="106"/>
      <c r="M72" s="106"/>
      <c r="N72" s="106"/>
      <c r="O72" s="106"/>
      <c r="P72" s="106"/>
      <c r="Q72" s="106"/>
    </row>
    <row r="73" spans="1:17">
      <c r="A73" s="91"/>
      <c r="B73" s="92"/>
      <c r="C73" s="93"/>
      <c r="D73" s="94"/>
      <c r="E73" s="95"/>
      <c r="F73" s="94"/>
      <c r="G73" s="95"/>
      <c r="H73" s="96"/>
      <c r="I73" s="94"/>
      <c r="J73" s="95"/>
      <c r="K73" s="96"/>
      <c r="L73" s="106"/>
      <c r="M73" s="106"/>
      <c r="N73" s="106"/>
      <c r="O73" s="106"/>
      <c r="P73" s="106"/>
      <c r="Q73" s="106"/>
    </row>
    <row r="74" spans="1:17">
      <c r="A74" s="91"/>
      <c r="B74" s="92"/>
      <c r="C74" s="93"/>
      <c r="D74" s="94"/>
      <c r="E74" s="95"/>
      <c r="F74" s="94"/>
      <c r="G74" s="95"/>
      <c r="H74" s="96"/>
      <c r="I74" s="94"/>
      <c r="J74" s="95"/>
      <c r="K74" s="96"/>
      <c r="L74" s="106"/>
      <c r="M74" s="106"/>
      <c r="N74" s="106"/>
      <c r="O74" s="106"/>
      <c r="P74" s="106"/>
      <c r="Q74" s="106"/>
    </row>
    <row r="75" spans="1:17">
      <c r="A75" s="91"/>
      <c r="B75" s="92"/>
      <c r="C75" s="93"/>
      <c r="D75" s="94"/>
      <c r="E75" s="95"/>
      <c r="F75" s="94"/>
      <c r="G75" s="95"/>
      <c r="H75" s="96"/>
      <c r="I75" s="94"/>
      <c r="J75" s="95"/>
      <c r="K75" s="96"/>
      <c r="L75" s="106"/>
      <c r="M75" s="106"/>
      <c r="N75" s="106"/>
      <c r="O75" s="106"/>
      <c r="P75" s="106"/>
      <c r="Q75" s="106"/>
    </row>
    <row r="76" spans="1:17">
      <c r="A76" s="91"/>
      <c r="B76" s="92"/>
      <c r="C76" s="93"/>
      <c r="D76" s="94"/>
      <c r="E76" s="95"/>
      <c r="F76" s="94"/>
      <c r="G76" s="95"/>
      <c r="H76" s="96"/>
      <c r="I76" s="94"/>
      <c r="J76" s="95"/>
      <c r="K76" s="96"/>
      <c r="L76" s="106"/>
      <c r="M76" s="106"/>
      <c r="N76" s="106"/>
      <c r="O76" s="106"/>
      <c r="P76" s="106"/>
      <c r="Q76" s="106"/>
    </row>
    <row r="77" spans="1:17">
      <c r="A77" s="91"/>
      <c r="B77" s="92"/>
      <c r="C77" s="93"/>
      <c r="D77" s="94"/>
      <c r="E77" s="95"/>
      <c r="F77" s="94"/>
      <c r="G77" s="95"/>
      <c r="H77" s="96"/>
      <c r="I77" s="94"/>
      <c r="J77" s="95"/>
      <c r="K77" s="96"/>
      <c r="L77" s="106"/>
      <c r="M77" s="106"/>
      <c r="N77" s="106"/>
      <c r="O77" s="106"/>
      <c r="P77" s="106"/>
      <c r="Q77" s="106"/>
    </row>
    <row r="78" spans="1:17">
      <c r="A78" s="91"/>
      <c r="B78" s="92"/>
      <c r="C78" s="93"/>
      <c r="D78" s="94"/>
      <c r="E78" s="95"/>
      <c r="F78" s="94"/>
      <c r="G78" s="95"/>
      <c r="H78" s="96"/>
      <c r="I78" s="94"/>
      <c r="J78" s="95"/>
      <c r="K78" s="96"/>
      <c r="L78" s="106"/>
      <c r="M78" s="106"/>
      <c r="N78" s="106"/>
      <c r="O78" s="106"/>
      <c r="P78" s="106"/>
      <c r="Q78" s="106"/>
    </row>
    <row r="79" spans="1:17">
      <c r="A79" s="91"/>
      <c r="B79" s="92"/>
      <c r="C79" s="93"/>
      <c r="D79" s="94"/>
      <c r="E79" s="95"/>
      <c r="F79" s="94"/>
      <c r="G79" s="95"/>
      <c r="H79" s="96"/>
      <c r="I79" s="94"/>
      <c r="J79" s="95"/>
      <c r="K79" s="96"/>
      <c r="L79" s="106"/>
      <c r="M79" s="106"/>
      <c r="N79" s="106"/>
      <c r="O79" s="106"/>
      <c r="P79" s="106"/>
      <c r="Q79" s="106"/>
    </row>
    <row r="80" spans="1:17">
      <c r="A80" s="91"/>
      <c r="B80" s="92"/>
      <c r="C80" s="93"/>
      <c r="D80" s="94"/>
      <c r="E80" s="95"/>
      <c r="F80" s="94"/>
      <c r="G80" s="95"/>
      <c r="H80" s="96"/>
      <c r="I80" s="94"/>
      <c r="J80" s="95"/>
      <c r="K80" s="96"/>
      <c r="L80" s="106"/>
      <c r="M80" s="106"/>
      <c r="N80" s="106"/>
      <c r="O80" s="106"/>
      <c r="P80" s="106"/>
      <c r="Q80" s="106"/>
    </row>
    <row r="81" spans="1:17">
      <c r="A81" s="91"/>
      <c r="B81" s="92"/>
      <c r="C81" s="93"/>
      <c r="D81" s="94"/>
      <c r="E81" s="95"/>
      <c r="F81" s="94"/>
      <c r="G81" s="95"/>
      <c r="H81" s="96"/>
      <c r="I81" s="94"/>
      <c r="J81" s="95"/>
      <c r="K81" s="96"/>
      <c r="L81" s="106"/>
      <c r="M81" s="106"/>
      <c r="N81" s="106"/>
      <c r="O81" s="106"/>
      <c r="P81" s="106"/>
      <c r="Q81" s="106"/>
    </row>
    <row r="82" spans="1:17">
      <c r="A82" s="91"/>
      <c r="B82" s="92"/>
      <c r="C82" s="93"/>
      <c r="D82" s="94"/>
      <c r="E82" s="95"/>
      <c r="F82" s="94"/>
      <c r="G82" s="95"/>
      <c r="H82" s="96"/>
      <c r="I82" s="94"/>
      <c r="J82" s="95"/>
      <c r="K82" s="96"/>
      <c r="L82" s="106"/>
      <c r="M82" s="106"/>
      <c r="N82" s="106"/>
      <c r="O82" s="106"/>
      <c r="P82" s="106"/>
      <c r="Q82" s="106"/>
    </row>
    <row r="83" spans="1:17">
      <c r="A83" s="91"/>
      <c r="B83" s="92"/>
      <c r="C83" s="93"/>
      <c r="D83" s="94"/>
      <c r="E83" s="95"/>
      <c r="F83" s="94"/>
      <c r="G83" s="95"/>
      <c r="H83" s="96"/>
      <c r="I83" s="94"/>
      <c r="J83" s="95"/>
      <c r="K83" s="96"/>
      <c r="L83" s="106"/>
      <c r="M83" s="106"/>
      <c r="N83" s="106"/>
      <c r="O83" s="106"/>
      <c r="P83" s="106"/>
      <c r="Q83" s="106"/>
    </row>
    <row r="84" spans="1:17">
      <c r="A84" s="91"/>
      <c r="B84" s="92"/>
      <c r="C84" s="93"/>
      <c r="D84" s="94"/>
      <c r="E84" s="95"/>
      <c r="F84" s="94"/>
      <c r="G84" s="95"/>
      <c r="H84" s="96"/>
      <c r="I84" s="94"/>
      <c r="J84" s="95"/>
      <c r="K84" s="96"/>
      <c r="L84" s="106"/>
      <c r="M84" s="106"/>
      <c r="N84" s="106"/>
      <c r="O84" s="106"/>
      <c r="P84" s="106"/>
      <c r="Q84" s="106"/>
    </row>
    <row r="85" spans="1:17">
      <c r="A85" s="91"/>
      <c r="B85" s="92"/>
      <c r="C85" s="93"/>
      <c r="D85" s="94"/>
      <c r="E85" s="95"/>
      <c r="F85" s="94"/>
      <c r="G85" s="95"/>
      <c r="H85" s="96"/>
      <c r="I85" s="94"/>
      <c r="J85" s="95"/>
      <c r="K85" s="96"/>
      <c r="L85" s="106"/>
      <c r="M85" s="106"/>
      <c r="N85" s="106"/>
      <c r="O85" s="106"/>
      <c r="P85" s="106"/>
      <c r="Q85" s="106"/>
    </row>
    <row r="86" spans="1:17">
      <c r="A86" s="91"/>
      <c r="B86" s="92"/>
      <c r="C86" s="93"/>
      <c r="D86" s="94"/>
      <c r="E86" s="95"/>
      <c r="F86" s="94"/>
      <c r="G86" s="95"/>
      <c r="H86" s="96"/>
      <c r="I86" s="94"/>
      <c r="J86" s="95"/>
      <c r="K86" s="96"/>
      <c r="L86" s="106"/>
      <c r="M86" s="106"/>
      <c r="N86" s="106"/>
      <c r="O86" s="106"/>
      <c r="P86" s="106"/>
      <c r="Q86" s="106"/>
    </row>
    <row r="87" spans="1:17">
      <c r="A87" s="91"/>
      <c r="B87" s="92"/>
      <c r="C87" s="93"/>
      <c r="D87" s="94"/>
      <c r="E87" s="95"/>
      <c r="F87" s="94"/>
      <c r="G87" s="95"/>
      <c r="H87" s="96"/>
      <c r="I87" s="94"/>
      <c r="J87" s="95"/>
      <c r="K87" s="96"/>
      <c r="L87" s="106"/>
      <c r="M87" s="106"/>
      <c r="N87" s="106"/>
      <c r="O87" s="106"/>
      <c r="P87" s="106"/>
      <c r="Q87" s="106"/>
    </row>
    <row r="88" spans="1:17">
      <c r="A88" s="91"/>
      <c r="B88" s="92"/>
      <c r="C88" s="93"/>
      <c r="D88" s="94"/>
      <c r="E88" s="95"/>
      <c r="F88" s="94"/>
      <c r="G88" s="95"/>
      <c r="H88" s="96"/>
      <c r="I88" s="94"/>
      <c r="J88" s="95"/>
      <c r="K88" s="96"/>
      <c r="L88" s="106"/>
      <c r="M88" s="106"/>
      <c r="N88" s="106"/>
      <c r="O88" s="106"/>
      <c r="P88" s="106"/>
      <c r="Q88" s="106"/>
    </row>
    <row r="89" spans="1:17">
      <c r="A89" s="91"/>
      <c r="B89" s="92"/>
      <c r="C89" s="93"/>
      <c r="D89" s="94"/>
      <c r="E89" s="95"/>
      <c r="F89" s="94"/>
      <c r="G89" s="95"/>
      <c r="H89" s="96"/>
      <c r="I89" s="94"/>
      <c r="J89" s="95"/>
      <c r="K89" s="96"/>
      <c r="L89" s="106"/>
      <c r="M89" s="106"/>
      <c r="N89" s="106"/>
      <c r="O89" s="106"/>
      <c r="P89" s="106"/>
      <c r="Q89" s="106"/>
    </row>
    <row r="90" spans="1:17">
      <c r="A90" s="91"/>
      <c r="B90" s="92"/>
      <c r="C90" s="93"/>
      <c r="D90" s="94"/>
      <c r="E90" s="95"/>
      <c r="F90" s="94"/>
      <c r="G90" s="95"/>
      <c r="H90" s="96"/>
      <c r="I90" s="94"/>
      <c r="J90" s="95"/>
      <c r="K90" s="96"/>
      <c r="L90" s="106"/>
      <c r="M90" s="106"/>
      <c r="N90" s="106"/>
      <c r="O90" s="106"/>
      <c r="P90" s="106"/>
      <c r="Q90" s="106"/>
    </row>
    <row r="91" spans="1:17">
      <c r="A91" s="91"/>
      <c r="B91" s="92"/>
      <c r="C91" s="93"/>
      <c r="D91" s="94"/>
      <c r="E91" s="95"/>
      <c r="F91" s="94"/>
      <c r="G91" s="95"/>
      <c r="H91" s="96"/>
      <c r="I91" s="94"/>
      <c r="J91" s="95"/>
      <c r="K91" s="96"/>
      <c r="L91" s="106"/>
      <c r="M91" s="106"/>
      <c r="N91" s="106"/>
      <c r="O91" s="106"/>
      <c r="P91" s="106"/>
      <c r="Q91" s="106"/>
    </row>
    <row r="92" spans="1:17">
      <c r="A92" s="91"/>
      <c r="B92" s="92"/>
      <c r="C92" s="93"/>
      <c r="D92" s="94"/>
      <c r="E92" s="95"/>
      <c r="F92" s="94"/>
      <c r="G92" s="95"/>
      <c r="H92" s="96"/>
      <c r="I92" s="94"/>
      <c r="J92" s="95"/>
      <c r="K92" s="96"/>
      <c r="L92" s="106"/>
      <c r="M92" s="106"/>
      <c r="N92" s="106"/>
      <c r="O92" s="106"/>
      <c r="P92" s="106"/>
      <c r="Q92" s="106"/>
    </row>
    <row r="93" spans="1:17">
      <c r="A93" s="91"/>
      <c r="B93" s="92"/>
      <c r="C93" s="93"/>
      <c r="D93" s="94"/>
      <c r="E93" s="95"/>
      <c r="F93" s="94"/>
      <c r="G93" s="95"/>
      <c r="H93" s="96"/>
      <c r="I93" s="94"/>
      <c r="J93" s="95"/>
      <c r="K93" s="96"/>
      <c r="L93" s="106"/>
      <c r="M93" s="106"/>
      <c r="N93" s="106"/>
      <c r="O93" s="106"/>
      <c r="P93" s="106"/>
      <c r="Q93" s="106"/>
    </row>
    <row r="94" spans="1:17">
      <c r="A94" s="91"/>
      <c r="B94" s="92"/>
      <c r="C94" s="93"/>
      <c r="D94" s="94"/>
      <c r="E94" s="95"/>
      <c r="F94" s="94"/>
      <c r="G94" s="95"/>
      <c r="H94" s="96"/>
      <c r="I94" s="94"/>
      <c r="J94" s="95"/>
      <c r="K94" s="96"/>
      <c r="L94" s="106"/>
      <c r="M94" s="106"/>
      <c r="N94" s="106"/>
      <c r="O94" s="106"/>
      <c r="P94" s="106"/>
      <c r="Q94" s="106"/>
    </row>
    <row r="95" spans="1:17">
      <c r="A95" s="91"/>
      <c r="B95" s="92"/>
      <c r="C95" s="93"/>
      <c r="D95" s="94"/>
      <c r="E95" s="95"/>
      <c r="F95" s="94"/>
      <c r="G95" s="95"/>
      <c r="H95" s="96"/>
      <c r="I95" s="94"/>
      <c r="J95" s="95"/>
      <c r="K95" s="96"/>
      <c r="L95" s="106"/>
      <c r="M95" s="106"/>
      <c r="N95" s="106"/>
      <c r="O95" s="106"/>
      <c r="P95" s="106"/>
      <c r="Q95" s="106"/>
    </row>
    <row r="96" spans="1:17">
      <c r="A96" s="91"/>
      <c r="B96" s="92"/>
      <c r="C96" s="93"/>
      <c r="D96" s="94"/>
      <c r="E96" s="95"/>
      <c r="F96" s="94"/>
      <c r="G96" s="95"/>
      <c r="H96" s="96"/>
      <c r="I96" s="94"/>
      <c r="J96" s="95"/>
      <c r="K96" s="96"/>
      <c r="L96" s="106"/>
      <c r="M96" s="106"/>
      <c r="N96" s="106"/>
      <c r="O96" s="106"/>
      <c r="P96" s="106"/>
      <c r="Q96" s="106"/>
    </row>
    <row r="97" spans="1:17">
      <c r="A97" s="91"/>
      <c r="B97" s="92"/>
      <c r="C97" s="93"/>
      <c r="D97" s="94"/>
      <c r="E97" s="95"/>
      <c r="F97" s="94"/>
      <c r="G97" s="95"/>
      <c r="H97" s="96"/>
      <c r="I97" s="94"/>
      <c r="J97" s="95"/>
      <c r="K97" s="96"/>
      <c r="L97" s="106"/>
      <c r="M97" s="106"/>
      <c r="N97" s="106"/>
      <c r="O97" s="106"/>
      <c r="P97" s="106"/>
      <c r="Q97" s="106"/>
    </row>
    <row r="98" spans="1:17">
      <c r="A98" s="91"/>
      <c r="B98" s="92"/>
      <c r="C98" s="93"/>
      <c r="D98" s="94"/>
      <c r="E98" s="95"/>
      <c r="F98" s="94"/>
      <c r="G98" s="95"/>
      <c r="H98" s="96"/>
      <c r="I98" s="94"/>
      <c r="J98" s="95"/>
      <c r="K98" s="96"/>
      <c r="L98" s="106"/>
      <c r="M98" s="106"/>
      <c r="N98" s="106"/>
      <c r="O98" s="106"/>
      <c r="P98" s="106"/>
      <c r="Q98" s="106"/>
    </row>
    <row r="99" spans="1:17">
      <c r="A99" s="91"/>
      <c r="B99" s="92"/>
      <c r="C99" s="93"/>
      <c r="D99" s="94"/>
      <c r="E99" s="95"/>
      <c r="F99" s="94"/>
      <c r="G99" s="95"/>
      <c r="H99" s="96"/>
      <c r="I99" s="94"/>
      <c r="J99" s="95"/>
      <c r="K99" s="96"/>
      <c r="L99" s="106"/>
      <c r="M99" s="106"/>
      <c r="N99" s="106"/>
      <c r="O99" s="106"/>
      <c r="P99" s="106"/>
      <c r="Q99" s="106"/>
    </row>
    <row r="100" spans="1:17">
      <c r="A100" s="91"/>
      <c r="B100" s="92"/>
      <c r="C100" s="93"/>
      <c r="D100" s="94"/>
      <c r="E100" s="95"/>
      <c r="F100" s="94"/>
      <c r="G100" s="95"/>
      <c r="H100" s="96"/>
      <c r="I100" s="94"/>
      <c r="J100" s="95"/>
      <c r="K100" s="96"/>
      <c r="L100" s="106"/>
      <c r="M100" s="106"/>
      <c r="N100" s="106"/>
      <c r="O100" s="106"/>
      <c r="P100" s="106"/>
      <c r="Q100" s="106"/>
    </row>
    <row r="101" spans="1:17">
      <c r="A101" s="91"/>
      <c r="B101" s="92"/>
      <c r="C101" s="93"/>
      <c r="D101" s="94"/>
      <c r="E101" s="95"/>
      <c r="F101" s="94"/>
      <c r="G101" s="95"/>
      <c r="H101" s="96"/>
      <c r="I101" s="94"/>
      <c r="J101" s="95"/>
      <c r="K101" s="96"/>
      <c r="L101" s="106"/>
      <c r="M101" s="106"/>
      <c r="N101" s="106"/>
      <c r="O101" s="106"/>
      <c r="P101" s="106"/>
      <c r="Q101" s="106"/>
    </row>
    <row r="102" spans="1:17">
      <c r="A102" s="91"/>
      <c r="B102" s="92"/>
      <c r="C102" s="93"/>
      <c r="D102" s="94"/>
      <c r="E102" s="95"/>
      <c r="F102" s="94"/>
      <c r="G102" s="95"/>
      <c r="H102" s="96"/>
      <c r="I102" s="94"/>
      <c r="J102" s="95"/>
      <c r="K102" s="96"/>
      <c r="L102" s="106"/>
      <c r="M102" s="106"/>
      <c r="N102" s="106"/>
      <c r="O102" s="106"/>
      <c r="P102" s="106"/>
      <c r="Q102" s="106"/>
    </row>
    <row r="103" spans="1:17">
      <c r="A103" s="91"/>
      <c r="B103" s="92"/>
      <c r="C103" s="93"/>
      <c r="D103" s="94"/>
      <c r="E103" s="95"/>
      <c r="F103" s="94"/>
      <c r="G103" s="95"/>
      <c r="H103" s="96"/>
      <c r="I103" s="94"/>
      <c r="J103" s="95"/>
      <c r="K103" s="96"/>
      <c r="L103" s="106"/>
      <c r="M103" s="106"/>
      <c r="N103" s="106"/>
      <c r="O103" s="106"/>
      <c r="P103" s="106"/>
      <c r="Q103" s="106"/>
    </row>
    <row r="104" spans="1:17">
      <c r="A104" s="91"/>
      <c r="B104" s="92"/>
      <c r="C104" s="93"/>
      <c r="D104" s="94"/>
      <c r="E104" s="95"/>
      <c r="F104" s="94"/>
      <c r="G104" s="95"/>
      <c r="H104" s="96"/>
      <c r="I104" s="94"/>
      <c r="J104" s="95"/>
      <c r="K104" s="96"/>
      <c r="L104" s="106"/>
      <c r="M104" s="106"/>
      <c r="N104" s="106"/>
      <c r="O104" s="106"/>
      <c r="P104" s="106"/>
      <c r="Q104" s="106"/>
    </row>
    <row r="105" spans="1:17">
      <c r="A105" s="91"/>
      <c r="B105" s="92"/>
      <c r="C105" s="93"/>
      <c r="D105" s="94"/>
      <c r="E105" s="95"/>
      <c r="F105" s="94"/>
      <c r="G105" s="95"/>
      <c r="H105" s="96"/>
      <c r="I105" s="94"/>
      <c r="J105" s="95"/>
      <c r="K105" s="96"/>
      <c r="L105" s="106"/>
      <c r="M105" s="106"/>
      <c r="N105" s="106"/>
      <c r="O105" s="106"/>
      <c r="P105" s="106"/>
      <c r="Q105" s="106"/>
    </row>
    <row r="106" spans="1:17">
      <c r="A106" s="91"/>
      <c r="B106" s="92"/>
      <c r="C106" s="93"/>
      <c r="D106" s="94"/>
      <c r="E106" s="95"/>
      <c r="F106" s="94"/>
      <c r="G106" s="95"/>
      <c r="H106" s="96"/>
      <c r="I106" s="94"/>
      <c r="J106" s="95"/>
      <c r="K106" s="96"/>
      <c r="L106" s="106"/>
      <c r="M106" s="106"/>
      <c r="N106" s="106"/>
      <c r="O106" s="106"/>
      <c r="P106" s="106"/>
      <c r="Q106" s="106"/>
    </row>
    <row r="107" spans="1:17">
      <c r="A107" s="91"/>
      <c r="B107" s="92"/>
      <c r="C107" s="93"/>
      <c r="D107" s="94"/>
      <c r="E107" s="95"/>
      <c r="F107" s="94"/>
      <c r="G107" s="95"/>
      <c r="H107" s="96"/>
      <c r="I107" s="94"/>
      <c r="J107" s="95"/>
      <c r="K107" s="96"/>
      <c r="L107" s="106"/>
      <c r="M107" s="106"/>
      <c r="N107" s="106"/>
      <c r="O107" s="106"/>
      <c r="P107" s="106"/>
      <c r="Q107" s="106"/>
    </row>
    <row r="108" spans="1:17">
      <c r="A108" s="91"/>
      <c r="B108" s="92"/>
      <c r="C108" s="93"/>
      <c r="D108" s="94"/>
      <c r="E108" s="95"/>
      <c r="F108" s="94"/>
      <c r="G108" s="95"/>
      <c r="H108" s="96"/>
      <c r="I108" s="94"/>
      <c r="J108" s="95"/>
      <c r="K108" s="96"/>
      <c r="L108" s="106"/>
      <c r="M108" s="106"/>
      <c r="N108" s="106"/>
      <c r="O108" s="106"/>
      <c r="P108" s="106"/>
      <c r="Q108" s="106"/>
    </row>
    <row r="109" spans="1:17">
      <c r="A109" s="91"/>
      <c r="B109" s="92"/>
      <c r="C109" s="93"/>
      <c r="D109" s="94"/>
      <c r="E109" s="95"/>
      <c r="F109" s="94"/>
      <c r="G109" s="95"/>
      <c r="H109" s="96"/>
      <c r="I109" s="94"/>
      <c r="J109" s="95"/>
      <c r="K109" s="96"/>
      <c r="L109" s="106"/>
      <c r="M109" s="106"/>
      <c r="N109" s="106"/>
      <c r="O109" s="106"/>
      <c r="P109" s="106"/>
      <c r="Q109" s="106"/>
    </row>
    <row r="110" spans="1:17">
      <c r="A110" s="91"/>
      <c r="B110" s="92"/>
      <c r="C110" s="93"/>
      <c r="D110" s="94"/>
      <c r="E110" s="95"/>
      <c r="F110" s="94"/>
      <c r="G110" s="95"/>
      <c r="H110" s="96"/>
      <c r="I110" s="94"/>
      <c r="J110" s="95"/>
      <c r="K110" s="96"/>
      <c r="L110" s="106"/>
      <c r="M110" s="106"/>
      <c r="N110" s="106"/>
      <c r="O110" s="106"/>
      <c r="P110" s="106"/>
      <c r="Q110" s="106"/>
    </row>
    <row r="111" spans="1:17">
      <c r="A111" s="91"/>
      <c r="B111" s="92"/>
      <c r="C111" s="93"/>
      <c r="D111" s="94"/>
      <c r="E111" s="95"/>
      <c r="F111" s="94"/>
      <c r="G111" s="95"/>
      <c r="H111" s="96"/>
      <c r="I111" s="94"/>
      <c r="J111" s="95"/>
      <c r="K111" s="96"/>
      <c r="L111" s="106"/>
      <c r="M111" s="106"/>
      <c r="N111" s="106"/>
      <c r="O111" s="106"/>
      <c r="P111" s="106"/>
      <c r="Q111" s="106"/>
    </row>
    <row r="112" spans="1:17">
      <c r="A112" s="91"/>
      <c r="B112" s="92"/>
      <c r="C112" s="93"/>
      <c r="D112" s="94"/>
      <c r="E112" s="95"/>
      <c r="F112" s="94"/>
      <c r="G112" s="95"/>
      <c r="H112" s="96"/>
      <c r="I112" s="94"/>
      <c r="J112" s="95"/>
      <c r="K112" s="96"/>
      <c r="L112" s="106"/>
      <c r="M112" s="106"/>
      <c r="N112" s="106"/>
      <c r="O112" s="106"/>
      <c r="P112" s="106"/>
      <c r="Q112" s="106"/>
    </row>
    <row r="113" spans="1:17">
      <c r="A113" s="91"/>
      <c r="B113" s="92"/>
      <c r="C113" s="93"/>
      <c r="D113" s="94"/>
      <c r="E113" s="95"/>
      <c r="F113" s="94"/>
      <c r="G113" s="95"/>
      <c r="H113" s="96"/>
      <c r="I113" s="94"/>
      <c r="J113" s="95"/>
      <c r="K113" s="96"/>
      <c r="L113" s="106"/>
      <c r="M113" s="106"/>
      <c r="N113" s="106"/>
      <c r="O113" s="106"/>
      <c r="P113" s="106"/>
      <c r="Q113" s="106"/>
    </row>
    <row r="114" spans="1:17">
      <c r="A114" s="91"/>
      <c r="B114" s="92"/>
      <c r="C114" s="93"/>
      <c r="D114" s="94"/>
      <c r="E114" s="95"/>
      <c r="F114" s="94"/>
      <c r="G114" s="95"/>
      <c r="H114" s="96"/>
      <c r="I114" s="94"/>
      <c r="J114" s="95"/>
      <c r="K114" s="96"/>
      <c r="L114" s="106"/>
      <c r="M114" s="106"/>
      <c r="N114" s="106"/>
      <c r="O114" s="106"/>
      <c r="P114" s="106"/>
      <c r="Q114" s="106"/>
    </row>
    <row r="115" spans="1:17">
      <c r="A115" s="91"/>
      <c r="B115" s="92"/>
      <c r="C115" s="93"/>
      <c r="D115" s="94"/>
      <c r="E115" s="95"/>
      <c r="F115" s="94"/>
      <c r="G115" s="95"/>
      <c r="H115" s="96"/>
      <c r="I115" s="94"/>
      <c r="J115" s="95"/>
      <c r="K115" s="96"/>
      <c r="L115" s="106"/>
      <c r="M115" s="106"/>
      <c r="N115" s="106"/>
      <c r="O115" s="106"/>
      <c r="P115" s="106"/>
      <c r="Q115" s="106"/>
    </row>
    <row r="116" spans="1:17">
      <c r="A116" s="91"/>
      <c r="B116" s="92"/>
      <c r="C116" s="93"/>
      <c r="D116" s="94"/>
      <c r="E116" s="95"/>
      <c r="F116" s="94"/>
      <c r="G116" s="95"/>
      <c r="H116" s="96"/>
      <c r="I116" s="94"/>
      <c r="J116" s="95"/>
      <c r="K116" s="96"/>
      <c r="L116" s="106"/>
      <c r="M116" s="106"/>
      <c r="N116" s="106"/>
      <c r="O116" s="106"/>
      <c r="P116" s="106"/>
      <c r="Q116" s="106"/>
    </row>
    <row r="117" spans="1:17">
      <c r="A117" s="91"/>
      <c r="B117" s="92"/>
      <c r="C117" s="93"/>
      <c r="D117" s="94"/>
      <c r="E117" s="95"/>
      <c r="F117" s="94"/>
      <c r="G117" s="95"/>
      <c r="H117" s="96"/>
      <c r="I117" s="94"/>
      <c r="J117" s="95"/>
      <c r="K117" s="96"/>
      <c r="L117" s="106"/>
      <c r="M117" s="106"/>
      <c r="N117" s="106"/>
      <c r="O117" s="106"/>
      <c r="P117" s="106"/>
      <c r="Q117" s="106"/>
    </row>
    <row r="118" spans="1:17">
      <c r="A118" s="91"/>
      <c r="B118" s="92"/>
      <c r="C118" s="93"/>
      <c r="D118" s="94"/>
      <c r="E118" s="95"/>
      <c r="F118" s="94"/>
      <c r="G118" s="95"/>
      <c r="H118" s="96"/>
      <c r="I118" s="94"/>
      <c r="J118" s="95"/>
      <c r="K118" s="96"/>
      <c r="L118" s="106"/>
      <c r="M118" s="106"/>
      <c r="N118" s="106"/>
      <c r="O118" s="106"/>
      <c r="P118" s="106"/>
      <c r="Q118" s="106"/>
    </row>
    <row r="119" spans="1:17">
      <c r="A119" s="91"/>
      <c r="B119" s="92"/>
      <c r="C119" s="93"/>
      <c r="D119" s="94"/>
      <c r="E119" s="95"/>
      <c r="F119" s="94"/>
      <c r="G119" s="95"/>
      <c r="H119" s="96"/>
      <c r="I119" s="94"/>
      <c r="J119" s="95"/>
      <c r="K119" s="96"/>
      <c r="L119" s="106"/>
      <c r="M119" s="106"/>
      <c r="N119" s="106"/>
      <c r="O119" s="106"/>
      <c r="P119" s="106"/>
      <c r="Q119" s="106"/>
    </row>
    <row r="120" spans="1:17">
      <c r="A120" s="91"/>
      <c r="B120" s="92"/>
      <c r="C120" s="93"/>
      <c r="D120" s="94"/>
      <c r="E120" s="95"/>
      <c r="F120" s="94"/>
      <c r="G120" s="95"/>
      <c r="H120" s="96"/>
      <c r="I120" s="94"/>
      <c r="J120" s="95"/>
      <c r="K120" s="96"/>
      <c r="L120" s="106"/>
      <c r="M120" s="106"/>
      <c r="N120" s="106"/>
      <c r="O120" s="106"/>
      <c r="P120" s="106"/>
      <c r="Q120" s="106"/>
    </row>
    <row r="121" spans="1:17">
      <c r="A121" s="91"/>
      <c r="B121" s="92"/>
      <c r="C121" s="93"/>
      <c r="D121" s="94"/>
      <c r="E121" s="95"/>
      <c r="F121" s="94"/>
      <c r="G121" s="95"/>
      <c r="H121" s="96"/>
      <c r="I121" s="94"/>
      <c r="J121" s="95"/>
      <c r="K121" s="96"/>
      <c r="L121" s="106"/>
      <c r="M121" s="106"/>
      <c r="N121" s="106"/>
      <c r="O121" s="106"/>
      <c r="P121" s="106"/>
      <c r="Q121" s="106"/>
    </row>
    <row r="122" spans="1:17">
      <c r="A122" s="91"/>
      <c r="B122" s="92"/>
      <c r="C122" s="93"/>
      <c r="D122" s="94"/>
      <c r="E122" s="95"/>
      <c r="F122" s="94"/>
      <c r="G122" s="95"/>
      <c r="H122" s="96"/>
      <c r="I122" s="94"/>
      <c r="J122" s="95"/>
      <c r="K122" s="96"/>
      <c r="L122" s="106"/>
      <c r="M122" s="106"/>
      <c r="N122" s="106"/>
      <c r="O122" s="106"/>
      <c r="P122" s="106"/>
      <c r="Q122" s="106"/>
    </row>
    <row r="123" spans="1:17">
      <c r="A123" s="91"/>
      <c r="B123" s="92"/>
      <c r="C123" s="93"/>
      <c r="D123" s="94"/>
      <c r="E123" s="95"/>
      <c r="F123" s="94"/>
      <c r="G123" s="95"/>
      <c r="H123" s="96"/>
      <c r="I123" s="94"/>
      <c r="J123" s="95"/>
      <c r="K123" s="96"/>
      <c r="L123" s="106"/>
      <c r="M123" s="106"/>
      <c r="N123" s="106"/>
      <c r="O123" s="106"/>
      <c r="P123" s="106"/>
      <c r="Q123" s="106"/>
    </row>
    <row r="124" spans="1:17">
      <c r="A124" s="91"/>
      <c r="B124" s="92"/>
      <c r="C124" s="93"/>
      <c r="D124" s="94"/>
      <c r="E124" s="95"/>
      <c r="F124" s="94"/>
      <c r="G124" s="95"/>
      <c r="H124" s="96"/>
      <c r="I124" s="94"/>
      <c r="J124" s="95"/>
      <c r="K124" s="96"/>
      <c r="L124" s="106"/>
      <c r="M124" s="106"/>
      <c r="N124" s="106"/>
      <c r="O124" s="106"/>
      <c r="P124" s="106"/>
      <c r="Q124" s="106"/>
    </row>
    <row r="125" spans="1:17">
      <c r="A125" s="91"/>
      <c r="B125" s="92"/>
      <c r="C125" s="93"/>
      <c r="D125" s="94"/>
      <c r="E125" s="95"/>
      <c r="F125" s="94"/>
      <c r="G125" s="95"/>
      <c r="H125" s="96"/>
      <c r="I125" s="94"/>
      <c r="J125" s="95"/>
      <c r="K125" s="96"/>
      <c r="L125" s="106"/>
      <c r="M125" s="106"/>
      <c r="N125" s="106"/>
      <c r="O125" s="106"/>
      <c r="P125" s="106"/>
      <c r="Q125" s="106"/>
    </row>
    <row r="126" spans="1:17">
      <c r="A126" s="91"/>
      <c r="B126" s="92"/>
      <c r="C126" s="93"/>
      <c r="D126" s="94"/>
      <c r="E126" s="95"/>
      <c r="F126" s="94"/>
      <c r="G126" s="95"/>
      <c r="H126" s="96"/>
      <c r="I126" s="94"/>
      <c r="J126" s="95"/>
      <c r="K126" s="96"/>
      <c r="L126" s="106"/>
      <c r="M126" s="106"/>
      <c r="N126" s="106"/>
      <c r="O126" s="106"/>
      <c r="P126" s="106"/>
      <c r="Q126" s="106"/>
    </row>
    <row r="127" spans="1:17">
      <c r="A127" s="91"/>
      <c r="B127" s="92"/>
      <c r="C127" s="93"/>
      <c r="D127" s="94"/>
      <c r="E127" s="95"/>
      <c r="F127" s="94"/>
      <c r="G127" s="95"/>
      <c r="H127" s="96"/>
      <c r="I127" s="94"/>
      <c r="J127" s="95"/>
      <c r="K127" s="96"/>
      <c r="L127" s="106"/>
      <c r="M127" s="106"/>
      <c r="N127" s="106"/>
      <c r="O127" s="106"/>
      <c r="P127" s="106"/>
      <c r="Q127" s="106"/>
    </row>
    <row r="128" spans="1:17">
      <c r="A128" s="91"/>
      <c r="B128" s="92"/>
      <c r="C128" s="93"/>
      <c r="D128" s="94"/>
      <c r="E128" s="95"/>
      <c r="F128" s="94"/>
      <c r="G128" s="95"/>
      <c r="H128" s="96"/>
      <c r="I128" s="94"/>
      <c r="J128" s="95"/>
      <c r="K128" s="96"/>
      <c r="L128" s="106"/>
      <c r="M128" s="106"/>
      <c r="N128" s="106"/>
      <c r="O128" s="106"/>
      <c r="P128" s="106"/>
      <c r="Q128" s="106"/>
    </row>
    <row r="129" spans="1:17">
      <c r="A129" s="91"/>
      <c r="B129" s="92"/>
      <c r="C129" s="93"/>
      <c r="D129" s="94"/>
      <c r="E129" s="95"/>
      <c r="F129" s="94"/>
      <c r="G129" s="95"/>
      <c r="H129" s="96"/>
      <c r="I129" s="94"/>
      <c r="J129" s="95"/>
      <c r="K129" s="96"/>
      <c r="L129" s="106"/>
      <c r="M129" s="106"/>
      <c r="N129" s="106"/>
      <c r="O129" s="106"/>
      <c r="P129" s="106"/>
      <c r="Q129" s="106"/>
    </row>
    <row r="130" spans="1:17">
      <c r="A130" s="91"/>
      <c r="B130" s="92"/>
      <c r="C130" s="93"/>
      <c r="D130" s="94"/>
      <c r="E130" s="95"/>
      <c r="F130" s="94"/>
      <c r="G130" s="95"/>
      <c r="H130" s="96"/>
      <c r="I130" s="94"/>
      <c r="J130" s="95"/>
      <c r="K130" s="96"/>
      <c r="L130" s="106"/>
      <c r="M130" s="106"/>
      <c r="N130" s="106"/>
      <c r="O130" s="106"/>
      <c r="P130" s="106"/>
      <c r="Q130" s="106"/>
    </row>
    <row r="131" spans="1:17">
      <c r="A131" s="91"/>
      <c r="B131" s="92"/>
      <c r="C131" s="93"/>
      <c r="D131" s="94"/>
      <c r="E131" s="95"/>
      <c r="F131" s="94"/>
      <c r="G131" s="95"/>
      <c r="H131" s="96"/>
      <c r="I131" s="94"/>
      <c r="J131" s="95"/>
      <c r="K131" s="96"/>
      <c r="L131" s="106"/>
      <c r="M131" s="106"/>
      <c r="N131" s="106"/>
      <c r="O131" s="106"/>
      <c r="P131" s="106"/>
      <c r="Q131" s="106"/>
    </row>
    <row r="132" spans="1:17">
      <c r="A132" s="91"/>
      <c r="B132" s="92"/>
      <c r="C132" s="93"/>
      <c r="D132" s="94"/>
      <c r="E132" s="95"/>
      <c r="F132" s="94"/>
      <c r="G132" s="95"/>
      <c r="H132" s="96"/>
      <c r="I132" s="94"/>
      <c r="J132" s="95"/>
      <c r="K132" s="96"/>
      <c r="L132" s="106"/>
      <c r="M132" s="106"/>
      <c r="N132" s="106"/>
      <c r="O132" s="106"/>
      <c r="P132" s="106"/>
      <c r="Q132" s="106"/>
    </row>
    <row r="133" spans="1:17">
      <c r="A133" s="91"/>
      <c r="B133" s="92"/>
      <c r="C133" s="93"/>
      <c r="D133" s="94"/>
      <c r="E133" s="95"/>
      <c r="F133" s="94"/>
      <c r="G133" s="95"/>
      <c r="H133" s="96"/>
      <c r="I133" s="94"/>
      <c r="J133" s="95"/>
      <c r="K133" s="96"/>
      <c r="L133" s="106"/>
      <c r="M133" s="106"/>
      <c r="N133" s="106"/>
      <c r="O133" s="106"/>
      <c r="P133" s="106"/>
      <c r="Q133" s="106"/>
    </row>
    <row r="134" spans="1:17">
      <c r="A134" s="91"/>
      <c r="B134" s="92"/>
      <c r="C134" s="93"/>
      <c r="D134" s="94"/>
      <c r="E134" s="95"/>
      <c r="F134" s="94"/>
      <c r="G134" s="95"/>
      <c r="H134" s="96"/>
      <c r="I134" s="94"/>
      <c r="J134" s="95"/>
      <c r="K134" s="96"/>
      <c r="L134" s="106"/>
      <c r="M134" s="106"/>
      <c r="N134" s="106"/>
      <c r="O134" s="106"/>
      <c r="P134" s="106"/>
      <c r="Q134" s="106"/>
    </row>
    <row r="135" spans="1:17">
      <c r="A135" s="91"/>
      <c r="B135" s="92"/>
      <c r="C135" s="93"/>
      <c r="D135" s="94"/>
      <c r="E135" s="95"/>
      <c r="F135" s="94"/>
      <c r="G135" s="95"/>
      <c r="H135" s="96"/>
      <c r="I135" s="94"/>
      <c r="J135" s="95"/>
      <c r="K135" s="96"/>
      <c r="L135" s="106"/>
      <c r="M135" s="106"/>
      <c r="N135" s="106"/>
      <c r="O135" s="106"/>
      <c r="P135" s="106"/>
      <c r="Q135" s="106"/>
    </row>
    <row r="136" spans="1:17">
      <c r="A136" s="91"/>
      <c r="B136" s="92"/>
      <c r="C136" s="93"/>
      <c r="D136" s="94"/>
      <c r="E136" s="95"/>
      <c r="F136" s="94"/>
      <c r="G136" s="95"/>
      <c r="H136" s="96"/>
      <c r="I136" s="94"/>
      <c r="J136" s="95"/>
      <c r="K136" s="96"/>
      <c r="L136" s="106"/>
      <c r="M136" s="106"/>
      <c r="N136" s="106"/>
      <c r="O136" s="106"/>
      <c r="P136" s="106"/>
      <c r="Q136" s="106"/>
    </row>
    <row r="137" spans="1:17">
      <c r="A137" s="91"/>
      <c r="B137" s="92"/>
      <c r="C137" s="93"/>
      <c r="D137" s="94"/>
      <c r="E137" s="95"/>
      <c r="F137" s="94"/>
      <c r="G137" s="95"/>
      <c r="H137" s="96"/>
      <c r="I137" s="94"/>
      <c r="J137" s="95"/>
      <c r="K137" s="96"/>
      <c r="L137" s="106"/>
      <c r="M137" s="106"/>
      <c r="N137" s="106"/>
      <c r="O137" s="106"/>
      <c r="P137" s="106"/>
      <c r="Q137" s="106"/>
    </row>
    <row r="138" spans="1:17">
      <c r="A138" s="91"/>
      <c r="B138" s="92"/>
      <c r="C138" s="93"/>
      <c r="D138" s="94"/>
      <c r="E138" s="95"/>
      <c r="F138" s="94"/>
      <c r="G138" s="95"/>
      <c r="H138" s="96"/>
      <c r="I138" s="94"/>
      <c r="J138" s="95"/>
      <c r="K138" s="96"/>
      <c r="L138" s="106"/>
      <c r="M138" s="106"/>
      <c r="N138" s="106"/>
      <c r="O138" s="106"/>
      <c r="P138" s="106"/>
      <c r="Q138" s="106"/>
    </row>
    <row r="139" spans="1:17">
      <c r="A139" s="91"/>
      <c r="B139" s="92"/>
      <c r="C139" s="93"/>
      <c r="D139" s="94"/>
      <c r="E139" s="95"/>
      <c r="F139" s="94"/>
      <c r="G139" s="95"/>
      <c r="H139" s="96"/>
      <c r="I139" s="94"/>
      <c r="J139" s="95"/>
      <c r="K139" s="96"/>
      <c r="L139" s="106"/>
      <c r="M139" s="106"/>
      <c r="N139" s="106"/>
      <c r="O139" s="106"/>
      <c r="P139" s="106"/>
      <c r="Q139" s="106"/>
    </row>
    <row r="140" spans="1:17">
      <c r="A140" s="91"/>
      <c r="B140" s="92"/>
      <c r="C140" s="93"/>
      <c r="D140" s="94"/>
      <c r="E140" s="95"/>
      <c r="F140" s="94"/>
      <c r="G140" s="95"/>
      <c r="H140" s="96"/>
      <c r="I140" s="94"/>
      <c r="J140" s="95"/>
      <c r="K140" s="96"/>
      <c r="L140" s="106"/>
      <c r="M140" s="106"/>
      <c r="N140" s="106"/>
      <c r="O140" s="106"/>
      <c r="P140" s="106"/>
      <c r="Q140" s="106"/>
    </row>
    <row r="141" spans="1:17">
      <c r="A141" s="91"/>
      <c r="B141" s="92"/>
      <c r="C141" s="93"/>
      <c r="D141" s="94"/>
      <c r="E141" s="95"/>
      <c r="F141" s="94"/>
      <c r="G141" s="95"/>
      <c r="H141" s="96"/>
      <c r="I141" s="94"/>
      <c r="J141" s="95"/>
      <c r="K141" s="96"/>
      <c r="L141" s="106"/>
      <c r="M141" s="106"/>
      <c r="N141" s="106"/>
      <c r="O141" s="106"/>
      <c r="P141" s="106"/>
      <c r="Q141" s="106"/>
    </row>
    <row r="142" spans="1:17">
      <c r="A142" s="91"/>
      <c r="B142" s="92"/>
      <c r="C142" s="93"/>
      <c r="D142" s="94"/>
      <c r="E142" s="95"/>
      <c r="F142" s="94"/>
      <c r="G142" s="95"/>
      <c r="H142" s="96"/>
      <c r="I142" s="94"/>
      <c r="J142" s="95"/>
      <c r="K142" s="96"/>
      <c r="L142" s="106"/>
      <c r="M142" s="106"/>
      <c r="N142" s="106"/>
      <c r="O142" s="106"/>
      <c r="P142" s="106"/>
      <c r="Q142" s="106"/>
    </row>
    <row r="143" spans="1:17">
      <c r="A143" s="91"/>
      <c r="B143" s="92"/>
      <c r="C143" s="93"/>
      <c r="D143" s="94"/>
      <c r="E143" s="95"/>
      <c r="F143" s="94"/>
      <c r="G143" s="95"/>
      <c r="H143" s="96"/>
      <c r="I143" s="94"/>
      <c r="J143" s="95"/>
      <c r="K143" s="96"/>
      <c r="L143" s="106"/>
      <c r="M143" s="106"/>
      <c r="N143" s="106"/>
      <c r="O143" s="106"/>
      <c r="P143" s="106"/>
      <c r="Q143" s="106"/>
    </row>
    <row r="144" spans="1:17">
      <c r="A144" s="91"/>
      <c r="B144" s="92"/>
      <c r="C144" s="93"/>
      <c r="D144" s="94"/>
      <c r="E144" s="95"/>
      <c r="F144" s="94"/>
      <c r="G144" s="95"/>
      <c r="H144" s="96"/>
      <c r="I144" s="94"/>
      <c r="J144" s="95"/>
      <c r="K144" s="96"/>
      <c r="L144" s="106"/>
      <c r="M144" s="106"/>
      <c r="N144" s="106"/>
      <c r="O144" s="106"/>
      <c r="P144" s="106"/>
      <c r="Q144" s="106"/>
    </row>
    <row r="145" spans="1:17">
      <c r="A145" s="91"/>
      <c r="B145" s="92"/>
      <c r="C145" s="93"/>
      <c r="D145" s="94"/>
      <c r="E145" s="95"/>
      <c r="F145" s="94"/>
      <c r="G145" s="95"/>
      <c r="H145" s="96"/>
      <c r="I145" s="94"/>
      <c r="J145" s="95"/>
      <c r="K145" s="96"/>
      <c r="L145" s="106"/>
      <c r="M145" s="106"/>
      <c r="N145" s="106"/>
      <c r="O145" s="106"/>
      <c r="P145" s="106"/>
      <c r="Q145" s="106"/>
    </row>
    <row r="146" spans="1:17">
      <c r="A146" s="91"/>
      <c r="B146" s="92"/>
      <c r="C146" s="93"/>
      <c r="D146" s="94"/>
      <c r="E146" s="95"/>
      <c r="F146" s="94"/>
      <c r="G146" s="95"/>
      <c r="H146" s="96"/>
      <c r="I146" s="94"/>
      <c r="J146" s="95"/>
      <c r="K146" s="96"/>
      <c r="L146" s="106"/>
      <c r="M146" s="106"/>
      <c r="N146" s="106"/>
      <c r="O146" s="106"/>
      <c r="P146" s="106"/>
      <c r="Q146" s="106"/>
    </row>
    <row r="147" spans="1:17">
      <c r="A147" s="91"/>
      <c r="B147" s="92"/>
      <c r="C147" s="93"/>
      <c r="D147" s="94"/>
      <c r="E147" s="95"/>
      <c r="F147" s="94"/>
      <c r="G147" s="95"/>
      <c r="H147" s="96"/>
      <c r="I147" s="94"/>
      <c r="J147" s="95"/>
      <c r="K147" s="96"/>
      <c r="L147" s="106"/>
      <c r="M147" s="106"/>
      <c r="N147" s="106"/>
      <c r="O147" s="106"/>
      <c r="P147" s="106"/>
      <c r="Q147" s="106"/>
    </row>
    <row r="148" spans="1:17">
      <c r="A148" s="91"/>
      <c r="B148" s="92"/>
      <c r="C148" s="93"/>
      <c r="D148" s="94"/>
      <c r="E148" s="95"/>
      <c r="F148" s="94"/>
      <c r="G148" s="95"/>
      <c r="H148" s="96"/>
      <c r="I148" s="94"/>
      <c r="J148" s="95"/>
      <c r="K148" s="96"/>
      <c r="L148" s="106"/>
      <c r="M148" s="106"/>
      <c r="N148" s="106"/>
      <c r="O148" s="106"/>
      <c r="P148" s="106"/>
      <c r="Q148" s="106"/>
    </row>
    <row r="149" spans="1:17">
      <c r="A149" s="91"/>
      <c r="B149" s="92"/>
      <c r="C149" s="93"/>
      <c r="D149" s="94"/>
      <c r="E149" s="95"/>
      <c r="F149" s="94"/>
      <c r="G149" s="95"/>
      <c r="H149" s="96"/>
      <c r="I149" s="94"/>
      <c r="J149" s="95"/>
      <c r="K149" s="96"/>
      <c r="L149" s="106"/>
      <c r="M149" s="106"/>
      <c r="N149" s="106"/>
      <c r="O149" s="106"/>
      <c r="P149" s="106"/>
      <c r="Q149" s="106"/>
    </row>
    <row r="150" spans="1:17">
      <c r="A150" s="91"/>
      <c r="B150" s="92"/>
      <c r="C150" s="93"/>
      <c r="D150" s="94"/>
      <c r="E150" s="95"/>
      <c r="F150" s="94"/>
      <c r="G150" s="95"/>
      <c r="H150" s="96"/>
      <c r="I150" s="94"/>
      <c r="J150" s="95"/>
      <c r="K150" s="96"/>
      <c r="L150" s="106"/>
      <c r="M150" s="106"/>
      <c r="N150" s="106"/>
      <c r="O150" s="106"/>
      <c r="P150" s="106"/>
      <c r="Q150" s="106"/>
    </row>
    <row r="151" spans="1:17">
      <c r="A151" s="91"/>
      <c r="B151" s="92"/>
      <c r="C151" s="93"/>
      <c r="D151" s="94"/>
      <c r="E151" s="95"/>
      <c r="F151" s="94"/>
      <c r="G151" s="95"/>
      <c r="H151" s="96"/>
      <c r="I151" s="94"/>
      <c r="J151" s="95"/>
      <c r="K151" s="96"/>
      <c r="L151" s="106"/>
      <c r="M151" s="106"/>
      <c r="N151" s="106"/>
      <c r="O151" s="106"/>
      <c r="P151" s="106"/>
      <c r="Q151" s="106"/>
    </row>
    <row r="152" spans="1:17">
      <c r="A152" s="91"/>
      <c r="B152" s="92"/>
      <c r="C152" s="93"/>
      <c r="D152" s="94"/>
      <c r="E152" s="95"/>
      <c r="F152" s="94"/>
      <c r="G152" s="95"/>
      <c r="H152" s="96"/>
      <c r="I152" s="94"/>
      <c r="J152" s="95"/>
      <c r="K152" s="96"/>
      <c r="L152" s="106"/>
      <c r="M152" s="106"/>
      <c r="N152" s="106"/>
      <c r="O152" s="106"/>
      <c r="P152" s="106"/>
      <c r="Q152" s="106"/>
    </row>
    <row r="153" spans="1:17">
      <c r="A153" s="91"/>
      <c r="B153" s="92"/>
      <c r="C153" s="93"/>
      <c r="D153" s="94"/>
      <c r="E153" s="95"/>
      <c r="F153" s="94"/>
      <c r="G153" s="95"/>
      <c r="H153" s="96"/>
      <c r="I153" s="94"/>
      <c r="J153" s="95"/>
      <c r="K153" s="96"/>
      <c r="L153" s="106"/>
      <c r="M153" s="106"/>
      <c r="N153" s="106"/>
      <c r="O153" s="106"/>
      <c r="P153" s="106"/>
      <c r="Q153" s="106"/>
    </row>
    <row r="154" spans="1:17">
      <c r="A154" s="91"/>
      <c r="B154" s="92"/>
      <c r="C154" s="93"/>
      <c r="D154" s="94"/>
      <c r="E154" s="95"/>
      <c r="F154" s="94"/>
      <c r="G154" s="95"/>
      <c r="H154" s="96"/>
      <c r="I154" s="94"/>
      <c r="J154" s="95"/>
      <c r="K154" s="96"/>
      <c r="L154" s="106"/>
      <c r="M154" s="106"/>
      <c r="N154" s="106"/>
      <c r="O154" s="106"/>
      <c r="P154" s="106"/>
      <c r="Q154" s="106"/>
    </row>
    <row r="155" spans="1:17">
      <c r="A155" s="91"/>
      <c r="B155" s="92"/>
      <c r="C155" s="93"/>
      <c r="D155" s="94"/>
      <c r="E155" s="95"/>
      <c r="F155" s="94"/>
      <c r="G155" s="95"/>
      <c r="H155" s="96"/>
      <c r="I155" s="94"/>
      <c r="J155" s="95"/>
      <c r="K155" s="96"/>
      <c r="L155" s="106"/>
      <c r="M155" s="106"/>
      <c r="N155" s="106"/>
      <c r="O155" s="106"/>
      <c r="P155" s="106"/>
      <c r="Q155" s="106"/>
    </row>
    <row r="156" spans="1:17">
      <c r="A156" s="91"/>
      <c r="B156" s="92"/>
      <c r="C156" s="93"/>
      <c r="D156" s="94"/>
      <c r="E156" s="95"/>
      <c r="F156" s="94"/>
      <c r="G156" s="95"/>
      <c r="H156" s="96"/>
      <c r="I156" s="94"/>
      <c r="J156" s="95"/>
      <c r="K156" s="96"/>
      <c r="L156" s="106"/>
      <c r="M156" s="106"/>
      <c r="N156" s="106"/>
      <c r="O156" s="106"/>
      <c r="P156" s="106"/>
      <c r="Q156" s="106"/>
    </row>
    <row r="157" spans="1:17">
      <c r="A157" s="91"/>
      <c r="B157" s="92"/>
      <c r="C157" s="93"/>
      <c r="D157" s="94"/>
      <c r="E157" s="95"/>
      <c r="F157" s="94"/>
      <c r="G157" s="95"/>
      <c r="H157" s="96"/>
      <c r="I157" s="94"/>
      <c r="J157" s="95"/>
      <c r="K157" s="96"/>
      <c r="L157" s="106"/>
      <c r="M157" s="106"/>
      <c r="N157" s="106"/>
      <c r="O157" s="106"/>
      <c r="P157" s="106"/>
      <c r="Q157" s="106"/>
    </row>
    <row r="158" spans="1:17">
      <c r="A158" s="91"/>
      <c r="B158" s="92"/>
      <c r="C158" s="93"/>
      <c r="D158" s="94"/>
      <c r="E158" s="95"/>
      <c r="F158" s="94"/>
      <c r="G158" s="95"/>
      <c r="H158" s="96"/>
      <c r="I158" s="94"/>
      <c r="J158" s="95"/>
      <c r="K158" s="96"/>
      <c r="L158" s="106"/>
      <c r="M158" s="106"/>
      <c r="N158" s="106"/>
      <c r="O158" s="106"/>
      <c r="P158" s="106"/>
      <c r="Q158" s="106"/>
    </row>
    <row r="159" spans="1:17">
      <c r="A159" s="91"/>
      <c r="B159" s="92"/>
      <c r="C159" s="93"/>
      <c r="D159" s="94"/>
      <c r="E159" s="95"/>
      <c r="F159" s="94"/>
      <c r="G159" s="95"/>
      <c r="H159" s="96"/>
      <c r="I159" s="94"/>
      <c r="J159" s="95"/>
      <c r="K159" s="96"/>
      <c r="L159" s="106"/>
      <c r="M159" s="106"/>
      <c r="N159" s="106"/>
      <c r="O159" s="106"/>
      <c r="P159" s="106"/>
      <c r="Q159" s="106"/>
    </row>
    <row r="160" spans="1:17">
      <c r="A160" s="91"/>
      <c r="B160" s="92"/>
      <c r="C160" s="93"/>
      <c r="D160" s="94"/>
      <c r="E160" s="95"/>
      <c r="F160" s="94"/>
      <c r="G160" s="95"/>
      <c r="H160" s="96"/>
      <c r="I160" s="94"/>
      <c r="J160" s="95"/>
      <c r="K160" s="96"/>
      <c r="L160" s="106"/>
      <c r="M160" s="106"/>
      <c r="N160" s="106"/>
      <c r="O160" s="106"/>
      <c r="P160" s="106"/>
      <c r="Q160" s="106"/>
    </row>
    <row r="161" spans="1:17">
      <c r="A161" s="91"/>
      <c r="B161" s="92"/>
      <c r="C161" s="93"/>
      <c r="D161" s="94"/>
      <c r="E161" s="95"/>
      <c r="F161" s="94"/>
      <c r="G161" s="95"/>
      <c r="H161" s="96"/>
      <c r="I161" s="94"/>
      <c r="J161" s="95"/>
      <c r="K161" s="96"/>
      <c r="L161" s="106"/>
      <c r="M161" s="106"/>
      <c r="N161" s="106"/>
      <c r="O161" s="106"/>
      <c r="P161" s="106"/>
      <c r="Q161" s="106"/>
    </row>
    <row r="162" spans="1:17">
      <c r="A162" s="91"/>
      <c r="B162" s="92"/>
      <c r="C162" s="93"/>
      <c r="D162" s="94"/>
      <c r="E162" s="95"/>
      <c r="F162" s="94"/>
      <c r="G162" s="95"/>
      <c r="H162" s="96"/>
      <c r="I162" s="94"/>
      <c r="J162" s="95"/>
      <c r="K162" s="96"/>
      <c r="L162" s="106"/>
      <c r="M162" s="106"/>
      <c r="N162" s="106"/>
      <c r="O162" s="106"/>
      <c r="P162" s="106"/>
      <c r="Q162" s="106"/>
    </row>
    <row r="163" spans="1:17">
      <c r="A163" s="91"/>
      <c r="B163" s="92"/>
      <c r="C163" s="93"/>
      <c r="D163" s="94"/>
      <c r="E163" s="95"/>
      <c r="F163" s="94"/>
      <c r="G163" s="95"/>
      <c r="H163" s="96"/>
      <c r="I163" s="94"/>
      <c r="J163" s="95"/>
      <c r="K163" s="96"/>
      <c r="L163" s="106"/>
      <c r="M163" s="106"/>
      <c r="N163" s="106"/>
      <c r="O163" s="106"/>
      <c r="P163" s="106"/>
      <c r="Q163" s="106"/>
    </row>
    <row r="164" spans="1:17">
      <c r="A164" s="91"/>
      <c r="B164" s="92"/>
      <c r="C164" s="93"/>
      <c r="D164" s="94"/>
      <c r="E164" s="95"/>
      <c r="F164" s="94"/>
      <c r="G164" s="95"/>
      <c r="H164" s="96"/>
      <c r="I164" s="94"/>
      <c r="J164" s="95"/>
      <c r="K164" s="96"/>
      <c r="L164" s="106"/>
      <c r="M164" s="106"/>
      <c r="N164" s="106"/>
      <c r="O164" s="106"/>
      <c r="P164" s="106"/>
      <c r="Q164" s="106"/>
    </row>
    <row r="165" spans="1:17">
      <c r="A165" s="91"/>
      <c r="B165" s="92"/>
      <c r="C165" s="93"/>
      <c r="D165" s="94"/>
      <c r="E165" s="95"/>
      <c r="F165" s="94"/>
      <c r="G165" s="95"/>
      <c r="H165" s="96"/>
      <c r="I165" s="94"/>
      <c r="J165" s="95"/>
      <c r="K165" s="96"/>
      <c r="L165" s="106"/>
      <c r="M165" s="106"/>
      <c r="N165" s="106"/>
      <c r="O165" s="106"/>
      <c r="P165" s="106"/>
      <c r="Q165" s="106"/>
    </row>
    <row r="166" spans="1:17">
      <c r="A166" s="91"/>
      <c r="B166" s="92"/>
      <c r="C166" s="93"/>
      <c r="D166" s="94"/>
      <c r="E166" s="95"/>
      <c r="F166" s="94"/>
      <c r="G166" s="95"/>
      <c r="H166" s="96"/>
      <c r="I166" s="94"/>
      <c r="J166" s="95"/>
      <c r="K166" s="96"/>
      <c r="L166" s="106"/>
      <c r="M166" s="106"/>
      <c r="N166" s="106"/>
      <c r="O166" s="106"/>
      <c r="P166" s="106"/>
      <c r="Q166" s="106"/>
    </row>
    <row r="167" spans="1:17">
      <c r="A167" s="91"/>
      <c r="B167" s="92"/>
      <c r="C167" s="93"/>
      <c r="D167" s="94"/>
      <c r="E167" s="95"/>
      <c r="F167" s="94"/>
      <c r="G167" s="95"/>
      <c r="H167" s="96"/>
      <c r="I167" s="94"/>
      <c r="J167" s="95"/>
      <c r="K167" s="96"/>
      <c r="L167" s="106"/>
      <c r="M167" s="106"/>
      <c r="N167" s="106"/>
      <c r="O167" s="106"/>
      <c r="P167" s="106"/>
      <c r="Q167" s="106"/>
    </row>
    <row r="168" spans="1:17">
      <c r="A168" s="91"/>
      <c r="B168" s="92"/>
      <c r="C168" s="93"/>
      <c r="D168" s="94"/>
      <c r="E168" s="95"/>
      <c r="F168" s="94"/>
      <c r="G168" s="95"/>
      <c r="H168" s="96"/>
      <c r="I168" s="94"/>
      <c r="J168" s="95"/>
      <c r="K168" s="96"/>
      <c r="L168" s="106"/>
      <c r="M168" s="106"/>
      <c r="N168" s="106"/>
      <c r="O168" s="106"/>
      <c r="P168" s="106"/>
      <c r="Q168" s="106"/>
    </row>
    <row r="169" spans="1:17">
      <c r="A169" s="91"/>
      <c r="B169" s="92"/>
      <c r="C169" s="93"/>
      <c r="D169" s="94"/>
      <c r="E169" s="95"/>
      <c r="F169" s="94"/>
      <c r="G169" s="95"/>
      <c r="H169" s="96"/>
      <c r="I169" s="94"/>
      <c r="J169" s="95"/>
      <c r="K169" s="96"/>
      <c r="L169" s="106"/>
      <c r="M169" s="106"/>
      <c r="N169" s="106"/>
      <c r="O169" s="106"/>
      <c r="P169" s="106"/>
      <c r="Q169" s="106"/>
    </row>
    <row r="170" spans="1:17">
      <c r="A170" s="91"/>
      <c r="B170" s="92"/>
      <c r="C170" s="93"/>
      <c r="D170" s="94"/>
      <c r="E170" s="95"/>
      <c r="F170" s="94"/>
      <c r="G170" s="95"/>
      <c r="H170" s="96"/>
      <c r="I170" s="94"/>
      <c r="J170" s="95"/>
      <c r="K170" s="96"/>
      <c r="L170" s="106"/>
      <c r="M170" s="106"/>
      <c r="N170" s="106"/>
      <c r="O170" s="106"/>
      <c r="P170" s="106"/>
      <c r="Q170" s="106"/>
    </row>
    <row r="171" spans="1:17">
      <c r="A171" s="91"/>
      <c r="B171" s="92"/>
      <c r="C171" s="93"/>
      <c r="D171" s="94"/>
      <c r="E171" s="95"/>
      <c r="F171" s="94"/>
      <c r="G171" s="95"/>
      <c r="H171" s="96"/>
      <c r="I171" s="94"/>
      <c r="J171" s="95"/>
      <c r="K171" s="96"/>
      <c r="L171" s="106"/>
      <c r="M171" s="106"/>
      <c r="N171" s="106"/>
      <c r="O171" s="106"/>
      <c r="P171" s="106"/>
      <c r="Q171" s="106"/>
    </row>
    <row r="172" spans="1:17">
      <c r="A172" s="91"/>
      <c r="B172" s="92"/>
      <c r="C172" s="93"/>
      <c r="D172" s="94"/>
      <c r="E172" s="95"/>
      <c r="F172" s="94"/>
      <c r="G172" s="95"/>
      <c r="H172" s="96"/>
      <c r="I172" s="94"/>
      <c r="J172" s="95"/>
      <c r="K172" s="96"/>
      <c r="L172" s="106"/>
      <c r="M172" s="106"/>
      <c r="N172" s="106"/>
      <c r="O172" s="106"/>
      <c r="P172" s="106"/>
      <c r="Q172" s="106"/>
    </row>
    <row r="173" spans="1:17">
      <c r="A173" s="91"/>
      <c r="B173" s="92"/>
      <c r="C173" s="93"/>
      <c r="D173" s="94"/>
      <c r="E173" s="95"/>
      <c r="F173" s="94"/>
      <c r="G173" s="95"/>
      <c r="H173" s="96"/>
      <c r="I173" s="94"/>
      <c r="J173" s="95"/>
      <c r="K173" s="96"/>
      <c r="L173" s="106"/>
      <c r="M173" s="106"/>
      <c r="N173" s="106"/>
      <c r="O173" s="106"/>
      <c r="P173" s="106"/>
      <c r="Q173" s="106"/>
    </row>
    <row r="174" spans="1:17">
      <c r="A174" s="91"/>
      <c r="B174" s="92"/>
      <c r="C174" s="93"/>
      <c r="D174" s="94"/>
      <c r="E174" s="95"/>
      <c r="F174" s="94"/>
      <c r="G174" s="95"/>
      <c r="H174" s="96"/>
      <c r="I174" s="94"/>
      <c r="J174" s="95"/>
      <c r="K174" s="96"/>
      <c r="L174" s="106"/>
      <c r="M174" s="106"/>
      <c r="N174" s="106"/>
      <c r="O174" s="106"/>
      <c r="P174" s="106"/>
      <c r="Q174" s="106"/>
    </row>
    <row r="175" spans="1:17">
      <c r="A175" s="91"/>
      <c r="B175" s="92"/>
      <c r="C175" s="93"/>
      <c r="D175" s="94"/>
      <c r="E175" s="95"/>
      <c r="F175" s="94"/>
      <c r="G175" s="95"/>
      <c r="H175" s="96"/>
      <c r="I175" s="94"/>
      <c r="J175" s="95"/>
      <c r="K175" s="96"/>
      <c r="L175" s="106"/>
      <c r="M175" s="106"/>
      <c r="N175" s="106"/>
      <c r="O175" s="106"/>
      <c r="P175" s="106"/>
      <c r="Q175" s="106"/>
    </row>
    <row r="176" spans="1:17">
      <c r="A176" s="91"/>
      <c r="B176" s="92"/>
      <c r="C176" s="93"/>
      <c r="D176" s="94"/>
      <c r="E176" s="95"/>
      <c r="F176" s="94"/>
      <c r="G176" s="95"/>
      <c r="H176" s="96"/>
      <c r="I176" s="94"/>
      <c r="J176" s="95"/>
      <c r="K176" s="96"/>
      <c r="L176" s="106"/>
      <c r="M176" s="106"/>
      <c r="N176" s="106"/>
      <c r="O176" s="106"/>
      <c r="P176" s="106"/>
      <c r="Q176" s="106"/>
    </row>
    <row r="177" spans="1:17">
      <c r="A177" s="91"/>
      <c r="B177" s="92"/>
      <c r="C177" s="93"/>
      <c r="D177" s="94"/>
      <c r="E177" s="95"/>
      <c r="F177" s="94"/>
      <c r="G177" s="95"/>
      <c r="H177" s="96"/>
      <c r="I177" s="94"/>
      <c r="J177" s="95"/>
      <c r="K177" s="96"/>
      <c r="L177" s="106"/>
      <c r="M177" s="106"/>
      <c r="N177" s="106"/>
      <c r="O177" s="106"/>
      <c r="P177" s="106"/>
      <c r="Q177" s="106"/>
    </row>
    <row r="178" spans="1:17">
      <c r="A178" s="91"/>
      <c r="B178" s="92"/>
      <c r="C178" s="93"/>
      <c r="D178" s="94"/>
      <c r="E178" s="95"/>
      <c r="F178" s="94"/>
      <c r="G178" s="95"/>
      <c r="H178" s="96"/>
      <c r="I178" s="94"/>
      <c r="J178" s="95"/>
      <c r="K178" s="96"/>
      <c r="L178" s="106"/>
      <c r="M178" s="106"/>
      <c r="N178" s="106"/>
      <c r="O178" s="106"/>
      <c r="P178" s="106"/>
      <c r="Q178" s="106"/>
    </row>
    <row r="179" spans="1:17">
      <c r="A179" s="91"/>
      <c r="B179" s="92"/>
      <c r="C179" s="93"/>
      <c r="D179" s="94"/>
      <c r="E179" s="95"/>
      <c r="F179" s="94"/>
      <c r="G179" s="95"/>
      <c r="H179" s="96"/>
      <c r="I179" s="94"/>
      <c r="J179" s="95"/>
      <c r="K179" s="96"/>
      <c r="L179" s="106"/>
      <c r="M179" s="106"/>
      <c r="N179" s="106"/>
      <c r="O179" s="106"/>
      <c r="P179" s="106"/>
      <c r="Q179" s="106"/>
    </row>
    <row r="180" spans="1:17">
      <c r="A180" s="91"/>
      <c r="B180" s="92"/>
      <c r="C180" s="93"/>
      <c r="D180" s="94"/>
      <c r="E180" s="95"/>
      <c r="F180" s="94"/>
      <c r="G180" s="95"/>
      <c r="H180" s="96"/>
      <c r="I180" s="94"/>
      <c r="J180" s="95"/>
      <c r="K180" s="96"/>
      <c r="L180" s="106"/>
      <c r="M180" s="106"/>
      <c r="N180" s="106"/>
      <c r="O180" s="106"/>
      <c r="P180" s="106"/>
      <c r="Q180" s="106"/>
    </row>
    <row r="181" spans="1:17">
      <c r="A181" s="91"/>
      <c r="B181" s="92"/>
      <c r="C181" s="93"/>
      <c r="D181" s="94"/>
      <c r="E181" s="95"/>
      <c r="F181" s="94"/>
      <c r="G181" s="95"/>
      <c r="H181" s="96"/>
      <c r="I181" s="94"/>
      <c r="J181" s="95"/>
      <c r="K181" s="96"/>
      <c r="L181" s="106"/>
      <c r="M181" s="106"/>
      <c r="N181" s="106"/>
      <c r="O181" s="106"/>
      <c r="P181" s="106"/>
      <c r="Q181" s="106"/>
    </row>
    <row r="182" spans="1:17">
      <c r="A182" s="91"/>
      <c r="B182" s="92"/>
      <c r="C182" s="93"/>
      <c r="D182" s="94"/>
      <c r="E182" s="95"/>
      <c r="F182" s="94"/>
      <c r="G182" s="95"/>
      <c r="H182" s="96"/>
      <c r="I182" s="94"/>
      <c r="J182" s="95"/>
      <c r="K182" s="96"/>
      <c r="L182" s="106"/>
      <c r="M182" s="106"/>
      <c r="N182" s="106"/>
      <c r="O182" s="106"/>
      <c r="P182" s="106"/>
      <c r="Q182" s="106"/>
    </row>
    <row r="183" spans="1:17">
      <c r="A183" s="91"/>
      <c r="B183" s="92"/>
      <c r="C183" s="93"/>
      <c r="D183" s="94"/>
      <c r="E183" s="95"/>
      <c r="F183" s="94"/>
      <c r="G183" s="95"/>
      <c r="H183" s="96"/>
      <c r="I183" s="94"/>
      <c r="J183" s="95"/>
      <c r="K183" s="96"/>
      <c r="L183" s="106"/>
      <c r="M183" s="106"/>
      <c r="N183" s="106"/>
      <c r="O183" s="106"/>
      <c r="P183" s="106"/>
      <c r="Q183" s="106"/>
    </row>
    <row r="184" spans="1:17">
      <c r="A184" s="91"/>
      <c r="B184" s="92"/>
      <c r="C184" s="93"/>
      <c r="D184" s="94"/>
      <c r="E184" s="95"/>
      <c r="F184" s="94"/>
      <c r="G184" s="95"/>
      <c r="H184" s="96"/>
      <c r="I184" s="94"/>
      <c r="J184" s="95"/>
      <c r="K184" s="96"/>
      <c r="L184" s="106"/>
      <c r="M184" s="106"/>
      <c r="N184" s="106"/>
      <c r="O184" s="106"/>
      <c r="P184" s="106"/>
      <c r="Q184" s="106"/>
    </row>
    <row r="185" spans="1:17">
      <c r="A185" s="91"/>
      <c r="B185" s="92"/>
      <c r="C185" s="93"/>
      <c r="D185" s="94"/>
      <c r="E185" s="95"/>
      <c r="F185" s="94"/>
      <c r="G185" s="95"/>
      <c r="H185" s="96"/>
      <c r="I185" s="94"/>
      <c r="J185" s="95"/>
      <c r="K185" s="96"/>
      <c r="L185" s="106"/>
      <c r="M185" s="106"/>
      <c r="N185" s="106"/>
      <c r="O185" s="106"/>
      <c r="P185" s="106"/>
      <c r="Q185" s="106"/>
    </row>
    <row r="186" spans="1:17">
      <c r="A186" s="91"/>
      <c r="B186" s="92"/>
      <c r="C186" s="93"/>
      <c r="D186" s="94"/>
      <c r="E186" s="95"/>
      <c r="F186" s="94"/>
      <c r="G186" s="95"/>
      <c r="H186" s="96"/>
      <c r="I186" s="94"/>
      <c r="J186" s="95"/>
      <c r="K186" s="96"/>
      <c r="L186" s="106"/>
      <c r="M186" s="106"/>
      <c r="N186" s="106"/>
      <c r="O186" s="106"/>
      <c r="P186" s="106"/>
      <c r="Q186" s="106"/>
    </row>
    <row r="187" spans="1:17">
      <c r="A187" s="91"/>
      <c r="B187" s="92"/>
      <c r="C187" s="93"/>
      <c r="D187" s="94"/>
      <c r="E187" s="95"/>
      <c r="F187" s="94"/>
      <c r="G187" s="95"/>
      <c r="H187" s="96"/>
      <c r="I187" s="94"/>
      <c r="J187" s="95"/>
      <c r="K187" s="96"/>
      <c r="L187" s="106"/>
      <c r="M187" s="106"/>
      <c r="N187" s="106"/>
      <c r="O187" s="106"/>
      <c r="P187" s="106"/>
      <c r="Q187" s="106"/>
    </row>
    <row r="188" spans="1:17">
      <c r="A188" s="91"/>
      <c r="B188" s="92"/>
      <c r="C188" s="93"/>
      <c r="D188" s="94"/>
      <c r="E188" s="95"/>
      <c r="F188" s="94"/>
      <c r="G188" s="95"/>
      <c r="H188" s="96"/>
      <c r="I188" s="94"/>
      <c r="J188" s="95"/>
      <c r="K188" s="96"/>
      <c r="L188" s="106"/>
      <c r="M188" s="106"/>
      <c r="N188" s="106"/>
      <c r="O188" s="106"/>
      <c r="P188" s="106"/>
      <c r="Q188" s="106"/>
    </row>
    <row r="189" spans="1:17">
      <c r="A189" s="91"/>
      <c r="B189" s="92"/>
      <c r="C189" s="93"/>
      <c r="D189" s="94"/>
      <c r="E189" s="95"/>
      <c r="F189" s="94"/>
      <c r="G189" s="95"/>
      <c r="H189" s="96"/>
      <c r="I189" s="94"/>
      <c r="J189" s="95"/>
      <c r="K189" s="96"/>
      <c r="L189" s="106"/>
      <c r="M189" s="106"/>
      <c r="N189" s="106"/>
      <c r="O189" s="106"/>
      <c r="P189" s="106"/>
      <c r="Q189" s="106"/>
    </row>
    <row r="190" spans="1:17">
      <c r="A190" s="91"/>
      <c r="B190" s="92"/>
      <c r="C190" s="93"/>
      <c r="D190" s="94"/>
      <c r="E190" s="95"/>
      <c r="F190" s="94"/>
      <c r="G190" s="95"/>
      <c r="H190" s="96"/>
      <c r="I190" s="94"/>
      <c r="J190" s="95"/>
      <c r="K190" s="96"/>
      <c r="L190" s="106"/>
      <c r="M190" s="106"/>
      <c r="N190" s="106"/>
      <c r="O190" s="106"/>
      <c r="P190" s="106"/>
      <c r="Q190" s="106"/>
    </row>
    <row r="191" spans="1:17">
      <c r="A191" s="91"/>
      <c r="B191" s="92"/>
      <c r="C191" s="93"/>
      <c r="D191" s="94"/>
      <c r="E191" s="95"/>
      <c r="F191" s="94"/>
      <c r="G191" s="95"/>
      <c r="H191" s="96"/>
      <c r="I191" s="94"/>
      <c r="J191" s="95"/>
      <c r="K191" s="96"/>
      <c r="L191" s="106"/>
      <c r="M191" s="106"/>
      <c r="N191" s="106"/>
      <c r="O191" s="106"/>
      <c r="P191" s="106"/>
      <c r="Q191" s="106"/>
    </row>
    <row r="192" spans="1:17">
      <c r="A192" s="91"/>
      <c r="B192" s="92"/>
      <c r="C192" s="93"/>
      <c r="D192" s="94"/>
      <c r="E192" s="95"/>
      <c r="F192" s="94"/>
      <c r="G192" s="95"/>
      <c r="H192" s="96"/>
      <c r="I192" s="94"/>
      <c r="J192" s="95"/>
      <c r="K192" s="96"/>
      <c r="L192" s="106"/>
      <c r="M192" s="106"/>
      <c r="N192" s="106"/>
      <c r="O192" s="106"/>
      <c r="P192" s="106"/>
      <c r="Q192" s="106"/>
    </row>
    <row r="193" spans="1:17">
      <c r="A193" s="91"/>
      <c r="B193" s="92"/>
      <c r="C193" s="93"/>
      <c r="D193" s="94"/>
      <c r="E193" s="95"/>
      <c r="F193" s="94"/>
      <c r="G193" s="95"/>
      <c r="H193" s="96"/>
      <c r="I193" s="94"/>
      <c r="J193" s="95"/>
      <c r="K193" s="96"/>
      <c r="L193" s="106"/>
      <c r="M193" s="106"/>
      <c r="N193" s="106"/>
      <c r="O193" s="106"/>
      <c r="P193" s="106"/>
      <c r="Q193" s="106"/>
    </row>
    <row r="194" spans="1:17">
      <c r="A194" s="91"/>
      <c r="B194" s="92"/>
      <c r="C194" s="93"/>
      <c r="D194" s="94"/>
      <c r="E194" s="95"/>
      <c r="F194" s="94"/>
      <c r="G194" s="95"/>
      <c r="H194" s="96"/>
      <c r="I194" s="94"/>
      <c r="J194" s="95"/>
      <c r="K194" s="96"/>
      <c r="L194" s="106"/>
      <c r="M194" s="106"/>
      <c r="N194" s="106"/>
      <c r="O194" s="106"/>
      <c r="P194" s="106"/>
      <c r="Q194" s="106"/>
    </row>
    <row r="195" spans="1:17">
      <c r="A195" s="91"/>
      <c r="B195" s="92"/>
      <c r="C195" s="93"/>
      <c r="D195" s="94"/>
      <c r="E195" s="95"/>
      <c r="F195" s="94"/>
      <c r="G195" s="95"/>
      <c r="H195" s="96"/>
      <c r="I195" s="94"/>
      <c r="J195" s="95"/>
      <c r="K195" s="96"/>
      <c r="L195" s="106"/>
      <c r="M195" s="106"/>
      <c r="N195" s="106"/>
      <c r="O195" s="106"/>
      <c r="P195" s="106"/>
      <c r="Q195" s="106"/>
    </row>
    <row r="196" spans="1:17">
      <c r="A196" s="91"/>
      <c r="B196" s="92"/>
      <c r="C196" s="93"/>
      <c r="D196" s="94"/>
      <c r="E196" s="95"/>
      <c r="F196" s="94"/>
      <c r="G196" s="95"/>
      <c r="H196" s="96"/>
      <c r="I196" s="94"/>
      <c r="J196" s="95"/>
      <c r="K196" s="96"/>
      <c r="L196" s="106"/>
      <c r="M196" s="106"/>
      <c r="N196" s="106"/>
      <c r="O196" s="106"/>
      <c r="P196" s="106"/>
      <c r="Q196" s="106"/>
    </row>
    <row r="197" spans="1:17">
      <c r="A197" s="91"/>
      <c r="B197" s="92"/>
      <c r="C197" s="93"/>
      <c r="D197" s="94"/>
      <c r="E197" s="95"/>
      <c r="F197" s="94"/>
      <c r="G197" s="95"/>
      <c r="H197" s="96"/>
      <c r="I197" s="94"/>
      <c r="J197" s="95"/>
      <c r="K197" s="96"/>
      <c r="L197" s="106"/>
      <c r="M197" s="106"/>
      <c r="N197" s="106"/>
      <c r="O197" s="106"/>
      <c r="P197" s="106"/>
      <c r="Q197" s="106"/>
    </row>
    <row r="198" spans="1:17">
      <c r="A198" s="91"/>
      <c r="B198" s="92"/>
      <c r="C198" s="93"/>
      <c r="D198" s="94"/>
      <c r="E198" s="95"/>
      <c r="F198" s="94"/>
      <c r="G198" s="95"/>
      <c r="H198" s="96"/>
      <c r="I198" s="94"/>
      <c r="J198" s="95"/>
      <c r="K198" s="96"/>
      <c r="L198" s="106"/>
      <c r="M198" s="106"/>
      <c r="N198" s="106"/>
      <c r="O198" s="106"/>
      <c r="P198" s="106"/>
      <c r="Q198" s="106"/>
    </row>
    <row r="199" spans="1:17">
      <c r="A199" s="91"/>
      <c r="B199" s="92"/>
      <c r="C199" s="93"/>
      <c r="D199" s="94"/>
      <c r="E199" s="95"/>
      <c r="F199" s="94"/>
      <c r="G199" s="95"/>
      <c r="H199" s="96"/>
      <c r="I199" s="94"/>
      <c r="J199" s="95"/>
      <c r="K199" s="96"/>
      <c r="L199" s="106"/>
      <c r="M199" s="106"/>
      <c r="N199" s="106"/>
      <c r="O199" s="106"/>
      <c r="P199" s="106"/>
      <c r="Q199" s="106"/>
    </row>
    <row r="200" spans="1:17">
      <c r="A200" s="91"/>
      <c r="B200" s="92"/>
      <c r="C200" s="93"/>
      <c r="D200" s="94"/>
      <c r="E200" s="95"/>
      <c r="F200" s="94"/>
      <c r="G200" s="95"/>
      <c r="H200" s="96"/>
      <c r="I200" s="94"/>
      <c r="J200" s="95"/>
      <c r="K200" s="96"/>
      <c r="L200" s="106"/>
      <c r="M200" s="106"/>
      <c r="N200" s="106"/>
      <c r="O200" s="106"/>
      <c r="P200" s="106"/>
      <c r="Q200" s="106"/>
    </row>
    <row r="201" spans="1:17">
      <c r="A201" s="91"/>
      <c r="B201" s="92"/>
      <c r="C201" s="93"/>
      <c r="D201" s="94"/>
      <c r="E201" s="95"/>
      <c r="F201" s="94"/>
      <c r="G201" s="95"/>
      <c r="H201" s="96"/>
      <c r="I201" s="94"/>
      <c r="J201" s="95"/>
      <c r="K201" s="96"/>
      <c r="L201" s="106"/>
      <c r="M201" s="106"/>
      <c r="N201" s="106"/>
      <c r="O201" s="106"/>
      <c r="P201" s="106"/>
      <c r="Q201" s="106"/>
    </row>
    <row r="202" spans="1:17">
      <c r="A202" s="91"/>
      <c r="B202" s="92"/>
      <c r="C202" s="93"/>
      <c r="D202" s="94"/>
      <c r="E202" s="95"/>
      <c r="F202" s="94"/>
      <c r="G202" s="95"/>
      <c r="H202" s="96"/>
      <c r="I202" s="94"/>
      <c r="J202" s="95"/>
      <c r="K202" s="96"/>
      <c r="L202" s="106"/>
      <c r="M202" s="106"/>
      <c r="N202" s="106"/>
      <c r="O202" s="106"/>
      <c r="P202" s="106"/>
      <c r="Q202" s="106"/>
    </row>
    <row r="203" spans="1:17">
      <c r="A203" s="91"/>
      <c r="B203" s="92"/>
      <c r="C203" s="93"/>
      <c r="D203" s="94"/>
      <c r="E203" s="95"/>
      <c r="F203" s="94"/>
      <c r="G203" s="95"/>
      <c r="H203" s="96"/>
      <c r="I203" s="94"/>
      <c r="J203" s="95"/>
      <c r="K203" s="96"/>
      <c r="L203" s="106"/>
      <c r="M203" s="106"/>
      <c r="N203" s="106"/>
      <c r="O203" s="106"/>
      <c r="P203" s="106"/>
      <c r="Q203" s="106"/>
    </row>
    <row r="204" spans="1:17">
      <c r="A204" s="91"/>
      <c r="B204" s="92"/>
      <c r="C204" s="93"/>
      <c r="D204" s="94"/>
      <c r="E204" s="95"/>
      <c r="F204" s="94"/>
      <c r="G204" s="95"/>
      <c r="H204" s="96"/>
      <c r="I204" s="94"/>
      <c r="J204" s="95"/>
      <c r="K204" s="96"/>
      <c r="L204" s="106"/>
      <c r="M204" s="106"/>
      <c r="N204" s="106"/>
      <c r="O204" s="106"/>
      <c r="P204" s="106"/>
      <c r="Q204" s="106"/>
    </row>
    <row r="205" spans="1:17">
      <c r="A205" s="91"/>
      <c r="B205" s="92"/>
      <c r="C205" s="93"/>
      <c r="D205" s="94"/>
      <c r="E205" s="95"/>
      <c r="F205" s="94"/>
      <c r="G205" s="95"/>
      <c r="H205" s="96"/>
      <c r="I205" s="94"/>
      <c r="J205" s="95"/>
      <c r="K205" s="96"/>
      <c r="L205" s="106"/>
      <c r="M205" s="106"/>
      <c r="N205" s="106"/>
      <c r="O205" s="106"/>
      <c r="P205" s="106"/>
      <c r="Q205" s="106"/>
    </row>
    <row r="206" spans="1:17">
      <c r="A206" s="91"/>
      <c r="B206" s="92"/>
      <c r="C206" s="93"/>
      <c r="D206" s="94"/>
      <c r="E206" s="95"/>
      <c r="F206" s="94"/>
      <c r="G206" s="95"/>
      <c r="H206" s="96"/>
      <c r="I206" s="94"/>
      <c r="J206" s="95"/>
      <c r="K206" s="96"/>
      <c r="L206" s="106"/>
      <c r="M206" s="106"/>
      <c r="N206" s="106"/>
      <c r="O206" s="106"/>
      <c r="P206" s="106"/>
      <c r="Q206" s="106"/>
    </row>
    <row r="207" spans="1:17">
      <c r="A207" s="91"/>
      <c r="B207" s="92"/>
      <c r="C207" s="93"/>
      <c r="D207" s="94"/>
      <c r="E207" s="95"/>
      <c r="F207" s="94"/>
      <c r="G207" s="95"/>
      <c r="H207" s="96"/>
      <c r="I207" s="94"/>
      <c r="J207" s="95"/>
      <c r="K207" s="96"/>
      <c r="L207" s="106"/>
      <c r="M207" s="106"/>
      <c r="N207" s="106"/>
      <c r="O207" s="106"/>
      <c r="P207" s="106"/>
      <c r="Q207" s="106"/>
    </row>
    <row r="208" spans="1:17">
      <c r="A208" s="91"/>
      <c r="B208" s="92"/>
      <c r="C208" s="93"/>
      <c r="D208" s="94"/>
      <c r="E208" s="95"/>
      <c r="F208" s="94"/>
      <c r="G208" s="95"/>
      <c r="H208" s="96"/>
      <c r="I208" s="94"/>
      <c r="J208" s="95"/>
      <c r="K208" s="96"/>
      <c r="L208" s="106"/>
      <c r="M208" s="106"/>
      <c r="N208" s="106"/>
      <c r="O208" s="106"/>
      <c r="P208" s="106"/>
      <c r="Q208" s="106"/>
    </row>
    <row r="209" spans="1:17">
      <c r="A209" s="91"/>
      <c r="B209" s="92"/>
      <c r="C209" s="93"/>
      <c r="D209" s="94"/>
      <c r="E209" s="95"/>
      <c r="F209" s="94"/>
      <c r="G209" s="95"/>
      <c r="H209" s="96"/>
      <c r="I209" s="94"/>
      <c r="J209" s="95"/>
      <c r="K209" s="96"/>
      <c r="L209" s="106"/>
      <c r="M209" s="106"/>
      <c r="N209" s="106"/>
      <c r="O209" s="106"/>
      <c r="P209" s="106"/>
      <c r="Q209" s="106"/>
    </row>
    <row r="210" spans="1:17">
      <c r="A210" s="91"/>
      <c r="B210" s="92"/>
      <c r="C210" s="93"/>
      <c r="D210" s="94"/>
      <c r="E210" s="95"/>
      <c r="F210" s="94"/>
      <c r="G210" s="95"/>
      <c r="H210" s="96"/>
      <c r="I210" s="94"/>
      <c r="J210" s="95"/>
      <c r="K210" s="96"/>
      <c r="L210" s="106"/>
      <c r="M210" s="106"/>
      <c r="N210" s="106"/>
      <c r="O210" s="106"/>
      <c r="P210" s="106"/>
      <c r="Q210" s="106"/>
    </row>
    <row r="211" spans="1:17">
      <c r="A211" s="91"/>
      <c r="B211" s="92"/>
      <c r="C211" s="93"/>
      <c r="D211" s="94"/>
      <c r="E211" s="95"/>
      <c r="F211" s="94"/>
      <c r="G211" s="95"/>
      <c r="H211" s="96"/>
      <c r="I211" s="94"/>
      <c r="J211" s="95"/>
      <c r="K211" s="96"/>
      <c r="L211" s="106"/>
      <c r="M211" s="106"/>
      <c r="N211" s="106"/>
      <c r="O211" s="106"/>
      <c r="P211" s="106"/>
      <c r="Q211" s="106"/>
    </row>
    <row r="212" spans="1:17">
      <c r="A212" s="91"/>
      <c r="B212" s="92"/>
      <c r="C212" s="93"/>
      <c r="D212" s="94"/>
      <c r="E212" s="95"/>
      <c r="F212" s="94"/>
      <c r="G212" s="95"/>
      <c r="H212" s="96"/>
      <c r="I212" s="94"/>
      <c r="J212" s="95"/>
      <c r="K212" s="96"/>
      <c r="L212" s="106"/>
      <c r="M212" s="106"/>
      <c r="N212" s="106"/>
      <c r="O212" s="106"/>
      <c r="P212" s="106"/>
      <c r="Q212" s="106"/>
    </row>
    <row r="213" spans="1:17">
      <c r="A213" s="91"/>
      <c r="B213" s="92"/>
      <c r="C213" s="93"/>
      <c r="D213" s="94"/>
      <c r="E213" s="95"/>
      <c r="F213" s="94"/>
      <c r="G213" s="95"/>
      <c r="H213" s="96"/>
      <c r="I213" s="94"/>
      <c r="J213" s="95"/>
      <c r="K213" s="96"/>
      <c r="L213" s="106"/>
      <c r="M213" s="106"/>
      <c r="N213" s="106"/>
      <c r="O213" s="106"/>
      <c r="P213" s="106"/>
      <c r="Q213" s="106"/>
    </row>
    <row r="214" spans="1:17">
      <c r="A214" s="91"/>
      <c r="B214" s="92"/>
      <c r="C214" s="93"/>
      <c r="D214" s="94"/>
      <c r="E214" s="95"/>
      <c r="F214" s="94"/>
      <c r="G214" s="95"/>
      <c r="H214" s="96"/>
      <c r="I214" s="94"/>
      <c r="J214" s="95"/>
      <c r="K214" s="96"/>
      <c r="L214" s="106"/>
      <c r="M214" s="106"/>
      <c r="N214" s="106"/>
      <c r="O214" s="106"/>
      <c r="P214" s="106"/>
      <c r="Q214" s="106"/>
    </row>
    <row r="215" spans="1:17">
      <c r="A215" s="91"/>
      <c r="B215" s="92"/>
      <c r="C215" s="93"/>
      <c r="D215" s="94"/>
      <c r="E215" s="95"/>
      <c r="F215" s="94"/>
      <c r="G215" s="95"/>
      <c r="H215" s="96"/>
      <c r="I215" s="94"/>
      <c r="J215" s="95"/>
      <c r="K215" s="96"/>
      <c r="L215" s="106"/>
      <c r="M215" s="106"/>
      <c r="N215" s="106"/>
      <c r="O215" s="106"/>
      <c r="P215" s="106"/>
      <c r="Q215" s="106"/>
    </row>
    <row r="216" spans="1:17">
      <c r="A216" s="91"/>
      <c r="B216" s="92"/>
      <c r="C216" s="93"/>
      <c r="D216" s="94"/>
      <c r="E216" s="95"/>
      <c r="F216" s="94"/>
      <c r="G216" s="95"/>
      <c r="H216" s="96"/>
      <c r="I216" s="94"/>
      <c r="J216" s="95"/>
      <c r="K216" s="96"/>
      <c r="L216" s="106"/>
      <c r="M216" s="106"/>
      <c r="N216" s="106"/>
      <c r="O216" s="106"/>
      <c r="P216" s="106"/>
      <c r="Q216" s="106"/>
    </row>
    <row r="217" spans="1:17">
      <c r="A217" s="91"/>
      <c r="B217" s="92"/>
      <c r="C217" s="93"/>
      <c r="D217" s="94"/>
      <c r="E217" s="95"/>
      <c r="F217" s="94"/>
      <c r="G217" s="95"/>
      <c r="H217" s="96"/>
      <c r="I217" s="94"/>
      <c r="J217" s="95"/>
      <c r="K217" s="96"/>
      <c r="L217" s="106"/>
      <c r="M217" s="106"/>
      <c r="N217" s="106"/>
      <c r="O217" s="106"/>
      <c r="P217" s="106"/>
      <c r="Q217" s="106"/>
    </row>
    <row r="218" spans="1:17">
      <c r="A218" s="91"/>
      <c r="B218" s="92"/>
      <c r="C218" s="93"/>
      <c r="D218" s="94"/>
      <c r="E218" s="95"/>
      <c r="F218" s="94"/>
      <c r="G218" s="95"/>
      <c r="H218" s="96"/>
      <c r="I218" s="94"/>
      <c r="J218" s="95"/>
      <c r="K218" s="96"/>
      <c r="L218" s="106"/>
      <c r="M218" s="106"/>
      <c r="N218" s="106"/>
      <c r="O218" s="106"/>
      <c r="P218" s="106"/>
      <c r="Q218" s="106"/>
    </row>
    <row r="219" spans="1:17">
      <c r="A219" s="91"/>
      <c r="B219" s="92"/>
      <c r="C219" s="93"/>
      <c r="D219" s="94"/>
      <c r="E219" s="95"/>
      <c r="F219" s="94"/>
      <c r="G219" s="95"/>
      <c r="H219" s="96"/>
      <c r="I219" s="94"/>
      <c r="J219" s="95"/>
      <c r="K219" s="96"/>
      <c r="L219" s="106"/>
      <c r="M219" s="106"/>
      <c r="N219" s="106"/>
      <c r="O219" s="106"/>
      <c r="P219" s="106"/>
      <c r="Q219" s="106"/>
    </row>
    <row r="220" spans="1:17">
      <c r="A220" s="91"/>
      <c r="B220" s="92"/>
      <c r="C220" s="93"/>
      <c r="D220" s="94"/>
      <c r="E220" s="95"/>
      <c r="F220" s="94"/>
      <c r="G220" s="95"/>
      <c r="H220" s="96"/>
      <c r="I220" s="94"/>
      <c r="J220" s="95"/>
      <c r="K220" s="96"/>
      <c r="L220" s="106"/>
      <c r="M220" s="106"/>
      <c r="N220" s="106"/>
      <c r="O220" s="106"/>
      <c r="P220" s="106"/>
      <c r="Q220" s="106"/>
    </row>
    <row r="221" spans="1:17">
      <c r="A221" s="91"/>
      <c r="B221" s="92"/>
      <c r="C221" s="93"/>
      <c r="D221" s="94"/>
      <c r="E221" s="95"/>
      <c r="F221" s="94"/>
      <c r="G221" s="95"/>
      <c r="H221" s="96"/>
      <c r="I221" s="94"/>
      <c r="J221" s="95"/>
      <c r="K221" s="96"/>
      <c r="L221" s="106"/>
      <c r="M221" s="106"/>
      <c r="N221" s="106"/>
      <c r="O221" s="106"/>
      <c r="P221" s="106"/>
      <c r="Q221" s="106"/>
    </row>
    <row r="222" spans="1:17">
      <c r="A222" s="91"/>
      <c r="B222" s="92"/>
      <c r="C222" s="93"/>
      <c r="D222" s="94"/>
      <c r="E222" s="95"/>
      <c r="F222" s="94"/>
      <c r="G222" s="95"/>
      <c r="H222" s="96"/>
      <c r="I222" s="94"/>
      <c r="J222" s="95"/>
      <c r="K222" s="96"/>
      <c r="L222" s="106"/>
      <c r="M222" s="106"/>
      <c r="N222" s="106"/>
      <c r="O222" s="106"/>
      <c r="P222" s="106"/>
      <c r="Q222" s="106"/>
    </row>
    <row r="223" spans="1:17">
      <c r="A223" s="91"/>
      <c r="B223" s="92"/>
      <c r="C223" s="93"/>
      <c r="D223" s="94"/>
      <c r="E223" s="95"/>
      <c r="F223" s="94"/>
      <c r="G223" s="95"/>
      <c r="H223" s="96"/>
      <c r="I223" s="94"/>
      <c r="J223" s="95"/>
      <c r="K223" s="96"/>
      <c r="L223" s="106"/>
      <c r="M223" s="106"/>
      <c r="N223" s="106"/>
      <c r="O223" s="106"/>
      <c r="P223" s="106"/>
      <c r="Q223" s="106"/>
    </row>
    <row r="224" spans="1:17">
      <c r="A224" s="91"/>
      <c r="B224" s="92"/>
      <c r="C224" s="93"/>
      <c r="D224" s="94"/>
      <c r="E224" s="95"/>
      <c r="F224" s="94"/>
      <c r="G224" s="95"/>
      <c r="H224" s="96"/>
      <c r="I224" s="94"/>
      <c r="J224" s="95"/>
      <c r="K224" s="96"/>
      <c r="L224" s="106"/>
      <c r="M224" s="106"/>
      <c r="N224" s="106"/>
      <c r="O224" s="106"/>
      <c r="P224" s="106"/>
      <c r="Q224" s="106"/>
    </row>
    <row r="225" spans="1:17">
      <c r="A225" s="91"/>
      <c r="B225" s="92"/>
      <c r="C225" s="93"/>
      <c r="D225" s="94"/>
      <c r="E225" s="95"/>
      <c r="F225" s="94"/>
      <c r="G225" s="95"/>
      <c r="H225" s="96"/>
      <c r="I225" s="94"/>
      <c r="J225" s="95"/>
      <c r="K225" s="96"/>
      <c r="L225" s="106"/>
      <c r="M225" s="106"/>
      <c r="N225" s="106"/>
      <c r="O225" s="106"/>
      <c r="P225" s="106"/>
      <c r="Q225" s="106"/>
    </row>
    <row r="226" spans="1:17">
      <c r="A226" s="91"/>
      <c r="B226" s="92"/>
      <c r="C226" s="93"/>
      <c r="D226" s="94"/>
      <c r="E226" s="95"/>
      <c r="F226" s="94"/>
      <c r="G226" s="95"/>
      <c r="H226" s="96"/>
      <c r="I226" s="94"/>
      <c r="J226" s="95"/>
      <c r="K226" s="96"/>
      <c r="L226" s="106"/>
      <c r="M226" s="106"/>
      <c r="N226" s="106"/>
      <c r="O226" s="106"/>
      <c r="P226" s="106"/>
      <c r="Q226" s="106"/>
    </row>
    <row r="227" spans="1:17">
      <c r="A227" s="91"/>
      <c r="B227" s="92"/>
      <c r="C227" s="93"/>
      <c r="D227" s="94"/>
      <c r="E227" s="95"/>
      <c r="F227" s="94"/>
      <c r="G227" s="95"/>
      <c r="H227" s="96"/>
      <c r="I227" s="94"/>
      <c r="J227" s="95"/>
      <c r="K227" s="96"/>
      <c r="L227" s="106"/>
      <c r="M227" s="106"/>
      <c r="N227" s="106"/>
      <c r="O227" s="106"/>
      <c r="P227" s="106"/>
      <c r="Q227" s="106"/>
    </row>
    <row r="228" spans="1:17">
      <c r="A228" s="91"/>
      <c r="B228" s="92"/>
      <c r="C228" s="93"/>
      <c r="D228" s="94"/>
      <c r="E228" s="95"/>
      <c r="F228" s="94"/>
      <c r="G228" s="95"/>
      <c r="H228" s="96"/>
      <c r="I228" s="94"/>
      <c r="J228" s="95"/>
      <c r="K228" s="96"/>
      <c r="L228" s="106"/>
      <c r="M228" s="106"/>
      <c r="N228" s="106"/>
      <c r="O228" s="106"/>
      <c r="P228" s="106"/>
      <c r="Q228" s="106"/>
    </row>
    <row r="229" spans="1:17">
      <c r="A229" s="91"/>
      <c r="B229" s="92"/>
      <c r="C229" s="93"/>
      <c r="D229" s="94"/>
      <c r="E229" s="95"/>
      <c r="F229" s="94"/>
      <c r="G229" s="95"/>
      <c r="H229" s="96"/>
      <c r="I229" s="94"/>
      <c r="J229" s="95"/>
      <c r="K229" s="96"/>
      <c r="L229" s="106"/>
      <c r="M229" s="106"/>
      <c r="N229" s="106"/>
      <c r="O229" s="106"/>
      <c r="P229" s="106"/>
      <c r="Q229" s="106"/>
    </row>
    <row r="230" spans="1:17">
      <c r="A230" s="91"/>
      <c r="B230" s="92"/>
      <c r="C230" s="93"/>
      <c r="D230" s="94"/>
      <c r="E230" s="95"/>
      <c r="F230" s="94"/>
      <c r="G230" s="95"/>
      <c r="H230" s="96"/>
      <c r="I230" s="94"/>
      <c r="J230" s="95"/>
      <c r="K230" s="96"/>
      <c r="L230" s="106"/>
      <c r="M230" s="106"/>
      <c r="N230" s="106"/>
      <c r="O230" s="106"/>
      <c r="P230" s="106"/>
      <c r="Q230" s="106"/>
    </row>
    <row r="231" spans="1:17">
      <c r="A231" s="91"/>
      <c r="B231" s="92"/>
      <c r="C231" s="93"/>
      <c r="D231" s="94"/>
      <c r="E231" s="95"/>
      <c r="F231" s="94"/>
      <c r="G231" s="95"/>
      <c r="H231" s="96"/>
      <c r="I231" s="94"/>
      <c r="J231" s="95"/>
      <c r="K231" s="96"/>
      <c r="L231" s="106"/>
      <c r="M231" s="106"/>
      <c r="N231" s="106"/>
      <c r="O231" s="106"/>
      <c r="P231" s="106"/>
      <c r="Q231" s="106"/>
    </row>
    <row r="232" spans="1:17">
      <c r="A232" s="91"/>
      <c r="B232" s="92"/>
      <c r="C232" s="93"/>
      <c r="D232" s="94"/>
      <c r="E232" s="95"/>
      <c r="F232" s="94"/>
      <c r="G232" s="95"/>
      <c r="H232" s="96"/>
      <c r="I232" s="94"/>
      <c r="J232" s="95"/>
      <c r="K232" s="96"/>
      <c r="L232" s="106"/>
      <c r="M232" s="106"/>
      <c r="N232" s="106"/>
      <c r="O232" s="106"/>
      <c r="P232" s="106"/>
      <c r="Q232" s="106"/>
    </row>
    <row r="233" spans="1:17">
      <c r="A233" s="91"/>
      <c r="B233" s="92"/>
      <c r="C233" s="93"/>
      <c r="D233" s="94"/>
      <c r="E233" s="95"/>
      <c r="F233" s="94"/>
      <c r="G233" s="95"/>
      <c r="H233" s="96"/>
      <c r="I233" s="94"/>
      <c r="J233" s="95"/>
      <c r="K233" s="96"/>
      <c r="L233" s="106"/>
      <c r="M233" s="106"/>
      <c r="N233" s="106"/>
      <c r="O233" s="106"/>
      <c r="P233" s="106"/>
      <c r="Q233" s="106"/>
    </row>
    <row r="234" spans="1:17">
      <c r="A234" s="91"/>
      <c r="B234" s="92"/>
      <c r="C234" s="93"/>
      <c r="D234" s="94"/>
      <c r="E234" s="95"/>
      <c r="F234" s="94"/>
      <c r="G234" s="95"/>
      <c r="H234" s="96"/>
      <c r="I234" s="94"/>
      <c r="J234" s="95"/>
      <c r="K234" s="96"/>
      <c r="L234" s="106"/>
      <c r="M234" s="106"/>
      <c r="N234" s="106"/>
      <c r="O234" s="106"/>
      <c r="P234" s="106"/>
      <c r="Q234" s="106"/>
    </row>
    <row r="235" spans="1:17">
      <c r="A235" s="91"/>
      <c r="B235" s="92"/>
      <c r="C235" s="93"/>
      <c r="D235" s="94"/>
      <c r="E235" s="95"/>
      <c r="F235" s="94"/>
      <c r="G235" s="95"/>
      <c r="H235" s="96"/>
      <c r="I235" s="94"/>
      <c r="J235" s="95"/>
      <c r="K235" s="96"/>
      <c r="L235" s="106"/>
      <c r="M235" s="106"/>
      <c r="N235" s="106"/>
      <c r="O235" s="106"/>
      <c r="P235" s="106"/>
      <c r="Q235" s="106"/>
    </row>
    <row r="236" spans="1:17">
      <c r="A236" s="91"/>
      <c r="B236" s="92"/>
      <c r="C236" s="93"/>
      <c r="D236" s="94"/>
      <c r="E236" s="95"/>
      <c r="F236" s="94"/>
      <c r="G236" s="95"/>
      <c r="H236" s="96"/>
      <c r="I236" s="94"/>
      <c r="J236" s="95"/>
      <c r="K236" s="96"/>
      <c r="L236" s="106"/>
      <c r="M236" s="106"/>
      <c r="N236" s="106"/>
      <c r="O236" s="106"/>
      <c r="P236" s="106"/>
      <c r="Q236" s="106"/>
    </row>
    <row r="237" spans="1:17">
      <c r="A237" s="91"/>
      <c r="B237" s="92"/>
      <c r="C237" s="93"/>
      <c r="D237" s="94"/>
      <c r="E237" s="95"/>
      <c r="F237" s="94"/>
      <c r="G237" s="95"/>
      <c r="H237" s="96"/>
      <c r="I237" s="94"/>
      <c r="J237" s="95"/>
      <c r="K237" s="96"/>
      <c r="L237" s="106"/>
      <c r="M237" s="106"/>
      <c r="N237" s="106"/>
      <c r="O237" s="106"/>
      <c r="P237" s="106"/>
      <c r="Q237" s="106"/>
    </row>
    <row r="238" spans="1:17">
      <c r="A238" s="91"/>
      <c r="B238" s="92"/>
      <c r="C238" s="93"/>
      <c r="D238" s="94"/>
      <c r="E238" s="95"/>
      <c r="F238" s="94"/>
      <c r="G238" s="95"/>
      <c r="H238" s="96"/>
      <c r="I238" s="94"/>
      <c r="J238" s="95"/>
      <c r="K238" s="96"/>
      <c r="L238" s="106"/>
      <c r="M238" s="106"/>
      <c r="N238" s="106"/>
      <c r="O238" s="106"/>
      <c r="P238" s="106"/>
      <c r="Q238" s="106"/>
    </row>
    <row r="239" spans="1:17">
      <c r="A239" s="91"/>
      <c r="B239" s="92"/>
      <c r="C239" s="93"/>
      <c r="D239" s="94"/>
      <c r="E239" s="95"/>
      <c r="F239" s="94"/>
      <c r="G239" s="95"/>
      <c r="H239" s="96"/>
      <c r="I239" s="94"/>
      <c r="J239" s="95"/>
      <c r="K239" s="96"/>
      <c r="L239" s="106"/>
      <c r="M239" s="106"/>
      <c r="N239" s="106"/>
      <c r="O239" s="106"/>
      <c r="P239" s="106"/>
      <c r="Q239" s="106"/>
    </row>
    <row r="240" spans="1:17">
      <c r="A240" s="91"/>
      <c r="B240" s="92"/>
      <c r="C240" s="93"/>
      <c r="D240" s="94"/>
      <c r="E240" s="95"/>
      <c r="F240" s="94"/>
      <c r="G240" s="95"/>
      <c r="H240" s="96"/>
      <c r="I240" s="94"/>
      <c r="J240" s="95"/>
      <c r="K240" s="96"/>
      <c r="L240" s="106"/>
      <c r="M240" s="106"/>
      <c r="N240" s="106"/>
      <c r="O240" s="106"/>
      <c r="P240" s="106"/>
      <c r="Q240" s="106"/>
    </row>
    <row r="241" spans="1:17">
      <c r="A241" s="91"/>
      <c r="B241" s="92"/>
      <c r="C241" s="93"/>
      <c r="D241" s="94"/>
      <c r="E241" s="95"/>
      <c r="F241" s="94"/>
      <c r="G241" s="95"/>
      <c r="H241" s="96"/>
      <c r="I241" s="94"/>
      <c r="J241" s="95"/>
      <c r="K241" s="96"/>
      <c r="L241" s="106"/>
      <c r="M241" s="106"/>
      <c r="N241" s="106"/>
      <c r="O241" s="106"/>
      <c r="P241" s="106"/>
      <c r="Q241" s="106"/>
    </row>
    <row r="242" spans="1:17">
      <c r="A242" s="91"/>
      <c r="B242" s="92"/>
      <c r="C242" s="93"/>
      <c r="D242" s="94"/>
      <c r="E242" s="95"/>
      <c r="F242" s="94"/>
      <c r="G242" s="95"/>
      <c r="H242" s="96"/>
      <c r="I242" s="94"/>
      <c r="J242" s="95"/>
      <c r="K242" s="96"/>
      <c r="L242" s="106"/>
      <c r="M242" s="106"/>
      <c r="N242" s="106"/>
      <c r="O242" s="106"/>
      <c r="P242" s="106"/>
      <c r="Q242" s="106"/>
    </row>
    <row r="243" spans="1:17">
      <c r="A243" s="91"/>
      <c r="B243" s="92"/>
      <c r="C243" s="93"/>
      <c r="D243" s="94"/>
      <c r="E243" s="95"/>
      <c r="F243" s="94"/>
      <c r="G243" s="95"/>
      <c r="H243" s="96"/>
      <c r="I243" s="94"/>
      <c r="J243" s="95"/>
      <c r="K243" s="96"/>
      <c r="L243" s="106"/>
      <c r="M243" s="106"/>
      <c r="N243" s="106"/>
      <c r="O243" s="106"/>
      <c r="P243" s="106"/>
      <c r="Q243" s="106"/>
    </row>
    <row r="244" spans="1:17">
      <c r="A244" s="91"/>
      <c r="B244" s="92"/>
      <c r="C244" s="93"/>
      <c r="D244" s="94"/>
      <c r="E244" s="95"/>
      <c r="F244" s="94"/>
      <c r="G244" s="95"/>
      <c r="H244" s="96"/>
      <c r="I244" s="94"/>
      <c r="J244" s="95"/>
      <c r="K244" s="96"/>
      <c r="L244" s="106"/>
      <c r="M244" s="106"/>
      <c r="N244" s="106"/>
      <c r="O244" s="106"/>
      <c r="P244" s="106"/>
      <c r="Q244" s="106"/>
    </row>
    <row r="245" spans="1:17">
      <c r="A245" s="91"/>
      <c r="B245" s="92"/>
      <c r="C245" s="93"/>
      <c r="D245" s="94"/>
      <c r="E245" s="95"/>
      <c r="F245" s="94"/>
      <c r="G245" s="95"/>
      <c r="H245" s="96"/>
      <c r="I245" s="94"/>
      <c r="J245" s="95"/>
      <c r="K245" s="96"/>
      <c r="L245" s="106"/>
      <c r="M245" s="106"/>
      <c r="N245" s="106"/>
      <c r="O245" s="106"/>
      <c r="P245" s="106"/>
      <c r="Q245" s="106"/>
    </row>
    <row r="246" spans="1:17">
      <c r="A246" s="91"/>
      <c r="B246" s="92"/>
      <c r="C246" s="93"/>
      <c r="D246" s="94"/>
      <c r="E246" s="95"/>
      <c r="F246" s="94"/>
      <c r="G246" s="95"/>
      <c r="H246" s="96"/>
      <c r="I246" s="94"/>
      <c r="J246" s="95"/>
      <c r="K246" s="96"/>
      <c r="L246" s="106"/>
      <c r="M246" s="106"/>
      <c r="N246" s="106"/>
      <c r="O246" s="106"/>
      <c r="P246" s="106"/>
      <c r="Q246" s="106"/>
    </row>
    <row r="247" spans="1:17">
      <c r="A247" s="91"/>
      <c r="B247" s="92"/>
      <c r="C247" s="93"/>
      <c r="D247" s="94"/>
      <c r="E247" s="95"/>
      <c r="F247" s="94"/>
      <c r="G247" s="95"/>
      <c r="H247" s="96"/>
      <c r="I247" s="94"/>
      <c r="J247" s="95"/>
      <c r="K247" s="96"/>
      <c r="L247" s="106"/>
      <c r="M247" s="106"/>
      <c r="N247" s="106"/>
      <c r="O247" s="106"/>
      <c r="P247" s="106"/>
      <c r="Q247" s="106"/>
    </row>
    <row r="248" spans="1:17">
      <c r="A248" s="91"/>
      <c r="B248" s="92"/>
      <c r="C248" s="93"/>
      <c r="D248" s="94"/>
      <c r="E248" s="95"/>
      <c r="F248" s="94"/>
      <c r="G248" s="95"/>
      <c r="H248" s="96"/>
      <c r="I248" s="94"/>
      <c r="J248" s="95"/>
      <c r="K248" s="96"/>
      <c r="L248" s="106"/>
      <c r="M248" s="106"/>
      <c r="N248" s="106"/>
      <c r="O248" s="106"/>
      <c r="P248" s="106"/>
      <c r="Q248" s="106"/>
    </row>
    <row r="249" spans="1:17">
      <c r="A249" s="91"/>
      <c r="B249" s="92"/>
      <c r="C249" s="93"/>
      <c r="D249" s="94"/>
      <c r="E249" s="95"/>
      <c r="F249" s="94"/>
      <c r="G249" s="95"/>
      <c r="H249" s="96"/>
      <c r="I249" s="94"/>
      <c r="J249" s="95"/>
      <c r="K249" s="96"/>
      <c r="L249" s="106"/>
      <c r="M249" s="106"/>
      <c r="N249" s="106"/>
      <c r="O249" s="106"/>
      <c r="P249" s="106"/>
      <c r="Q249" s="106"/>
    </row>
    <row r="250" spans="1:17">
      <c r="A250" s="91"/>
      <c r="B250" s="92"/>
      <c r="C250" s="93"/>
      <c r="D250" s="94"/>
      <c r="E250" s="95"/>
      <c r="F250" s="94"/>
      <c r="G250" s="95"/>
      <c r="H250" s="96"/>
      <c r="I250" s="94"/>
      <c r="J250" s="95"/>
      <c r="K250" s="96"/>
      <c r="L250" s="106"/>
      <c r="M250" s="106"/>
      <c r="N250" s="106"/>
      <c r="O250" s="106"/>
      <c r="P250" s="106"/>
      <c r="Q250" s="106"/>
    </row>
    <row r="251" spans="1:17">
      <c r="A251" s="91"/>
      <c r="B251" s="92"/>
      <c r="C251" s="93"/>
      <c r="D251" s="94"/>
      <c r="E251" s="95"/>
      <c r="F251" s="94"/>
      <c r="G251" s="95"/>
      <c r="H251" s="96"/>
      <c r="I251" s="94"/>
      <c r="J251" s="95"/>
      <c r="K251" s="96"/>
      <c r="L251" s="106"/>
      <c r="M251" s="106"/>
      <c r="N251" s="106"/>
      <c r="O251" s="106"/>
      <c r="P251" s="106"/>
      <c r="Q251" s="106"/>
    </row>
    <row r="252" spans="1:17">
      <c r="A252" s="91"/>
      <c r="B252" s="92"/>
      <c r="C252" s="93"/>
      <c r="D252" s="94"/>
      <c r="E252" s="95"/>
      <c r="F252" s="94"/>
      <c r="G252" s="95"/>
      <c r="H252" s="96"/>
      <c r="I252" s="94"/>
      <c r="J252" s="95"/>
      <c r="K252" s="96"/>
      <c r="L252" s="106"/>
      <c r="M252" s="106"/>
      <c r="N252" s="106"/>
      <c r="O252" s="106"/>
      <c r="P252" s="106"/>
      <c r="Q252" s="106"/>
    </row>
    <row r="253" spans="1:17">
      <c r="A253" s="91"/>
      <c r="B253" s="92"/>
      <c r="C253" s="93"/>
      <c r="D253" s="94"/>
      <c r="E253" s="95"/>
      <c r="F253" s="94"/>
      <c r="G253" s="95"/>
      <c r="H253" s="96"/>
      <c r="I253" s="94"/>
      <c r="J253" s="95"/>
      <c r="K253" s="96"/>
      <c r="L253" s="106"/>
      <c r="M253" s="106"/>
      <c r="N253" s="106"/>
      <c r="O253" s="106"/>
      <c r="P253" s="106"/>
      <c r="Q253" s="106"/>
    </row>
    <row r="254" spans="1:17">
      <c r="A254" s="91"/>
      <c r="B254" s="92"/>
      <c r="C254" s="93"/>
      <c r="D254" s="94"/>
      <c r="E254" s="95"/>
      <c r="F254" s="94"/>
      <c r="G254" s="95"/>
      <c r="H254" s="96"/>
      <c r="I254" s="94"/>
      <c r="J254" s="95"/>
      <c r="K254" s="96"/>
      <c r="L254" s="106"/>
      <c r="M254" s="106"/>
      <c r="N254" s="106"/>
      <c r="O254" s="106"/>
      <c r="P254" s="106"/>
      <c r="Q254" s="106"/>
    </row>
    <row r="255" spans="1:17">
      <c r="A255" s="91"/>
      <c r="B255" s="92"/>
      <c r="C255" s="93"/>
      <c r="D255" s="94"/>
      <c r="E255" s="95"/>
      <c r="F255" s="94"/>
      <c r="G255" s="95"/>
      <c r="H255" s="96"/>
      <c r="I255" s="94"/>
      <c r="J255" s="95"/>
      <c r="K255" s="96"/>
      <c r="L255" s="106"/>
      <c r="M255" s="106"/>
      <c r="N255" s="106"/>
      <c r="O255" s="106"/>
      <c r="P255" s="106"/>
      <c r="Q255" s="106"/>
    </row>
    <row r="256" spans="1:17">
      <c r="A256" s="91"/>
      <c r="B256" s="92"/>
      <c r="C256" s="93"/>
      <c r="D256" s="94"/>
      <c r="E256" s="95"/>
      <c r="F256" s="94"/>
      <c r="G256" s="95"/>
      <c r="H256" s="96"/>
      <c r="I256" s="94"/>
      <c r="J256" s="95"/>
      <c r="K256" s="96"/>
      <c r="L256" s="106"/>
      <c r="M256" s="106"/>
      <c r="N256" s="106"/>
      <c r="O256" s="106"/>
      <c r="P256" s="106"/>
      <c r="Q256" s="106"/>
    </row>
    <row r="257" spans="1:17">
      <c r="A257" s="91"/>
      <c r="B257" s="92"/>
      <c r="C257" s="93"/>
      <c r="D257" s="94"/>
      <c r="E257" s="95"/>
      <c r="F257" s="94"/>
      <c r="G257" s="95"/>
      <c r="H257" s="96"/>
      <c r="I257" s="94"/>
      <c r="J257" s="95"/>
      <c r="K257" s="96"/>
      <c r="L257" s="106"/>
      <c r="M257" s="106"/>
      <c r="N257" s="106"/>
      <c r="O257" s="106"/>
      <c r="P257" s="106"/>
      <c r="Q257" s="106"/>
    </row>
    <row r="258" spans="1:17">
      <c r="A258" s="91"/>
      <c r="B258" s="92"/>
      <c r="C258" s="93"/>
      <c r="D258" s="94"/>
      <c r="E258" s="95"/>
      <c r="F258" s="94"/>
      <c r="G258" s="95"/>
      <c r="H258" s="96"/>
      <c r="I258" s="94"/>
      <c r="J258" s="95"/>
      <c r="K258" s="96"/>
      <c r="L258" s="106"/>
      <c r="M258" s="106"/>
      <c r="N258" s="106"/>
      <c r="O258" s="106"/>
      <c r="P258" s="106"/>
      <c r="Q258" s="106"/>
    </row>
    <row r="259" spans="1:17">
      <c r="A259" s="91"/>
      <c r="B259" s="92"/>
      <c r="C259" s="93"/>
      <c r="D259" s="94"/>
      <c r="E259" s="95"/>
      <c r="F259" s="94"/>
      <c r="G259" s="95"/>
      <c r="H259" s="96"/>
      <c r="I259" s="94"/>
      <c r="J259" s="95"/>
      <c r="K259" s="96"/>
      <c r="L259" s="106"/>
      <c r="M259" s="106"/>
      <c r="N259" s="106"/>
      <c r="O259" s="106"/>
      <c r="P259" s="106"/>
      <c r="Q259" s="106"/>
    </row>
    <row r="260" spans="1:17">
      <c r="A260" s="91"/>
      <c r="B260" s="92"/>
      <c r="C260" s="93"/>
      <c r="D260" s="94"/>
      <c r="E260" s="95"/>
      <c r="F260" s="94"/>
      <c r="G260" s="95"/>
      <c r="H260" s="96"/>
      <c r="I260" s="94"/>
      <c r="J260" s="95"/>
      <c r="K260" s="96"/>
      <c r="L260" s="106"/>
      <c r="M260" s="106"/>
      <c r="N260" s="106"/>
      <c r="O260" s="106"/>
      <c r="P260" s="106"/>
      <c r="Q260" s="106"/>
    </row>
    <row r="261" spans="1:17">
      <c r="A261" s="91"/>
      <c r="B261" s="92"/>
      <c r="C261" s="93"/>
      <c r="D261" s="94"/>
      <c r="E261" s="95"/>
      <c r="F261" s="94"/>
      <c r="G261" s="95"/>
      <c r="H261" s="96"/>
      <c r="I261" s="94"/>
      <c r="J261" s="95"/>
      <c r="K261" s="96"/>
      <c r="L261" s="106"/>
      <c r="M261" s="106"/>
      <c r="N261" s="106"/>
      <c r="O261" s="106"/>
      <c r="P261" s="106"/>
      <c r="Q261" s="106"/>
    </row>
    <row r="262" spans="1:17">
      <c r="A262" s="91"/>
      <c r="B262" s="92"/>
      <c r="C262" s="93"/>
      <c r="D262" s="94"/>
      <c r="E262" s="95"/>
      <c r="F262" s="94"/>
      <c r="G262" s="95"/>
      <c r="H262" s="96"/>
      <c r="I262" s="94"/>
      <c r="J262" s="95"/>
      <c r="K262" s="96"/>
      <c r="L262" s="106"/>
      <c r="M262" s="106"/>
      <c r="N262" s="106"/>
      <c r="O262" s="106"/>
      <c r="P262" s="106"/>
      <c r="Q262" s="106"/>
    </row>
    <row r="263" spans="1:17">
      <c r="A263" s="91"/>
      <c r="B263" s="92"/>
      <c r="C263" s="93"/>
      <c r="D263" s="94"/>
      <c r="E263" s="95"/>
      <c r="F263" s="94"/>
      <c r="G263" s="95"/>
      <c r="H263" s="96"/>
      <c r="I263" s="94"/>
      <c r="J263" s="95"/>
      <c r="K263" s="96"/>
      <c r="L263" s="106"/>
      <c r="M263" s="106"/>
      <c r="N263" s="106"/>
      <c r="O263" s="106"/>
      <c r="P263" s="106"/>
      <c r="Q263" s="106"/>
    </row>
    <row r="264" spans="1:17">
      <c r="A264" s="91"/>
      <c r="B264" s="92"/>
      <c r="C264" s="93"/>
      <c r="D264" s="94"/>
      <c r="E264" s="95"/>
      <c r="F264" s="94"/>
      <c r="G264" s="95"/>
      <c r="H264" s="96"/>
      <c r="I264" s="94"/>
      <c r="J264" s="95"/>
      <c r="K264" s="96"/>
      <c r="L264" s="106"/>
      <c r="M264" s="106"/>
      <c r="N264" s="106"/>
      <c r="O264" s="106"/>
      <c r="P264" s="106"/>
      <c r="Q264" s="106"/>
    </row>
    <row r="265" spans="1:17">
      <c r="A265" s="91"/>
      <c r="B265" s="92"/>
      <c r="C265" s="93"/>
      <c r="D265" s="94"/>
      <c r="E265" s="95"/>
      <c r="F265" s="94"/>
      <c r="G265" s="95"/>
      <c r="H265" s="96"/>
      <c r="I265" s="94"/>
      <c r="J265" s="95"/>
      <c r="K265" s="96"/>
      <c r="L265" s="106"/>
      <c r="M265" s="106"/>
      <c r="N265" s="106"/>
      <c r="O265" s="106"/>
      <c r="P265" s="106"/>
      <c r="Q265" s="106"/>
    </row>
    <row r="266" spans="1:17">
      <c r="A266" s="91"/>
      <c r="B266" s="92"/>
      <c r="C266" s="93"/>
      <c r="D266" s="94"/>
      <c r="E266" s="95"/>
      <c r="F266" s="94"/>
      <c r="G266" s="95"/>
      <c r="H266" s="96"/>
      <c r="I266" s="94"/>
      <c r="J266" s="95"/>
      <c r="K266" s="96"/>
      <c r="L266" s="106"/>
      <c r="M266" s="106"/>
      <c r="N266" s="106"/>
      <c r="O266" s="106"/>
      <c r="P266" s="106"/>
      <c r="Q266" s="106"/>
    </row>
    <row r="267" spans="1:17">
      <c r="A267" s="91"/>
      <c r="B267" s="92"/>
      <c r="C267" s="93"/>
      <c r="D267" s="94"/>
      <c r="E267" s="95"/>
      <c r="F267" s="94"/>
      <c r="G267" s="95"/>
      <c r="H267" s="96"/>
      <c r="I267" s="94"/>
      <c r="J267" s="95"/>
      <c r="K267" s="96"/>
      <c r="L267" s="106"/>
      <c r="M267" s="106"/>
      <c r="N267" s="106"/>
      <c r="O267" s="106"/>
      <c r="P267" s="106"/>
      <c r="Q267" s="106"/>
    </row>
    <row r="268" spans="1:17">
      <c r="A268" s="91"/>
      <c r="B268" s="92"/>
      <c r="C268" s="93"/>
      <c r="D268" s="94"/>
      <c r="E268" s="95"/>
      <c r="F268" s="94"/>
      <c r="G268" s="95"/>
      <c r="H268" s="96"/>
      <c r="I268" s="94"/>
      <c r="J268" s="95"/>
      <c r="K268" s="96"/>
      <c r="L268" s="106"/>
      <c r="M268" s="106"/>
      <c r="N268" s="106"/>
      <c r="O268" s="106"/>
      <c r="P268" s="106"/>
      <c r="Q268" s="106"/>
    </row>
    <row r="269" spans="1:17">
      <c r="A269" s="91"/>
      <c r="B269" s="92"/>
      <c r="C269" s="93"/>
      <c r="D269" s="94"/>
      <c r="E269" s="95"/>
      <c r="F269" s="94"/>
      <c r="G269" s="95"/>
      <c r="H269" s="96"/>
      <c r="I269" s="94"/>
      <c r="J269" s="95"/>
      <c r="K269" s="96"/>
      <c r="L269" s="106"/>
      <c r="M269" s="106"/>
      <c r="N269" s="106"/>
      <c r="O269" s="106"/>
      <c r="P269" s="106"/>
      <c r="Q269" s="106"/>
    </row>
    <row r="270" spans="1:17">
      <c r="A270" s="91"/>
      <c r="B270" s="92"/>
      <c r="C270" s="93"/>
      <c r="D270" s="94"/>
      <c r="E270" s="95"/>
      <c r="F270" s="94"/>
      <c r="G270" s="95"/>
      <c r="H270" s="96"/>
      <c r="I270" s="94"/>
      <c r="J270" s="95"/>
      <c r="K270" s="96"/>
      <c r="L270" s="106"/>
      <c r="M270" s="106"/>
      <c r="N270" s="106"/>
      <c r="O270" s="106"/>
      <c r="P270" s="106"/>
      <c r="Q270" s="106"/>
    </row>
    <row r="271" spans="1:17">
      <c r="A271" s="91"/>
      <c r="B271" s="92"/>
      <c r="C271" s="93"/>
      <c r="D271" s="94"/>
      <c r="E271" s="95"/>
      <c r="F271" s="94"/>
      <c r="G271" s="95"/>
      <c r="H271" s="96"/>
      <c r="I271" s="94"/>
      <c r="J271" s="95"/>
      <c r="K271" s="96"/>
      <c r="L271" s="106"/>
      <c r="M271" s="106"/>
      <c r="N271" s="106"/>
      <c r="O271" s="106"/>
      <c r="P271" s="106"/>
      <c r="Q271" s="106"/>
    </row>
    <row r="272" spans="1:17">
      <c r="A272" s="91"/>
      <c r="B272" s="92"/>
      <c r="C272" s="93"/>
      <c r="D272" s="94"/>
      <c r="E272" s="95"/>
      <c r="F272" s="94"/>
      <c r="G272" s="95"/>
      <c r="H272" s="96"/>
      <c r="I272" s="94"/>
      <c r="J272" s="95"/>
      <c r="K272" s="96"/>
      <c r="L272" s="106"/>
      <c r="M272" s="106"/>
      <c r="N272" s="106"/>
      <c r="O272" s="106"/>
      <c r="P272" s="106"/>
      <c r="Q272" s="106"/>
    </row>
    <row r="273" spans="1:17">
      <c r="A273" s="91"/>
      <c r="B273" s="92"/>
      <c r="C273" s="93"/>
      <c r="D273" s="94"/>
      <c r="E273" s="95"/>
      <c r="F273" s="94"/>
      <c r="G273" s="95"/>
      <c r="H273" s="96"/>
      <c r="I273" s="94"/>
      <c r="J273" s="95"/>
      <c r="K273" s="96"/>
      <c r="L273" s="106"/>
      <c r="M273" s="106"/>
      <c r="N273" s="106"/>
      <c r="O273" s="106"/>
      <c r="P273" s="106"/>
      <c r="Q273" s="106"/>
    </row>
    <row r="274" spans="1:17">
      <c r="A274" s="91"/>
      <c r="B274" s="92"/>
      <c r="C274" s="93"/>
      <c r="D274" s="94"/>
      <c r="E274" s="95"/>
      <c r="F274" s="94"/>
      <c r="G274" s="95"/>
      <c r="H274" s="96"/>
      <c r="I274" s="94"/>
      <c r="J274" s="95"/>
      <c r="K274" s="96"/>
      <c r="L274" s="106"/>
      <c r="M274" s="106"/>
      <c r="N274" s="106"/>
      <c r="O274" s="106"/>
      <c r="P274" s="106"/>
      <c r="Q274" s="106"/>
    </row>
    <row r="275" spans="1:17">
      <c r="A275" s="91"/>
      <c r="B275" s="92"/>
      <c r="C275" s="93"/>
      <c r="D275" s="94"/>
      <c r="E275" s="95"/>
      <c r="F275" s="94"/>
      <c r="G275" s="95"/>
      <c r="H275" s="96"/>
      <c r="I275" s="94"/>
      <c r="J275" s="95"/>
      <c r="K275" s="96"/>
      <c r="L275" s="106"/>
      <c r="M275" s="106"/>
      <c r="N275" s="106"/>
      <c r="O275" s="106"/>
      <c r="P275" s="106"/>
      <c r="Q275" s="106"/>
    </row>
    <row r="276" spans="1:17">
      <c r="A276" s="91"/>
      <c r="B276" s="92"/>
      <c r="C276" s="93"/>
      <c r="D276" s="94"/>
      <c r="E276" s="95"/>
      <c r="F276" s="94"/>
      <c r="G276" s="95"/>
      <c r="H276" s="96"/>
      <c r="I276" s="94"/>
      <c r="J276" s="95"/>
      <c r="K276" s="96"/>
      <c r="L276" s="106"/>
      <c r="M276" s="106"/>
      <c r="N276" s="106"/>
      <c r="O276" s="106"/>
      <c r="P276" s="106"/>
      <c r="Q276" s="106"/>
    </row>
    <row r="277" spans="1:17">
      <c r="A277" s="91"/>
      <c r="B277" s="92"/>
      <c r="C277" s="93"/>
      <c r="D277" s="94"/>
      <c r="E277" s="95"/>
      <c r="F277" s="94"/>
      <c r="G277" s="95"/>
      <c r="H277" s="96"/>
      <c r="I277" s="94"/>
      <c r="J277" s="95"/>
      <c r="K277" s="96"/>
      <c r="L277" s="106"/>
      <c r="M277" s="106"/>
      <c r="N277" s="106"/>
      <c r="O277" s="106"/>
      <c r="P277" s="106"/>
      <c r="Q277" s="106"/>
    </row>
    <row r="278" spans="1:17">
      <c r="A278" s="91"/>
      <c r="B278" s="92"/>
      <c r="C278" s="93"/>
      <c r="D278" s="94"/>
      <c r="E278" s="95"/>
      <c r="F278" s="94"/>
      <c r="G278" s="95"/>
      <c r="H278" s="96"/>
      <c r="I278" s="94"/>
      <c r="J278" s="95"/>
      <c r="K278" s="96"/>
      <c r="L278" s="106"/>
      <c r="M278" s="106"/>
      <c r="N278" s="106"/>
      <c r="O278" s="106"/>
      <c r="P278" s="106"/>
      <c r="Q278" s="106"/>
    </row>
    <row r="279" spans="1:17">
      <c r="A279" s="91"/>
      <c r="B279" s="92"/>
      <c r="C279" s="93"/>
      <c r="D279" s="94"/>
      <c r="E279" s="95"/>
      <c r="F279" s="94"/>
      <c r="G279" s="95"/>
      <c r="H279" s="96"/>
      <c r="I279" s="94"/>
      <c r="J279" s="95"/>
      <c r="K279" s="96"/>
      <c r="L279" s="106"/>
      <c r="M279" s="106"/>
      <c r="N279" s="106"/>
      <c r="O279" s="106"/>
      <c r="P279" s="106"/>
      <c r="Q279" s="106"/>
    </row>
    <row r="280" spans="1:17">
      <c r="A280" s="91"/>
      <c r="B280" s="92"/>
      <c r="C280" s="93"/>
      <c r="D280" s="94"/>
      <c r="E280" s="95"/>
      <c r="F280" s="94"/>
      <c r="G280" s="95"/>
      <c r="H280" s="96"/>
      <c r="I280" s="94"/>
      <c r="J280" s="95"/>
      <c r="K280" s="96"/>
      <c r="L280" s="106"/>
      <c r="M280" s="106"/>
      <c r="N280" s="106"/>
      <c r="O280" s="106"/>
      <c r="P280" s="106"/>
      <c r="Q280" s="106"/>
    </row>
    <row r="281" spans="1:17">
      <c r="A281" s="91"/>
      <c r="B281" s="92"/>
      <c r="C281" s="93"/>
      <c r="D281" s="94"/>
      <c r="E281" s="95"/>
      <c r="F281" s="94"/>
      <c r="G281" s="95"/>
      <c r="H281" s="96"/>
      <c r="I281" s="94"/>
      <c r="J281" s="95"/>
      <c r="K281" s="96"/>
      <c r="L281" s="106"/>
      <c r="M281" s="106"/>
      <c r="N281" s="106"/>
      <c r="O281" s="106"/>
      <c r="P281" s="106"/>
      <c r="Q281" s="106"/>
    </row>
    <row r="282" spans="1:17">
      <c r="A282" s="91"/>
      <c r="B282" s="92"/>
      <c r="C282" s="93"/>
      <c r="D282" s="94"/>
      <c r="E282" s="95"/>
      <c r="F282" s="94"/>
      <c r="G282" s="95"/>
      <c r="H282" s="96"/>
      <c r="I282" s="94"/>
      <c r="J282" s="95"/>
      <c r="K282" s="96"/>
      <c r="L282" s="106"/>
      <c r="M282" s="106"/>
      <c r="N282" s="106"/>
      <c r="O282" s="106"/>
      <c r="P282" s="106"/>
      <c r="Q282" s="106"/>
    </row>
    <row r="283" spans="1:17">
      <c r="A283" s="91"/>
      <c r="B283" s="92"/>
      <c r="C283" s="93"/>
      <c r="D283" s="94"/>
      <c r="E283" s="95"/>
      <c r="F283" s="94"/>
      <c r="G283" s="95"/>
      <c r="H283" s="96"/>
      <c r="I283" s="94"/>
      <c r="J283" s="95"/>
      <c r="K283" s="96"/>
      <c r="L283" s="106"/>
      <c r="M283" s="106"/>
      <c r="N283" s="106"/>
      <c r="O283" s="106"/>
      <c r="P283" s="106"/>
      <c r="Q283" s="106"/>
    </row>
    <row r="284" spans="1:17">
      <c r="A284" s="91"/>
      <c r="B284" s="92"/>
      <c r="C284" s="93"/>
      <c r="D284" s="94"/>
      <c r="E284" s="95"/>
      <c r="F284" s="94"/>
      <c r="G284" s="95"/>
      <c r="H284" s="96"/>
      <c r="I284" s="94"/>
      <c r="J284" s="95"/>
      <c r="K284" s="96"/>
      <c r="L284" s="106"/>
      <c r="M284" s="106"/>
      <c r="N284" s="106"/>
      <c r="O284" s="106"/>
      <c r="P284" s="106"/>
      <c r="Q284" s="106"/>
    </row>
    <row r="285" spans="1:17">
      <c r="A285" s="91"/>
      <c r="B285" s="92"/>
      <c r="C285" s="93"/>
      <c r="D285" s="94"/>
      <c r="E285" s="95"/>
      <c r="F285" s="94"/>
      <c r="G285" s="95"/>
      <c r="H285" s="96"/>
      <c r="I285" s="94"/>
      <c r="J285" s="95"/>
      <c r="K285" s="96"/>
      <c r="L285" s="106"/>
      <c r="M285" s="106"/>
      <c r="N285" s="106"/>
      <c r="O285" s="106"/>
      <c r="P285" s="106"/>
      <c r="Q285" s="106"/>
    </row>
    <row r="286" spans="1:17">
      <c r="A286" s="91"/>
      <c r="B286" s="92"/>
      <c r="C286" s="93"/>
      <c r="D286" s="94"/>
      <c r="E286" s="95"/>
      <c r="F286" s="94"/>
      <c r="G286" s="95"/>
      <c r="H286" s="96"/>
      <c r="I286" s="94"/>
      <c r="J286" s="95"/>
      <c r="K286" s="96"/>
      <c r="L286" s="106"/>
      <c r="M286" s="106"/>
      <c r="N286" s="106"/>
      <c r="O286" s="106"/>
      <c r="P286" s="106"/>
      <c r="Q286" s="106"/>
    </row>
    <row r="287" spans="1:17">
      <c r="A287" s="91"/>
      <c r="B287" s="92"/>
      <c r="C287" s="93"/>
      <c r="D287" s="94"/>
      <c r="E287" s="95"/>
      <c r="F287" s="94"/>
      <c r="G287" s="95"/>
      <c r="H287" s="96"/>
      <c r="I287" s="94"/>
      <c r="J287" s="95"/>
      <c r="K287" s="96"/>
      <c r="L287" s="106"/>
      <c r="M287" s="106"/>
      <c r="N287" s="106"/>
      <c r="O287" s="106"/>
      <c r="P287" s="106"/>
      <c r="Q287" s="106"/>
    </row>
  </sheetData>
  <mergeCells count="12">
    <mergeCell ref="A3:A5"/>
    <mergeCell ref="B3:B5"/>
    <mergeCell ref="C3:C5"/>
    <mergeCell ref="L3:L5"/>
    <mergeCell ref="A1:L1"/>
    <mergeCell ref="A2:L2"/>
    <mergeCell ref="D3:E3"/>
    <mergeCell ref="F3:H3"/>
    <mergeCell ref="I3:K3"/>
    <mergeCell ref="D4:E4"/>
    <mergeCell ref="F4:G4"/>
    <mergeCell ref="I4:J4"/>
  </mergeCells>
  <phoneticPr fontId="76" type="noConversion"/>
  <pageMargins left="0.75" right="0.75" top="1" bottom="1" header="0.5" footer="0.5"/>
  <pageSetup paperSize="9" scale="7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D93D-542A-4046-AAAB-BA4534F6263C}">
  <sheetPr>
    <tabColor rgb="FF92D050"/>
  </sheetPr>
  <dimension ref="A1:V291"/>
  <sheetViews>
    <sheetView zoomScale="115" workbookViewId="0">
      <selection activeCell="Q24" sqref="Q24"/>
    </sheetView>
  </sheetViews>
  <sheetFormatPr defaultColWidth="8.75" defaultRowHeight="14.25"/>
  <cols>
    <col min="1" max="1" width="5.625" customWidth="1"/>
    <col min="2" max="2" width="17.125" customWidth="1"/>
    <col min="3" max="3" width="5.625" customWidth="1"/>
    <col min="4" max="4" width="7.625" customWidth="1"/>
    <col min="5" max="5" width="7" customWidth="1"/>
    <col min="6" max="6" width="10.25" customWidth="1"/>
    <col min="7" max="7" width="10" customWidth="1"/>
    <col min="8" max="8" width="7.625" customWidth="1"/>
    <col min="9" max="9" width="12.875" customWidth="1"/>
    <col min="10" max="11" width="7.625" customWidth="1"/>
    <col min="12" max="12" width="9.625" customWidth="1"/>
    <col min="13" max="13" width="7.625" customWidth="1"/>
    <col min="14" max="14" width="8.75" style="61"/>
    <col min="18" max="18" width="9.625" bestFit="1" customWidth="1"/>
    <col min="21" max="21" width="9.25" bestFit="1" customWidth="1"/>
  </cols>
  <sheetData>
    <row r="1" spans="1:22" ht="23.1" customHeight="1">
      <c r="A1" s="493" t="s">
        <v>1302</v>
      </c>
      <c r="B1" s="493"/>
      <c r="C1" s="493"/>
      <c r="D1" s="493"/>
      <c r="E1" s="493"/>
      <c r="F1" s="493"/>
      <c r="G1" s="493"/>
      <c r="H1" s="493"/>
      <c r="I1" s="493"/>
      <c r="J1" s="493"/>
      <c r="K1" s="493"/>
      <c r="L1" s="493"/>
      <c r="M1" s="493"/>
      <c r="N1" s="495"/>
      <c r="O1" s="493"/>
      <c r="P1" s="493"/>
      <c r="Q1" s="493"/>
      <c r="R1" s="493"/>
      <c r="S1" s="493"/>
      <c r="T1" s="493"/>
      <c r="U1" s="493"/>
      <c r="V1" s="493"/>
    </row>
    <row r="2" spans="1:22" s="59" customFormat="1" ht="23.1" customHeight="1">
      <c r="A2" s="494" t="s">
        <v>1051</v>
      </c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6"/>
      <c r="O2" s="494"/>
      <c r="P2" s="494"/>
      <c r="Q2" s="494"/>
      <c r="R2" s="494"/>
      <c r="S2" s="494"/>
      <c r="T2" s="494"/>
      <c r="U2" s="494"/>
      <c r="V2" s="494"/>
    </row>
    <row r="3" spans="1:22" s="59" customFormat="1" ht="23.1" customHeight="1">
      <c r="A3" s="461" t="s">
        <v>32</v>
      </c>
      <c r="B3" s="455" t="s">
        <v>33</v>
      </c>
      <c r="C3" s="491" t="s">
        <v>34</v>
      </c>
      <c r="D3" s="461" t="s">
        <v>92</v>
      </c>
      <c r="E3" s="461"/>
      <c r="F3" s="461"/>
      <c r="G3" s="461"/>
      <c r="H3" s="461"/>
      <c r="I3" s="461"/>
      <c r="J3" s="461" t="s">
        <v>36</v>
      </c>
      <c r="K3" s="461"/>
      <c r="L3" s="461"/>
      <c r="M3" s="461"/>
      <c r="N3" s="458"/>
      <c r="O3" s="461"/>
      <c r="P3" s="461" t="s">
        <v>37</v>
      </c>
      <c r="Q3" s="461"/>
      <c r="R3" s="461"/>
      <c r="S3" s="461"/>
      <c r="T3" s="461"/>
      <c r="U3" s="461"/>
      <c r="V3" s="492" t="s">
        <v>38</v>
      </c>
    </row>
    <row r="4" spans="1:22" s="59" customFormat="1" ht="23.1" customHeight="1">
      <c r="A4" s="456"/>
      <c r="B4" s="456"/>
      <c r="C4" s="456"/>
      <c r="D4" s="458" t="s">
        <v>42</v>
      </c>
      <c r="E4" s="458"/>
      <c r="F4" s="458"/>
      <c r="G4" s="497" t="s">
        <v>1291</v>
      </c>
      <c r="H4" s="498"/>
      <c r="I4" s="499"/>
      <c r="J4" s="458" t="s">
        <v>42</v>
      </c>
      <c r="K4" s="458"/>
      <c r="L4" s="458"/>
      <c r="M4" s="500" t="s">
        <v>43</v>
      </c>
      <c r="N4" s="501"/>
      <c r="O4" s="502"/>
      <c r="P4" s="458" t="s">
        <v>42</v>
      </c>
      <c r="Q4" s="458"/>
      <c r="R4" s="458"/>
      <c r="S4" s="500" t="s">
        <v>43</v>
      </c>
      <c r="T4" s="503"/>
      <c r="U4" s="502"/>
      <c r="V4" s="492"/>
    </row>
    <row r="5" spans="1:22" s="59" customFormat="1" ht="23.1" customHeight="1">
      <c r="A5" s="456"/>
      <c r="B5" s="456"/>
      <c r="C5" s="456"/>
      <c r="D5" s="63" t="s">
        <v>95</v>
      </c>
      <c r="E5" s="63" t="s">
        <v>96</v>
      </c>
      <c r="F5" s="63" t="s">
        <v>97</v>
      </c>
      <c r="G5" s="63" t="s">
        <v>95</v>
      </c>
      <c r="H5" s="63" t="s">
        <v>96</v>
      </c>
      <c r="I5" s="63" t="s">
        <v>97</v>
      </c>
      <c r="J5" s="63" t="s">
        <v>95</v>
      </c>
      <c r="K5" s="63" t="s">
        <v>96</v>
      </c>
      <c r="L5" s="63" t="s">
        <v>97</v>
      </c>
      <c r="M5" s="63" t="s">
        <v>95</v>
      </c>
      <c r="N5" s="64" t="s">
        <v>96</v>
      </c>
      <c r="O5" s="63" t="s">
        <v>97</v>
      </c>
      <c r="P5" s="63" t="s">
        <v>95</v>
      </c>
      <c r="Q5" s="63" t="s">
        <v>96</v>
      </c>
      <c r="R5" s="63" t="s">
        <v>97</v>
      </c>
      <c r="S5" s="63" t="s">
        <v>95</v>
      </c>
      <c r="T5" s="63" t="s">
        <v>96</v>
      </c>
      <c r="U5" s="63" t="s">
        <v>97</v>
      </c>
      <c r="V5" s="492"/>
    </row>
    <row r="6" spans="1:22" s="59" customFormat="1" ht="24" customHeight="1">
      <c r="A6" s="65">
        <v>1</v>
      </c>
      <c r="B6" s="66" t="s">
        <v>1280</v>
      </c>
      <c r="C6" s="67"/>
      <c r="D6" s="68"/>
      <c r="E6" s="68"/>
      <c r="F6" s="69"/>
      <c r="G6" s="69"/>
      <c r="H6" s="69" t="s">
        <v>1303</v>
      </c>
      <c r="I6" s="69">
        <v>1111137.0971559635</v>
      </c>
      <c r="J6" s="69"/>
      <c r="K6" s="69"/>
      <c r="L6" s="69"/>
      <c r="M6" s="69"/>
      <c r="N6" s="97"/>
      <c r="O6" s="69"/>
      <c r="P6" s="69"/>
      <c r="Q6" s="69"/>
      <c r="R6" s="69"/>
      <c r="S6" s="69"/>
      <c r="T6" s="69"/>
      <c r="U6" s="69"/>
      <c r="V6" s="107"/>
    </row>
    <row r="7" spans="1:22" s="59" customFormat="1" ht="23.1" customHeight="1">
      <c r="A7" s="65">
        <v>2</v>
      </c>
      <c r="B7" s="70" t="s">
        <v>1304</v>
      </c>
      <c r="C7" s="71"/>
      <c r="D7" s="72"/>
      <c r="E7" s="72"/>
      <c r="F7" s="73">
        <v>3091743.1192660546</v>
      </c>
      <c r="G7" s="73"/>
      <c r="H7" s="73"/>
      <c r="I7" s="77">
        <v>3091743.1192660546</v>
      </c>
      <c r="J7" s="98"/>
      <c r="K7" s="69"/>
      <c r="L7" s="77"/>
      <c r="M7" s="99"/>
      <c r="N7" s="100"/>
      <c r="O7" s="77"/>
      <c r="P7" s="69"/>
      <c r="Q7" s="69"/>
      <c r="R7" s="77"/>
      <c r="S7" s="69"/>
      <c r="T7" s="69"/>
      <c r="U7" s="77"/>
      <c r="V7" s="108"/>
    </row>
    <row r="8" spans="1:22" s="59" customFormat="1" ht="23.1" customHeight="1">
      <c r="A8" s="65">
        <v>3</v>
      </c>
      <c r="B8" s="70" t="s">
        <v>1305</v>
      </c>
      <c r="C8" s="71"/>
      <c r="D8" s="72"/>
      <c r="E8" s="72"/>
      <c r="F8" s="73">
        <v>293577.98165137612</v>
      </c>
      <c r="G8" s="73"/>
      <c r="H8" s="73"/>
      <c r="I8" s="77">
        <v>293577.98165137612</v>
      </c>
      <c r="J8" s="98"/>
      <c r="K8" s="69"/>
      <c r="L8" s="77"/>
      <c r="M8" s="99"/>
      <c r="N8" s="100"/>
      <c r="O8" s="77"/>
      <c r="P8" s="69"/>
      <c r="Q8" s="69"/>
      <c r="R8" s="77"/>
      <c r="S8" s="69"/>
      <c r="T8" s="69"/>
      <c r="U8" s="77"/>
      <c r="V8" s="108"/>
    </row>
    <row r="9" spans="1:22" s="59" customFormat="1" ht="23.1" customHeight="1">
      <c r="A9" s="65"/>
      <c r="B9" s="74"/>
      <c r="C9" s="75"/>
      <c r="D9" s="76"/>
      <c r="E9" s="76"/>
      <c r="F9" s="77"/>
      <c r="G9" s="69"/>
      <c r="H9" s="78"/>
      <c r="I9" s="69"/>
      <c r="J9" s="78"/>
      <c r="K9" s="78"/>
      <c r="L9" s="69"/>
      <c r="M9" s="78"/>
      <c r="N9" s="101"/>
      <c r="O9" s="69"/>
      <c r="P9" s="78"/>
      <c r="Q9" s="78"/>
      <c r="R9" s="69"/>
      <c r="S9" s="78"/>
      <c r="T9" s="78"/>
      <c r="U9" s="69"/>
      <c r="V9" s="109" t="s">
        <v>1306</v>
      </c>
    </row>
    <row r="10" spans="1:22" s="59" customFormat="1" ht="23.1" customHeight="1">
      <c r="A10" s="65"/>
      <c r="B10" s="74"/>
      <c r="C10" s="75"/>
      <c r="D10" s="76"/>
      <c r="E10" s="76"/>
      <c r="F10" s="77"/>
      <c r="G10" s="69"/>
      <c r="H10" s="78"/>
      <c r="I10" s="69"/>
      <c r="J10" s="78"/>
      <c r="K10" s="78"/>
      <c r="L10" s="69"/>
      <c r="M10" s="78"/>
      <c r="N10" s="101"/>
      <c r="O10" s="69"/>
      <c r="P10" s="78"/>
      <c r="Q10" s="78"/>
      <c r="R10" s="69"/>
      <c r="S10" s="78"/>
      <c r="T10" s="78"/>
      <c r="U10" s="69"/>
      <c r="V10" s="109" t="s">
        <v>1307</v>
      </c>
    </row>
    <row r="11" spans="1:22" s="59" customFormat="1" ht="23.1" customHeight="1">
      <c r="A11" s="65"/>
      <c r="B11" s="74"/>
      <c r="C11" s="75"/>
      <c r="D11" s="76"/>
      <c r="E11" s="76"/>
      <c r="F11" s="77"/>
      <c r="G11" s="69"/>
      <c r="H11" s="78"/>
      <c r="I11" s="69"/>
      <c r="J11" s="78"/>
      <c r="K11" s="78"/>
      <c r="L11" s="69"/>
      <c r="M11" s="78"/>
      <c r="N11" s="101"/>
      <c r="O11" s="69"/>
      <c r="P11" s="78"/>
      <c r="Q11" s="78"/>
      <c r="R11" s="69"/>
      <c r="S11" s="78"/>
      <c r="T11" s="78"/>
      <c r="U11" s="69"/>
      <c r="V11" s="110"/>
    </row>
    <row r="12" spans="1:22" s="59" customFormat="1" ht="23.1" customHeight="1">
      <c r="A12" s="79"/>
      <c r="B12" s="80"/>
      <c r="C12" s="81"/>
      <c r="D12" s="76"/>
      <c r="E12" s="76"/>
      <c r="F12" s="77"/>
      <c r="G12" s="69"/>
      <c r="H12" s="78"/>
      <c r="I12" s="69"/>
      <c r="J12" s="78"/>
      <c r="K12" s="78"/>
      <c r="L12" s="69"/>
      <c r="M12" s="78"/>
      <c r="N12" s="101"/>
      <c r="O12" s="69"/>
      <c r="P12" s="78"/>
      <c r="Q12" s="78"/>
      <c r="R12" s="69"/>
      <c r="S12" s="78"/>
      <c r="T12" s="78"/>
      <c r="U12" s="69"/>
      <c r="V12" s="110"/>
    </row>
    <row r="13" spans="1:22" s="59" customFormat="1" ht="23.1" customHeight="1">
      <c r="A13" s="79"/>
      <c r="B13" s="82"/>
      <c r="C13" s="81"/>
      <c r="D13" s="76"/>
      <c r="E13" s="76"/>
      <c r="F13" s="77"/>
      <c r="G13" s="69"/>
      <c r="H13" s="78"/>
      <c r="I13" s="69"/>
      <c r="J13" s="78"/>
      <c r="K13" s="78"/>
      <c r="L13" s="69"/>
      <c r="M13" s="78"/>
      <c r="N13" s="101"/>
      <c r="O13" s="69"/>
      <c r="P13" s="78"/>
      <c r="Q13" s="78"/>
      <c r="R13" s="69"/>
      <c r="S13" s="78"/>
      <c r="T13" s="78"/>
      <c r="U13" s="69"/>
      <c r="V13" s="110"/>
    </row>
    <row r="14" spans="1:22" s="59" customFormat="1" ht="23.1" customHeight="1">
      <c r="A14" s="79"/>
      <c r="B14" s="83"/>
      <c r="C14" s="81"/>
      <c r="D14" s="76"/>
      <c r="E14" s="76"/>
      <c r="F14" s="77"/>
      <c r="G14" s="69"/>
      <c r="H14" s="78"/>
      <c r="I14" s="69"/>
      <c r="J14" s="78"/>
      <c r="K14" s="78"/>
      <c r="L14" s="69"/>
      <c r="M14" s="78"/>
      <c r="N14" s="101"/>
      <c r="O14" s="69"/>
      <c r="P14" s="78"/>
      <c r="Q14" s="78"/>
      <c r="R14" s="69"/>
      <c r="S14" s="78"/>
      <c r="T14" s="78"/>
      <c r="U14" s="69"/>
      <c r="V14" s="110"/>
    </row>
    <row r="15" spans="1:22" s="59" customFormat="1" ht="23.1" customHeight="1">
      <c r="A15" s="79"/>
      <c r="B15" s="83"/>
      <c r="C15" s="81"/>
      <c r="D15" s="76"/>
      <c r="E15" s="76"/>
      <c r="F15" s="77"/>
      <c r="G15" s="69"/>
      <c r="H15" s="78"/>
      <c r="I15" s="69"/>
      <c r="J15" s="78"/>
      <c r="K15" s="78"/>
      <c r="L15" s="69"/>
      <c r="M15" s="78"/>
      <c r="N15" s="101"/>
      <c r="O15" s="69"/>
      <c r="P15" s="78"/>
      <c r="Q15" s="78"/>
      <c r="R15" s="69"/>
      <c r="S15" s="78"/>
      <c r="T15" s="78"/>
      <c r="U15" s="69"/>
      <c r="V15" s="110"/>
    </row>
    <row r="16" spans="1:22" s="59" customFormat="1" ht="23.1" customHeight="1">
      <c r="A16" s="79"/>
      <c r="B16" s="83"/>
      <c r="C16" s="81"/>
      <c r="D16" s="76"/>
      <c r="E16" s="76"/>
      <c r="F16" s="77"/>
      <c r="G16" s="69"/>
      <c r="H16" s="78"/>
      <c r="I16" s="69"/>
      <c r="J16" s="78"/>
      <c r="K16" s="78"/>
      <c r="L16" s="69"/>
      <c r="M16" s="78"/>
      <c r="N16" s="101"/>
      <c r="O16" s="69"/>
      <c r="P16" s="78"/>
      <c r="Q16" s="78"/>
      <c r="R16" s="69"/>
      <c r="S16" s="78"/>
      <c r="T16" s="78"/>
      <c r="U16" s="69"/>
      <c r="V16" s="110"/>
    </row>
    <row r="17" spans="1:22" s="59" customFormat="1" ht="23.1" customHeight="1">
      <c r="A17" s="79"/>
      <c r="B17" s="83"/>
      <c r="C17" s="81"/>
      <c r="D17" s="76"/>
      <c r="E17" s="76"/>
      <c r="F17" s="77"/>
      <c r="G17" s="69"/>
      <c r="H17" s="78"/>
      <c r="I17" s="69"/>
      <c r="J17" s="78"/>
      <c r="K17" s="78"/>
      <c r="L17" s="69"/>
      <c r="M17" s="78"/>
      <c r="N17" s="101"/>
      <c r="O17" s="69"/>
      <c r="P17" s="78"/>
      <c r="Q17" s="78"/>
      <c r="R17" s="69"/>
      <c r="S17" s="78"/>
      <c r="T17" s="78"/>
      <c r="U17" s="69"/>
      <c r="V17" s="110"/>
    </row>
    <row r="18" spans="1:22" s="59" customFormat="1" ht="23.1" customHeight="1">
      <c r="A18" s="79"/>
      <c r="B18" s="83"/>
      <c r="C18" s="81"/>
      <c r="D18" s="76"/>
      <c r="E18" s="76"/>
      <c r="F18" s="77"/>
      <c r="G18" s="69"/>
      <c r="H18" s="78"/>
      <c r="I18" s="69"/>
      <c r="J18" s="78"/>
      <c r="K18" s="78"/>
      <c r="L18" s="69"/>
      <c r="M18" s="78"/>
      <c r="N18" s="101"/>
      <c r="O18" s="69"/>
      <c r="P18" s="78"/>
      <c r="Q18" s="78"/>
      <c r="R18" s="69"/>
      <c r="S18" s="78"/>
      <c r="T18" s="78"/>
      <c r="U18" s="69"/>
      <c r="V18" s="110"/>
    </row>
    <row r="19" spans="1:22" s="59" customFormat="1" ht="23.1" customHeight="1">
      <c r="A19" s="79"/>
      <c r="B19" s="83"/>
      <c r="C19" s="81"/>
      <c r="D19" s="76"/>
      <c r="E19" s="76"/>
      <c r="F19" s="77"/>
      <c r="G19" s="69"/>
      <c r="H19" s="78"/>
      <c r="I19" s="69"/>
      <c r="J19" s="78"/>
      <c r="K19" s="78"/>
      <c r="L19" s="69"/>
      <c r="M19" s="78"/>
      <c r="N19" s="101"/>
      <c r="O19" s="69"/>
      <c r="P19" s="78"/>
      <c r="Q19" s="78"/>
      <c r="R19" s="69"/>
      <c r="S19" s="78"/>
      <c r="T19" s="78"/>
      <c r="U19" s="69"/>
      <c r="V19" s="110"/>
    </row>
    <row r="20" spans="1:22" s="59" customFormat="1" ht="23.1" customHeight="1">
      <c r="A20" s="79"/>
      <c r="B20" s="83"/>
      <c r="C20" s="81"/>
      <c r="D20" s="76"/>
      <c r="E20" s="76"/>
      <c r="F20" s="77"/>
      <c r="G20" s="69"/>
      <c r="H20" s="78"/>
      <c r="I20" s="69"/>
      <c r="J20" s="78"/>
      <c r="K20" s="78"/>
      <c r="L20" s="69"/>
      <c r="M20" s="78"/>
      <c r="N20" s="101"/>
      <c r="O20" s="69"/>
      <c r="P20" s="78"/>
      <c r="Q20" s="78"/>
      <c r="R20" s="69"/>
      <c r="S20" s="78"/>
      <c r="T20" s="78"/>
      <c r="U20" s="69"/>
      <c r="V20" s="110"/>
    </row>
    <row r="21" spans="1:22" s="59" customFormat="1" ht="23.1" customHeight="1">
      <c r="A21" s="84"/>
      <c r="B21" s="85"/>
      <c r="C21" s="81"/>
      <c r="D21" s="76"/>
      <c r="E21" s="76"/>
      <c r="F21" s="77"/>
      <c r="G21" s="69"/>
      <c r="H21" s="78"/>
      <c r="I21" s="69"/>
      <c r="J21" s="78"/>
      <c r="K21" s="78"/>
      <c r="L21" s="69"/>
      <c r="M21" s="78"/>
      <c r="N21" s="101"/>
      <c r="O21" s="69"/>
      <c r="P21" s="78"/>
      <c r="Q21" s="78"/>
      <c r="R21" s="69"/>
      <c r="S21" s="78"/>
      <c r="T21" s="78"/>
      <c r="U21" s="69"/>
      <c r="V21" s="110"/>
    </row>
    <row r="22" spans="1:22" s="60" customFormat="1" ht="23.1" customHeight="1">
      <c r="A22" s="86"/>
      <c r="B22" s="87" t="s">
        <v>63</v>
      </c>
      <c r="C22" s="88"/>
      <c r="D22" s="89"/>
      <c r="E22" s="89"/>
      <c r="F22" s="90">
        <f>SUM(F6:F11)</f>
        <v>3385321.1009174306</v>
      </c>
      <c r="G22" s="90"/>
      <c r="H22" s="90"/>
      <c r="I22" s="90">
        <f>SUM(I6:I11)</f>
        <v>4496458.1980733937</v>
      </c>
      <c r="J22" s="102"/>
      <c r="K22" s="102"/>
      <c r="L22" s="90">
        <f>SUM(L6:L11)</f>
        <v>0</v>
      </c>
      <c r="M22" s="90"/>
      <c r="N22" s="103"/>
      <c r="O22" s="102">
        <f>SUM(O6:O11)</f>
        <v>0</v>
      </c>
      <c r="P22" s="102"/>
      <c r="Q22" s="102"/>
      <c r="R22" s="90">
        <f>SUM(R6:R11)</f>
        <v>0</v>
      </c>
      <c r="S22" s="90"/>
      <c r="T22" s="90"/>
      <c r="U22" s="102">
        <f>SUM(U6:U11)</f>
        <v>0</v>
      </c>
      <c r="V22" s="89"/>
    </row>
    <row r="23" spans="1:22">
      <c r="A23" s="91"/>
      <c r="B23" s="92"/>
      <c r="C23" s="93"/>
      <c r="D23" s="94"/>
      <c r="E23" s="95"/>
      <c r="F23" s="96"/>
      <c r="G23" s="94"/>
      <c r="H23" s="95"/>
      <c r="I23" s="96"/>
      <c r="J23" s="96"/>
      <c r="K23" s="96"/>
      <c r="L23" s="94"/>
      <c r="M23" s="104"/>
      <c r="N23" s="105"/>
      <c r="O23" s="106"/>
      <c r="P23" s="106"/>
      <c r="Q23" s="106"/>
      <c r="R23" s="106"/>
    </row>
    <row r="24" spans="1:22">
      <c r="A24" s="91"/>
      <c r="B24" s="92"/>
      <c r="C24" s="93"/>
      <c r="D24" s="94"/>
      <c r="E24" s="95"/>
      <c r="F24" s="96"/>
      <c r="G24" s="94"/>
      <c r="H24" s="95"/>
      <c r="I24" s="96"/>
      <c r="J24" s="96"/>
      <c r="K24" s="96"/>
      <c r="L24" s="94"/>
      <c r="M24" s="104"/>
      <c r="N24" s="105"/>
      <c r="O24" s="106"/>
      <c r="P24" s="106"/>
      <c r="Q24" s="106"/>
      <c r="R24" s="106"/>
    </row>
    <row r="25" spans="1:22">
      <c r="A25" s="91"/>
      <c r="B25" s="92"/>
      <c r="C25" s="93"/>
      <c r="D25" s="94"/>
      <c r="E25" s="95"/>
      <c r="F25" s="96"/>
      <c r="G25" s="94"/>
      <c r="H25" s="95"/>
      <c r="I25" s="96"/>
      <c r="J25" s="96"/>
      <c r="K25" s="96"/>
      <c r="L25" s="94"/>
      <c r="M25" s="104"/>
      <c r="N25" s="105"/>
      <c r="O25" s="106"/>
      <c r="P25" s="106"/>
      <c r="Q25" s="106"/>
      <c r="R25" s="106"/>
    </row>
    <row r="26" spans="1:22">
      <c r="A26" s="91"/>
      <c r="B26" s="92"/>
      <c r="C26" s="93"/>
      <c r="D26" s="94"/>
      <c r="E26" s="95"/>
      <c r="F26" s="96"/>
      <c r="G26" s="94"/>
      <c r="H26" s="95"/>
      <c r="I26" s="96"/>
      <c r="J26" s="96"/>
      <c r="K26" s="96"/>
      <c r="L26" s="94"/>
      <c r="M26" s="104"/>
      <c r="N26" s="105"/>
      <c r="O26" s="106"/>
      <c r="P26" s="106"/>
      <c r="Q26" s="106"/>
      <c r="R26" s="106"/>
    </row>
    <row r="27" spans="1:22">
      <c r="A27" s="91"/>
      <c r="B27" s="92"/>
      <c r="C27" s="93"/>
      <c r="D27" s="94"/>
      <c r="E27" s="95"/>
      <c r="F27" s="96"/>
      <c r="G27" s="94"/>
      <c r="H27" s="95"/>
      <c r="I27" s="96"/>
      <c r="J27" s="96"/>
      <c r="K27" s="96"/>
      <c r="L27" s="94"/>
      <c r="M27" s="104"/>
      <c r="N27" s="105"/>
      <c r="O27" s="106"/>
      <c r="P27" s="106"/>
      <c r="Q27" s="106"/>
      <c r="R27" s="106"/>
    </row>
    <row r="28" spans="1:22">
      <c r="A28" s="91"/>
      <c r="B28" s="92"/>
      <c r="C28" s="93"/>
      <c r="D28" s="94"/>
      <c r="E28" s="95"/>
      <c r="F28" s="96"/>
      <c r="G28" s="94"/>
      <c r="H28" s="95"/>
      <c r="I28" s="96"/>
      <c r="J28" s="96"/>
      <c r="K28" s="96"/>
      <c r="L28" s="94"/>
      <c r="M28" s="104"/>
      <c r="N28" s="105"/>
      <c r="O28" s="106"/>
      <c r="P28" s="106"/>
      <c r="Q28" s="106"/>
      <c r="R28" s="106"/>
    </row>
    <row r="29" spans="1:22">
      <c r="A29" s="91"/>
      <c r="B29" s="92"/>
      <c r="C29" s="93"/>
      <c r="D29" s="94"/>
      <c r="E29" s="95"/>
      <c r="F29" s="96"/>
      <c r="G29" s="94"/>
      <c r="H29" s="95"/>
      <c r="I29" s="96"/>
      <c r="J29" s="96"/>
      <c r="K29" s="96"/>
      <c r="L29" s="94"/>
      <c r="M29" s="104"/>
      <c r="N29" s="105"/>
      <c r="O29" s="106"/>
      <c r="P29" s="106"/>
      <c r="Q29" s="106"/>
      <c r="R29" s="106"/>
    </row>
    <row r="30" spans="1:22">
      <c r="A30" s="91"/>
      <c r="B30" s="92"/>
      <c r="C30" s="93"/>
      <c r="D30" s="94"/>
      <c r="E30" s="95"/>
      <c r="F30" s="96"/>
      <c r="G30" s="94"/>
      <c r="H30" s="95"/>
      <c r="I30" s="96"/>
      <c r="J30" s="96"/>
      <c r="K30" s="96"/>
      <c r="L30" s="94"/>
      <c r="M30" s="104"/>
      <c r="N30" s="105"/>
      <c r="O30" s="106"/>
      <c r="P30" s="106"/>
      <c r="Q30" s="106"/>
      <c r="R30" s="106"/>
    </row>
    <row r="31" spans="1:22">
      <c r="A31" s="91"/>
      <c r="B31" s="92"/>
      <c r="C31" s="93"/>
      <c r="D31" s="94"/>
      <c r="E31" s="95"/>
      <c r="F31" s="96"/>
      <c r="G31" s="94"/>
      <c r="H31" s="95"/>
      <c r="I31" s="96"/>
      <c r="J31" s="96"/>
      <c r="K31" s="96"/>
      <c r="L31" s="94"/>
      <c r="M31" s="104"/>
      <c r="N31" s="105"/>
      <c r="O31" s="106"/>
      <c r="P31" s="106"/>
      <c r="Q31" s="106"/>
      <c r="R31" s="106"/>
    </row>
    <row r="32" spans="1:22">
      <c r="A32" s="91"/>
      <c r="B32" s="92"/>
      <c r="C32" s="93"/>
      <c r="D32" s="94"/>
      <c r="E32" s="95"/>
      <c r="F32" s="96"/>
      <c r="G32" s="94"/>
      <c r="H32" s="95"/>
      <c r="I32" s="96"/>
      <c r="J32" s="96"/>
      <c r="K32" s="96"/>
      <c r="L32" s="94"/>
      <c r="M32" s="104"/>
      <c r="N32" s="105"/>
      <c r="O32" s="106"/>
      <c r="P32" s="106"/>
      <c r="Q32" s="106"/>
      <c r="R32" s="106"/>
    </row>
    <row r="33" spans="1:18">
      <c r="A33" s="91"/>
      <c r="B33" s="92"/>
      <c r="C33" s="93"/>
      <c r="D33" s="94"/>
      <c r="E33" s="95"/>
      <c r="F33" s="96"/>
      <c r="G33" s="94"/>
      <c r="H33" s="95"/>
      <c r="I33" s="96"/>
      <c r="J33" s="96"/>
      <c r="K33" s="96"/>
      <c r="L33" s="94"/>
      <c r="M33" s="104"/>
      <c r="N33" s="105"/>
      <c r="O33" s="106"/>
      <c r="P33" s="106"/>
      <c r="Q33" s="106"/>
      <c r="R33" s="106"/>
    </row>
    <row r="34" spans="1:18">
      <c r="A34" s="91"/>
      <c r="B34" s="92"/>
      <c r="C34" s="93"/>
      <c r="D34" s="94"/>
      <c r="E34" s="95"/>
      <c r="F34" s="96"/>
      <c r="G34" s="94"/>
      <c r="H34" s="95"/>
      <c r="I34" s="96"/>
      <c r="J34" s="96"/>
      <c r="K34" s="96"/>
      <c r="L34" s="94"/>
      <c r="M34" s="106"/>
      <c r="N34" s="105"/>
      <c r="O34" s="106"/>
      <c r="P34" s="106"/>
      <c r="Q34" s="106"/>
      <c r="R34" s="106"/>
    </row>
    <row r="35" spans="1:18">
      <c r="A35" s="91"/>
      <c r="B35" s="92"/>
      <c r="C35" s="93"/>
      <c r="D35" s="94"/>
      <c r="E35" s="95"/>
      <c r="F35" s="96"/>
      <c r="G35" s="94"/>
      <c r="H35" s="95"/>
      <c r="I35" s="96"/>
      <c r="J35" s="96"/>
      <c r="K35" s="96"/>
      <c r="L35" s="94"/>
      <c r="M35" s="106"/>
      <c r="N35" s="105"/>
      <c r="O35" s="106"/>
      <c r="P35" s="106"/>
      <c r="Q35" s="106"/>
      <c r="R35" s="106"/>
    </row>
    <row r="36" spans="1:18">
      <c r="A36" s="91"/>
      <c r="B36" s="92"/>
      <c r="C36" s="93"/>
      <c r="D36" s="94"/>
      <c r="E36" s="95"/>
      <c r="F36" s="96"/>
      <c r="G36" s="94"/>
      <c r="H36" s="95"/>
      <c r="I36" s="96"/>
      <c r="J36" s="96"/>
      <c r="K36" s="96"/>
      <c r="L36" s="94"/>
      <c r="M36" s="106"/>
      <c r="N36" s="105"/>
      <c r="O36" s="106"/>
      <c r="P36" s="106"/>
      <c r="Q36" s="106"/>
      <c r="R36" s="106"/>
    </row>
    <row r="37" spans="1:18">
      <c r="A37" s="91"/>
      <c r="B37" s="92"/>
      <c r="C37" s="93"/>
      <c r="D37" s="94"/>
      <c r="E37" s="95"/>
      <c r="F37" s="96"/>
      <c r="G37" s="94"/>
      <c r="H37" s="95"/>
      <c r="I37" s="96"/>
      <c r="J37" s="96"/>
      <c r="K37" s="96"/>
      <c r="L37" s="94"/>
      <c r="M37" s="106"/>
      <c r="N37" s="105"/>
      <c r="O37" s="106"/>
      <c r="P37" s="106"/>
      <c r="Q37" s="106"/>
      <c r="R37" s="106"/>
    </row>
    <row r="38" spans="1:18">
      <c r="A38" s="91"/>
      <c r="B38" s="92"/>
      <c r="C38" s="93"/>
      <c r="D38" s="94"/>
      <c r="E38" s="95"/>
      <c r="F38" s="96"/>
      <c r="G38" s="94"/>
      <c r="H38" s="95"/>
      <c r="I38" s="96"/>
      <c r="J38" s="96"/>
      <c r="K38" s="96"/>
      <c r="L38" s="94"/>
      <c r="M38" s="106"/>
      <c r="N38" s="105"/>
      <c r="O38" s="106"/>
      <c r="P38" s="106"/>
      <c r="Q38" s="106"/>
      <c r="R38" s="106"/>
    </row>
    <row r="39" spans="1:18">
      <c r="A39" s="91"/>
      <c r="B39" s="92"/>
      <c r="C39" s="93"/>
      <c r="D39" s="94"/>
      <c r="E39" s="95"/>
      <c r="F39" s="96"/>
      <c r="G39" s="94"/>
      <c r="H39" s="95"/>
      <c r="I39" s="96"/>
      <c r="J39" s="96"/>
      <c r="K39" s="96"/>
      <c r="L39" s="94"/>
      <c r="M39" s="106"/>
      <c r="N39" s="105"/>
      <c r="O39" s="106"/>
      <c r="P39" s="106"/>
      <c r="Q39" s="106"/>
      <c r="R39" s="106"/>
    </row>
    <row r="40" spans="1:18">
      <c r="A40" s="91"/>
      <c r="B40" s="92"/>
      <c r="C40" s="93"/>
      <c r="D40" s="94"/>
      <c r="E40" s="95"/>
      <c r="F40" s="96"/>
      <c r="G40" s="94"/>
      <c r="H40" s="95"/>
      <c r="I40" s="96"/>
      <c r="J40" s="96"/>
      <c r="K40" s="96"/>
      <c r="L40" s="94"/>
      <c r="M40" s="106"/>
      <c r="N40" s="105"/>
      <c r="O40" s="106"/>
      <c r="P40" s="106"/>
      <c r="Q40" s="106"/>
      <c r="R40" s="106"/>
    </row>
    <row r="41" spans="1:18">
      <c r="A41" s="91"/>
      <c r="B41" s="92"/>
      <c r="C41" s="93"/>
      <c r="D41" s="94"/>
      <c r="E41" s="95"/>
      <c r="F41" s="96"/>
      <c r="G41" s="94"/>
      <c r="H41" s="95"/>
      <c r="I41" s="96"/>
      <c r="J41" s="96"/>
      <c r="K41" s="96"/>
      <c r="L41" s="94"/>
      <c r="M41" s="106"/>
      <c r="N41" s="105"/>
      <c r="O41" s="106"/>
      <c r="P41" s="106"/>
      <c r="Q41" s="106"/>
      <c r="R41" s="106"/>
    </row>
    <row r="42" spans="1:18">
      <c r="A42" s="91"/>
      <c r="B42" s="92"/>
      <c r="C42" s="93"/>
      <c r="D42" s="94"/>
      <c r="E42" s="95"/>
      <c r="F42" s="96"/>
      <c r="G42" s="94"/>
      <c r="H42" s="95"/>
      <c r="I42" s="96"/>
      <c r="J42" s="96"/>
      <c r="K42" s="96"/>
      <c r="L42" s="94"/>
      <c r="M42" s="106"/>
      <c r="N42" s="105"/>
      <c r="O42" s="106"/>
      <c r="P42" s="106"/>
      <c r="Q42" s="106"/>
      <c r="R42" s="106"/>
    </row>
    <row r="43" spans="1:18">
      <c r="A43" s="91"/>
      <c r="B43" s="92"/>
      <c r="C43" s="93"/>
      <c r="D43" s="94"/>
      <c r="E43" s="95"/>
      <c r="F43" s="96"/>
      <c r="G43" s="94"/>
      <c r="H43" s="95"/>
      <c r="I43" s="96"/>
      <c r="J43" s="96"/>
      <c r="K43" s="96"/>
      <c r="L43" s="94"/>
      <c r="M43" s="106"/>
      <c r="N43" s="105"/>
      <c r="O43" s="106"/>
      <c r="P43" s="106"/>
      <c r="Q43" s="106"/>
      <c r="R43" s="106"/>
    </row>
    <row r="44" spans="1:18">
      <c r="A44" s="91"/>
      <c r="B44" s="92"/>
      <c r="C44" s="93"/>
      <c r="D44" s="94"/>
      <c r="E44" s="95"/>
      <c r="F44" s="96"/>
      <c r="G44" s="94"/>
      <c r="H44" s="95"/>
      <c r="I44" s="96"/>
      <c r="J44" s="96"/>
      <c r="K44" s="96"/>
      <c r="L44" s="94"/>
      <c r="M44" s="106"/>
      <c r="N44" s="105"/>
      <c r="O44" s="106"/>
      <c r="P44" s="106"/>
      <c r="Q44" s="106"/>
      <c r="R44" s="106"/>
    </row>
    <row r="45" spans="1:18">
      <c r="A45" s="91"/>
      <c r="B45" s="92"/>
      <c r="C45" s="93"/>
      <c r="D45" s="94"/>
      <c r="E45" s="95"/>
      <c r="F45" s="96"/>
      <c r="G45" s="94"/>
      <c r="H45" s="95"/>
      <c r="I45" s="96"/>
      <c r="J45" s="96"/>
      <c r="K45" s="96"/>
      <c r="L45" s="94"/>
      <c r="M45" s="106"/>
      <c r="N45" s="105"/>
      <c r="O45" s="106"/>
      <c r="P45" s="106"/>
      <c r="Q45" s="106"/>
      <c r="R45" s="106"/>
    </row>
    <row r="46" spans="1:18">
      <c r="A46" s="91"/>
      <c r="B46" s="92"/>
      <c r="C46" s="93"/>
      <c r="D46" s="94"/>
      <c r="E46" s="95"/>
      <c r="F46" s="96"/>
      <c r="G46" s="94"/>
      <c r="H46" s="95"/>
      <c r="I46" s="96"/>
      <c r="J46" s="96"/>
      <c r="K46" s="96"/>
      <c r="L46" s="94"/>
      <c r="M46" s="106"/>
      <c r="N46" s="105"/>
      <c r="O46" s="106"/>
      <c r="P46" s="106"/>
      <c r="Q46" s="106"/>
      <c r="R46" s="106"/>
    </row>
    <row r="47" spans="1:18">
      <c r="A47" s="91"/>
      <c r="B47" s="92"/>
      <c r="C47" s="93"/>
      <c r="D47" s="94"/>
      <c r="E47" s="95"/>
      <c r="F47" s="96"/>
      <c r="G47" s="94"/>
      <c r="H47" s="95"/>
      <c r="I47" s="96"/>
      <c r="J47" s="96"/>
      <c r="K47" s="96"/>
      <c r="L47" s="94"/>
      <c r="M47" s="106"/>
      <c r="N47" s="105"/>
      <c r="O47" s="106"/>
      <c r="P47" s="106"/>
      <c r="Q47" s="106"/>
      <c r="R47" s="106"/>
    </row>
    <row r="48" spans="1:18">
      <c r="A48" s="91"/>
      <c r="B48" s="92"/>
      <c r="C48" s="93"/>
      <c r="D48" s="94"/>
      <c r="E48" s="95"/>
      <c r="F48" s="96"/>
      <c r="G48" s="94"/>
      <c r="H48" s="95"/>
      <c r="I48" s="96"/>
      <c r="J48" s="96"/>
      <c r="K48" s="96"/>
      <c r="L48" s="94"/>
      <c r="M48" s="106"/>
      <c r="N48" s="105"/>
      <c r="O48" s="106"/>
      <c r="P48" s="106"/>
      <c r="Q48" s="106"/>
      <c r="R48" s="106"/>
    </row>
    <row r="49" spans="1:18">
      <c r="A49" s="91"/>
      <c r="B49" s="92"/>
      <c r="C49" s="93"/>
      <c r="D49" s="94"/>
      <c r="E49" s="95"/>
      <c r="F49" s="96"/>
      <c r="G49" s="94"/>
      <c r="H49" s="95"/>
      <c r="I49" s="96"/>
      <c r="J49" s="96"/>
      <c r="K49" s="96"/>
      <c r="L49" s="94"/>
      <c r="M49" s="106"/>
      <c r="N49" s="105"/>
      <c r="O49" s="106"/>
      <c r="P49" s="106"/>
      <c r="Q49" s="106"/>
      <c r="R49" s="106"/>
    </row>
    <row r="50" spans="1:18">
      <c r="A50" s="91"/>
      <c r="B50" s="92"/>
      <c r="C50" s="93"/>
      <c r="D50" s="94"/>
      <c r="E50" s="95"/>
      <c r="F50" s="96"/>
      <c r="G50" s="94"/>
      <c r="H50" s="95"/>
      <c r="I50" s="96"/>
      <c r="J50" s="96"/>
      <c r="K50" s="96"/>
      <c r="L50" s="94"/>
      <c r="M50" s="106"/>
      <c r="N50" s="105"/>
      <c r="O50" s="106"/>
      <c r="P50" s="106"/>
      <c r="Q50" s="106"/>
      <c r="R50" s="106"/>
    </row>
    <row r="51" spans="1:18">
      <c r="A51" s="91"/>
      <c r="B51" s="92"/>
      <c r="C51" s="93"/>
      <c r="D51" s="94"/>
      <c r="E51" s="95"/>
      <c r="F51" s="96"/>
      <c r="G51" s="94"/>
      <c r="H51" s="95"/>
      <c r="I51" s="96"/>
      <c r="J51" s="96"/>
      <c r="K51" s="96"/>
      <c r="L51" s="94"/>
      <c r="M51" s="106"/>
      <c r="N51" s="105"/>
      <c r="O51" s="106"/>
      <c r="P51" s="106"/>
      <c r="Q51" s="106"/>
      <c r="R51" s="106"/>
    </row>
    <row r="52" spans="1:18">
      <c r="A52" s="91"/>
      <c r="B52" s="92"/>
      <c r="C52" s="93"/>
      <c r="D52" s="94"/>
      <c r="E52" s="95"/>
      <c r="F52" s="96"/>
      <c r="G52" s="94"/>
      <c r="H52" s="95"/>
      <c r="I52" s="96"/>
      <c r="J52" s="96"/>
      <c r="K52" s="96"/>
      <c r="L52" s="94"/>
      <c r="M52" s="106"/>
      <c r="N52" s="105"/>
      <c r="O52" s="106"/>
      <c r="P52" s="106"/>
      <c r="Q52" s="106"/>
      <c r="R52" s="106"/>
    </row>
    <row r="53" spans="1:18">
      <c r="A53" s="91"/>
      <c r="B53" s="92"/>
      <c r="C53" s="93"/>
      <c r="D53" s="94"/>
      <c r="E53" s="95"/>
      <c r="F53" s="96"/>
      <c r="G53" s="94"/>
      <c r="H53" s="95"/>
      <c r="I53" s="96"/>
      <c r="J53" s="96"/>
      <c r="K53" s="96"/>
      <c r="L53" s="94"/>
      <c r="M53" s="106"/>
      <c r="N53" s="105"/>
      <c r="O53" s="106"/>
      <c r="P53" s="106"/>
      <c r="Q53" s="106"/>
      <c r="R53" s="106"/>
    </row>
    <row r="54" spans="1:18">
      <c r="A54" s="91"/>
      <c r="B54" s="92"/>
      <c r="C54" s="93"/>
      <c r="D54" s="94"/>
      <c r="E54" s="95"/>
      <c r="F54" s="96"/>
      <c r="G54" s="94"/>
      <c r="H54" s="95"/>
      <c r="I54" s="96"/>
      <c r="J54" s="96"/>
      <c r="K54" s="96"/>
      <c r="L54" s="94"/>
      <c r="M54" s="106"/>
      <c r="N54" s="105"/>
      <c r="O54" s="106"/>
      <c r="P54" s="106"/>
      <c r="Q54" s="106"/>
      <c r="R54" s="106"/>
    </row>
    <row r="55" spans="1:18">
      <c r="A55" s="91"/>
      <c r="B55" s="92"/>
      <c r="C55" s="93"/>
      <c r="D55" s="94"/>
      <c r="E55" s="95"/>
      <c r="F55" s="96"/>
      <c r="G55" s="94"/>
      <c r="H55" s="95"/>
      <c r="I55" s="96"/>
      <c r="J55" s="96"/>
      <c r="K55" s="96"/>
      <c r="L55" s="94"/>
      <c r="M55" s="106"/>
      <c r="N55" s="105"/>
      <c r="O55" s="106"/>
      <c r="P55" s="106"/>
      <c r="Q55" s="106"/>
      <c r="R55" s="106"/>
    </row>
    <row r="56" spans="1:18">
      <c r="A56" s="91"/>
      <c r="B56" s="92"/>
      <c r="C56" s="93"/>
      <c r="D56" s="94"/>
      <c r="E56" s="95"/>
      <c r="F56" s="96"/>
      <c r="G56" s="94"/>
      <c r="H56" s="95"/>
      <c r="I56" s="96"/>
      <c r="J56" s="96"/>
      <c r="K56" s="96"/>
      <c r="L56" s="94"/>
      <c r="M56" s="106"/>
      <c r="N56" s="105"/>
      <c r="O56" s="106"/>
      <c r="P56" s="106"/>
      <c r="Q56" s="106"/>
      <c r="R56" s="106"/>
    </row>
    <row r="57" spans="1:18">
      <c r="A57" s="91"/>
      <c r="B57" s="92"/>
      <c r="C57" s="93"/>
      <c r="D57" s="94"/>
      <c r="E57" s="95"/>
      <c r="F57" s="96"/>
      <c r="G57" s="94"/>
      <c r="H57" s="95"/>
      <c r="I57" s="96"/>
      <c r="J57" s="96"/>
      <c r="K57" s="96"/>
      <c r="L57" s="94"/>
      <c r="M57" s="106"/>
      <c r="N57" s="105"/>
      <c r="O57" s="106"/>
      <c r="P57" s="106"/>
      <c r="Q57" s="106"/>
      <c r="R57" s="106"/>
    </row>
    <row r="58" spans="1:18">
      <c r="A58" s="91"/>
      <c r="B58" s="92"/>
      <c r="C58" s="93"/>
      <c r="D58" s="94"/>
      <c r="E58" s="95"/>
      <c r="F58" s="96"/>
      <c r="G58" s="94"/>
      <c r="H58" s="95"/>
      <c r="I58" s="96"/>
      <c r="J58" s="96"/>
      <c r="K58" s="96"/>
      <c r="L58" s="94"/>
      <c r="M58" s="106"/>
      <c r="N58" s="105"/>
      <c r="O58" s="106"/>
      <c r="P58" s="106"/>
      <c r="Q58" s="106"/>
      <c r="R58" s="106"/>
    </row>
    <row r="59" spans="1:18">
      <c r="A59" s="91"/>
      <c r="B59" s="92"/>
      <c r="C59" s="93"/>
      <c r="D59" s="94"/>
      <c r="E59" s="95"/>
      <c r="F59" s="96"/>
      <c r="G59" s="94"/>
      <c r="H59" s="95"/>
      <c r="I59" s="96"/>
      <c r="J59" s="96"/>
      <c r="K59" s="96"/>
      <c r="L59" s="94"/>
      <c r="M59" s="106"/>
      <c r="N59" s="105"/>
      <c r="O59" s="106"/>
      <c r="P59" s="106"/>
      <c r="Q59" s="106"/>
      <c r="R59" s="106"/>
    </row>
    <row r="60" spans="1:18">
      <c r="A60" s="91"/>
      <c r="B60" s="92"/>
      <c r="C60" s="93"/>
      <c r="D60" s="94"/>
      <c r="E60" s="95"/>
      <c r="F60" s="96"/>
      <c r="G60" s="94"/>
      <c r="H60" s="95"/>
      <c r="I60" s="96"/>
      <c r="J60" s="96"/>
      <c r="K60" s="96"/>
      <c r="L60" s="94"/>
      <c r="M60" s="106"/>
      <c r="N60" s="105"/>
      <c r="O60" s="106"/>
      <c r="P60" s="106"/>
      <c r="Q60" s="106"/>
      <c r="R60" s="106"/>
    </row>
    <row r="61" spans="1:18">
      <c r="A61" s="91"/>
      <c r="B61" s="92"/>
      <c r="C61" s="93"/>
      <c r="D61" s="94"/>
      <c r="E61" s="95"/>
      <c r="F61" s="96"/>
      <c r="G61" s="94"/>
      <c r="H61" s="95"/>
      <c r="I61" s="96"/>
      <c r="J61" s="96"/>
      <c r="K61" s="96"/>
      <c r="L61" s="94"/>
      <c r="M61" s="106"/>
      <c r="N61" s="105"/>
      <c r="O61" s="106"/>
      <c r="P61" s="106"/>
      <c r="Q61" s="106"/>
      <c r="R61" s="106"/>
    </row>
    <row r="62" spans="1:18">
      <c r="A62" s="91"/>
      <c r="B62" s="92"/>
      <c r="C62" s="93"/>
      <c r="D62" s="94"/>
      <c r="E62" s="95"/>
      <c r="F62" s="96"/>
      <c r="G62" s="94"/>
      <c r="H62" s="95"/>
      <c r="I62" s="96"/>
      <c r="J62" s="96"/>
      <c r="K62" s="96"/>
      <c r="L62" s="94"/>
      <c r="M62" s="106"/>
      <c r="N62" s="105"/>
      <c r="O62" s="106"/>
      <c r="P62" s="106"/>
      <c r="Q62" s="106"/>
      <c r="R62" s="106"/>
    </row>
    <row r="63" spans="1:18">
      <c r="A63" s="91"/>
      <c r="B63" s="92"/>
      <c r="C63" s="93"/>
      <c r="D63" s="94"/>
      <c r="E63" s="95"/>
      <c r="F63" s="96"/>
      <c r="G63" s="94"/>
      <c r="H63" s="95"/>
      <c r="I63" s="96"/>
      <c r="J63" s="96"/>
      <c r="K63" s="96"/>
      <c r="L63" s="94"/>
      <c r="M63" s="106"/>
      <c r="N63" s="105"/>
      <c r="O63" s="106"/>
      <c r="P63" s="106"/>
      <c r="Q63" s="106"/>
      <c r="R63" s="106"/>
    </row>
    <row r="64" spans="1:18">
      <c r="A64" s="91"/>
      <c r="B64" s="92"/>
      <c r="C64" s="93"/>
      <c r="D64" s="94"/>
      <c r="E64" s="95"/>
      <c r="F64" s="96"/>
      <c r="G64" s="94"/>
      <c r="H64" s="95"/>
      <c r="I64" s="96"/>
      <c r="J64" s="96"/>
      <c r="K64" s="96"/>
      <c r="L64" s="94"/>
      <c r="M64" s="106"/>
      <c r="N64" s="105"/>
      <c r="O64" s="106"/>
      <c r="P64" s="106"/>
      <c r="Q64" s="106"/>
      <c r="R64" s="106"/>
    </row>
    <row r="65" spans="1:18">
      <c r="A65" s="91"/>
      <c r="B65" s="92"/>
      <c r="C65" s="93"/>
      <c r="D65" s="94"/>
      <c r="E65" s="95"/>
      <c r="F65" s="96"/>
      <c r="G65" s="94"/>
      <c r="H65" s="95"/>
      <c r="I65" s="96"/>
      <c r="J65" s="96"/>
      <c r="K65" s="96"/>
      <c r="L65" s="94"/>
      <c r="M65" s="106"/>
      <c r="N65" s="105"/>
      <c r="O65" s="106"/>
      <c r="P65" s="106"/>
      <c r="Q65" s="106"/>
      <c r="R65" s="106"/>
    </row>
    <row r="66" spans="1:18">
      <c r="A66" s="91"/>
      <c r="B66" s="92"/>
      <c r="C66" s="93"/>
      <c r="D66" s="94"/>
      <c r="E66" s="95"/>
      <c r="F66" s="96"/>
      <c r="G66" s="94"/>
      <c r="H66" s="95"/>
      <c r="I66" s="96"/>
      <c r="J66" s="96"/>
      <c r="K66" s="96"/>
      <c r="L66" s="94"/>
      <c r="M66" s="106"/>
      <c r="N66" s="105"/>
      <c r="O66" s="106"/>
      <c r="P66" s="106"/>
      <c r="Q66" s="106"/>
      <c r="R66" s="106"/>
    </row>
    <row r="67" spans="1:18">
      <c r="A67" s="91"/>
      <c r="B67" s="92"/>
      <c r="C67" s="93"/>
      <c r="D67" s="94"/>
      <c r="E67" s="95"/>
      <c r="F67" s="96"/>
      <c r="G67" s="94"/>
      <c r="H67" s="95"/>
      <c r="I67" s="96"/>
      <c r="J67" s="96"/>
      <c r="K67" s="96"/>
      <c r="L67" s="94"/>
      <c r="M67" s="106"/>
      <c r="N67" s="105"/>
      <c r="O67" s="106"/>
      <c r="P67" s="106"/>
      <c r="Q67" s="106"/>
      <c r="R67" s="106"/>
    </row>
    <row r="68" spans="1:18">
      <c r="A68" s="91"/>
      <c r="B68" s="92"/>
      <c r="C68" s="93"/>
      <c r="D68" s="94"/>
      <c r="E68" s="95"/>
      <c r="F68" s="96"/>
      <c r="G68" s="94"/>
      <c r="H68" s="95"/>
      <c r="I68" s="96"/>
      <c r="J68" s="96"/>
      <c r="K68" s="96"/>
      <c r="L68" s="94"/>
      <c r="M68" s="106"/>
      <c r="N68" s="105"/>
      <c r="O68" s="106"/>
      <c r="P68" s="106"/>
      <c r="Q68" s="106"/>
      <c r="R68" s="106"/>
    </row>
    <row r="69" spans="1:18">
      <c r="A69" s="91"/>
      <c r="B69" s="92"/>
      <c r="C69" s="93"/>
      <c r="D69" s="94"/>
      <c r="E69" s="95"/>
      <c r="F69" s="96"/>
      <c r="G69" s="94"/>
      <c r="H69" s="95"/>
      <c r="I69" s="96"/>
      <c r="J69" s="96"/>
      <c r="K69" s="96"/>
      <c r="L69" s="94"/>
      <c r="M69" s="106"/>
      <c r="N69" s="105"/>
      <c r="O69" s="106"/>
      <c r="P69" s="106"/>
      <c r="Q69" s="106"/>
      <c r="R69" s="106"/>
    </row>
    <row r="70" spans="1:18">
      <c r="A70" s="91"/>
      <c r="B70" s="92"/>
      <c r="C70" s="93"/>
      <c r="D70" s="94"/>
      <c r="E70" s="95"/>
      <c r="F70" s="96"/>
      <c r="G70" s="94"/>
      <c r="H70" s="95"/>
      <c r="I70" s="96"/>
      <c r="J70" s="96"/>
      <c r="K70" s="96"/>
      <c r="L70" s="94"/>
      <c r="M70" s="106"/>
      <c r="N70" s="105"/>
      <c r="O70" s="106"/>
      <c r="P70" s="106"/>
      <c r="Q70" s="106"/>
      <c r="R70" s="106"/>
    </row>
    <row r="71" spans="1:18">
      <c r="A71" s="91"/>
      <c r="B71" s="92"/>
      <c r="C71" s="93"/>
      <c r="D71" s="94"/>
      <c r="E71" s="95"/>
      <c r="F71" s="96"/>
      <c r="G71" s="94"/>
      <c r="H71" s="95"/>
      <c r="I71" s="96"/>
      <c r="J71" s="96"/>
      <c r="K71" s="96"/>
      <c r="L71" s="94"/>
      <c r="M71" s="106"/>
      <c r="N71" s="105"/>
      <c r="O71" s="106"/>
      <c r="P71" s="106"/>
      <c r="Q71" s="106"/>
      <c r="R71" s="106"/>
    </row>
    <row r="72" spans="1:18">
      <c r="A72" s="91"/>
      <c r="B72" s="92"/>
      <c r="C72" s="93"/>
      <c r="D72" s="94"/>
      <c r="E72" s="95"/>
      <c r="F72" s="96"/>
      <c r="G72" s="94"/>
      <c r="H72" s="95"/>
      <c r="I72" s="96"/>
      <c r="J72" s="96"/>
      <c r="K72" s="96"/>
      <c r="L72" s="94"/>
      <c r="M72" s="106"/>
      <c r="N72" s="105"/>
      <c r="O72" s="106"/>
      <c r="P72" s="106"/>
      <c r="Q72" s="106"/>
      <c r="R72" s="106"/>
    </row>
    <row r="73" spans="1:18">
      <c r="A73" s="91"/>
      <c r="B73" s="92"/>
      <c r="C73" s="93"/>
      <c r="D73" s="94"/>
      <c r="E73" s="95"/>
      <c r="F73" s="96"/>
      <c r="G73" s="94"/>
      <c r="H73" s="95"/>
      <c r="I73" s="96"/>
      <c r="J73" s="96"/>
      <c r="K73" s="96"/>
      <c r="L73" s="94"/>
      <c r="M73" s="106"/>
      <c r="N73" s="105"/>
      <c r="O73" s="106"/>
      <c r="P73" s="106"/>
      <c r="Q73" s="106"/>
      <c r="R73" s="106"/>
    </row>
    <row r="74" spans="1:18">
      <c r="A74" s="91"/>
      <c r="B74" s="92"/>
      <c r="C74" s="93"/>
      <c r="D74" s="94"/>
      <c r="E74" s="95"/>
      <c r="F74" s="96"/>
      <c r="G74" s="94"/>
      <c r="H74" s="95"/>
      <c r="I74" s="96"/>
      <c r="J74" s="96"/>
      <c r="K74" s="96"/>
      <c r="L74" s="94"/>
      <c r="M74" s="106"/>
      <c r="N74" s="105"/>
      <c r="O74" s="106"/>
      <c r="P74" s="106"/>
      <c r="Q74" s="106"/>
      <c r="R74" s="106"/>
    </row>
    <row r="75" spans="1:18">
      <c r="A75" s="91"/>
      <c r="B75" s="92"/>
      <c r="C75" s="93"/>
      <c r="D75" s="94"/>
      <c r="E75" s="95"/>
      <c r="F75" s="96"/>
      <c r="G75" s="94"/>
      <c r="H75" s="95"/>
      <c r="I75" s="96"/>
      <c r="J75" s="96"/>
      <c r="K75" s="96"/>
      <c r="L75" s="94"/>
      <c r="M75" s="106"/>
      <c r="N75" s="105"/>
      <c r="O75" s="106"/>
      <c r="P75" s="106"/>
      <c r="Q75" s="106"/>
      <c r="R75" s="106"/>
    </row>
    <row r="76" spans="1:18">
      <c r="A76" s="91"/>
      <c r="B76" s="92"/>
      <c r="C76" s="93"/>
      <c r="D76" s="94"/>
      <c r="E76" s="95"/>
      <c r="F76" s="96"/>
      <c r="G76" s="94"/>
      <c r="H76" s="95"/>
      <c r="I76" s="96"/>
      <c r="J76" s="96"/>
      <c r="K76" s="96"/>
      <c r="L76" s="94"/>
      <c r="M76" s="106"/>
      <c r="N76" s="105"/>
      <c r="O76" s="106"/>
      <c r="P76" s="106"/>
      <c r="Q76" s="106"/>
      <c r="R76" s="106"/>
    </row>
    <row r="77" spans="1:18">
      <c r="A77" s="91"/>
      <c r="B77" s="92"/>
      <c r="C77" s="93"/>
      <c r="D77" s="94"/>
      <c r="E77" s="95"/>
      <c r="F77" s="96"/>
      <c r="G77" s="94"/>
      <c r="H77" s="95"/>
      <c r="I77" s="96"/>
      <c r="J77" s="96"/>
      <c r="K77" s="96"/>
      <c r="L77" s="94"/>
      <c r="M77" s="106"/>
      <c r="N77" s="105"/>
      <c r="O77" s="106"/>
      <c r="P77" s="106"/>
      <c r="Q77" s="106"/>
      <c r="R77" s="106"/>
    </row>
    <row r="78" spans="1:18">
      <c r="A78" s="91"/>
      <c r="B78" s="92"/>
      <c r="C78" s="93"/>
      <c r="D78" s="94"/>
      <c r="E78" s="95"/>
      <c r="F78" s="96"/>
      <c r="G78" s="94"/>
      <c r="H78" s="95"/>
      <c r="I78" s="96"/>
      <c r="J78" s="96"/>
      <c r="K78" s="96"/>
      <c r="L78" s="94"/>
      <c r="M78" s="106"/>
      <c r="N78" s="105"/>
      <c r="O78" s="106"/>
      <c r="P78" s="106"/>
      <c r="Q78" s="106"/>
      <c r="R78" s="106"/>
    </row>
    <row r="79" spans="1:18">
      <c r="A79" s="91"/>
      <c r="B79" s="92"/>
      <c r="C79" s="93"/>
      <c r="D79" s="94"/>
      <c r="E79" s="95"/>
      <c r="F79" s="96"/>
      <c r="G79" s="94"/>
      <c r="H79" s="95"/>
      <c r="I79" s="96"/>
      <c r="J79" s="96"/>
      <c r="K79" s="96"/>
      <c r="L79" s="94"/>
      <c r="M79" s="106"/>
      <c r="N79" s="105"/>
      <c r="O79" s="106"/>
      <c r="P79" s="106"/>
      <c r="Q79" s="106"/>
      <c r="R79" s="106"/>
    </row>
    <row r="80" spans="1:18">
      <c r="A80" s="91"/>
      <c r="B80" s="92"/>
      <c r="C80" s="93"/>
      <c r="D80" s="94"/>
      <c r="E80" s="95"/>
      <c r="F80" s="96"/>
      <c r="G80" s="94"/>
      <c r="H80" s="95"/>
      <c r="I80" s="96"/>
      <c r="J80" s="96"/>
      <c r="K80" s="96"/>
      <c r="L80" s="94"/>
      <c r="M80" s="106"/>
      <c r="N80" s="105"/>
      <c r="O80" s="106"/>
      <c r="P80" s="106"/>
      <c r="Q80" s="106"/>
      <c r="R80" s="106"/>
    </row>
    <row r="81" spans="1:18">
      <c r="A81" s="91"/>
      <c r="B81" s="92"/>
      <c r="C81" s="93"/>
      <c r="D81" s="94"/>
      <c r="E81" s="95"/>
      <c r="F81" s="96"/>
      <c r="G81" s="94"/>
      <c r="H81" s="95"/>
      <c r="I81" s="96"/>
      <c r="J81" s="96"/>
      <c r="K81" s="96"/>
      <c r="L81" s="94"/>
      <c r="M81" s="106"/>
      <c r="N81" s="105"/>
      <c r="O81" s="106"/>
      <c r="P81" s="106"/>
      <c r="Q81" s="106"/>
      <c r="R81" s="106"/>
    </row>
    <row r="82" spans="1:18">
      <c r="A82" s="91"/>
      <c r="B82" s="92"/>
      <c r="C82" s="93"/>
      <c r="D82" s="94"/>
      <c r="E82" s="95"/>
      <c r="F82" s="96"/>
      <c r="G82" s="94"/>
      <c r="H82" s="95"/>
      <c r="I82" s="96"/>
      <c r="J82" s="96"/>
      <c r="K82" s="96"/>
      <c r="L82" s="94"/>
      <c r="M82" s="106"/>
      <c r="N82" s="105"/>
      <c r="O82" s="106"/>
      <c r="P82" s="106"/>
      <c r="Q82" s="106"/>
      <c r="R82" s="106"/>
    </row>
    <row r="83" spans="1:18">
      <c r="A83" s="91"/>
      <c r="B83" s="92"/>
      <c r="C83" s="93"/>
      <c r="D83" s="94"/>
      <c r="E83" s="95"/>
      <c r="F83" s="96"/>
      <c r="G83" s="94"/>
      <c r="H83" s="95"/>
      <c r="I83" s="96"/>
      <c r="J83" s="96"/>
      <c r="K83" s="96"/>
      <c r="L83" s="94"/>
      <c r="M83" s="106"/>
      <c r="N83" s="105"/>
      <c r="O83" s="106"/>
      <c r="P83" s="106"/>
      <c r="Q83" s="106"/>
      <c r="R83" s="106"/>
    </row>
    <row r="84" spans="1:18">
      <c r="A84" s="91"/>
      <c r="B84" s="92"/>
      <c r="C84" s="93"/>
      <c r="D84" s="94"/>
      <c r="E84" s="95"/>
      <c r="F84" s="96"/>
      <c r="G84" s="94"/>
      <c r="H84" s="95"/>
      <c r="I84" s="96"/>
      <c r="J84" s="96"/>
      <c r="K84" s="96"/>
      <c r="L84" s="94"/>
      <c r="M84" s="106"/>
      <c r="N84" s="105"/>
      <c r="O84" s="106"/>
      <c r="P84" s="106"/>
      <c r="Q84" s="106"/>
      <c r="R84" s="106"/>
    </row>
    <row r="85" spans="1:18">
      <c r="A85" s="91"/>
      <c r="B85" s="92"/>
      <c r="C85" s="93"/>
      <c r="D85" s="94"/>
      <c r="E85" s="95"/>
      <c r="F85" s="96"/>
      <c r="G85" s="94"/>
      <c r="H85" s="95"/>
      <c r="I85" s="96"/>
      <c r="J85" s="96"/>
      <c r="K85" s="96"/>
      <c r="L85" s="94"/>
      <c r="M85" s="106"/>
      <c r="N85" s="105"/>
      <c r="O85" s="106"/>
      <c r="P85" s="106"/>
      <c r="Q85" s="106"/>
      <c r="R85" s="106"/>
    </row>
    <row r="86" spans="1:18">
      <c r="A86" s="91"/>
      <c r="B86" s="92"/>
      <c r="C86" s="93"/>
      <c r="D86" s="94"/>
      <c r="E86" s="95"/>
      <c r="F86" s="96"/>
      <c r="G86" s="94"/>
      <c r="H86" s="95"/>
      <c r="I86" s="96"/>
      <c r="J86" s="96"/>
      <c r="K86" s="96"/>
      <c r="L86" s="94"/>
      <c r="M86" s="106"/>
      <c r="N86" s="105"/>
      <c r="O86" s="106"/>
      <c r="P86" s="106"/>
      <c r="Q86" s="106"/>
      <c r="R86" s="106"/>
    </row>
    <row r="87" spans="1:18">
      <c r="A87" s="91"/>
      <c r="B87" s="92"/>
      <c r="C87" s="93"/>
      <c r="D87" s="94"/>
      <c r="E87" s="95"/>
      <c r="F87" s="96"/>
      <c r="G87" s="94"/>
      <c r="H87" s="95"/>
      <c r="I87" s="96"/>
      <c r="J87" s="96"/>
      <c r="K87" s="96"/>
      <c r="L87" s="94"/>
      <c r="M87" s="106"/>
      <c r="N87" s="105"/>
      <c r="O87" s="106"/>
      <c r="P87" s="106"/>
      <c r="Q87" s="106"/>
      <c r="R87" s="106"/>
    </row>
    <row r="88" spans="1:18">
      <c r="A88" s="91"/>
      <c r="B88" s="92"/>
      <c r="C88" s="93"/>
      <c r="D88" s="94"/>
      <c r="E88" s="95"/>
      <c r="F88" s="96"/>
      <c r="G88" s="94"/>
      <c r="H88" s="95"/>
      <c r="I88" s="96"/>
      <c r="J88" s="96"/>
      <c r="K88" s="96"/>
      <c r="L88" s="94"/>
      <c r="M88" s="106"/>
      <c r="N88" s="105"/>
      <c r="O88" s="106"/>
      <c r="P88" s="106"/>
      <c r="Q88" s="106"/>
      <c r="R88" s="106"/>
    </row>
    <row r="89" spans="1:18">
      <c r="A89" s="91"/>
      <c r="B89" s="92"/>
      <c r="C89" s="93"/>
      <c r="D89" s="94"/>
      <c r="E89" s="95"/>
      <c r="F89" s="96"/>
      <c r="G89" s="94"/>
      <c r="H89" s="95"/>
      <c r="I89" s="96"/>
      <c r="J89" s="96"/>
      <c r="K89" s="96"/>
      <c r="L89" s="94"/>
      <c r="M89" s="106"/>
      <c r="N89" s="105"/>
      <c r="O89" s="106"/>
      <c r="P89" s="106"/>
      <c r="Q89" s="106"/>
      <c r="R89" s="106"/>
    </row>
    <row r="90" spans="1:18">
      <c r="A90" s="91"/>
      <c r="B90" s="92"/>
      <c r="C90" s="93"/>
      <c r="D90" s="94"/>
      <c r="E90" s="95"/>
      <c r="F90" s="96"/>
      <c r="G90" s="94"/>
      <c r="H90" s="95"/>
      <c r="I90" s="96"/>
      <c r="J90" s="96"/>
      <c r="K90" s="96"/>
      <c r="L90" s="94"/>
      <c r="M90" s="106"/>
      <c r="N90" s="105"/>
      <c r="O90" s="106"/>
      <c r="P90" s="106"/>
      <c r="Q90" s="106"/>
      <c r="R90" s="106"/>
    </row>
    <row r="91" spans="1:18">
      <c r="A91" s="91"/>
      <c r="B91" s="92"/>
      <c r="C91" s="93"/>
      <c r="D91" s="94"/>
      <c r="E91" s="95"/>
      <c r="F91" s="96"/>
      <c r="G91" s="94"/>
      <c r="H91" s="95"/>
      <c r="I91" s="96"/>
      <c r="J91" s="96"/>
      <c r="K91" s="96"/>
      <c r="L91" s="94"/>
      <c r="M91" s="106"/>
      <c r="N91" s="105"/>
      <c r="O91" s="106"/>
      <c r="P91" s="106"/>
      <c r="Q91" s="106"/>
      <c r="R91" s="106"/>
    </row>
    <row r="92" spans="1:18">
      <c r="A92" s="91"/>
      <c r="B92" s="92"/>
      <c r="C92" s="93"/>
      <c r="D92" s="94"/>
      <c r="E92" s="95"/>
      <c r="F92" s="96"/>
      <c r="G92" s="94"/>
      <c r="H92" s="95"/>
      <c r="I92" s="96"/>
      <c r="J92" s="96"/>
      <c r="K92" s="96"/>
      <c r="L92" s="94"/>
      <c r="M92" s="106"/>
      <c r="N92" s="105"/>
      <c r="O92" s="106"/>
      <c r="P92" s="106"/>
      <c r="Q92" s="106"/>
      <c r="R92" s="106"/>
    </row>
    <row r="93" spans="1:18">
      <c r="A93" s="91"/>
      <c r="B93" s="92"/>
      <c r="C93" s="93"/>
      <c r="D93" s="94"/>
      <c r="E93" s="95"/>
      <c r="F93" s="96"/>
      <c r="G93" s="94"/>
      <c r="H93" s="95"/>
      <c r="I93" s="96"/>
      <c r="J93" s="96"/>
      <c r="K93" s="96"/>
      <c r="L93" s="94"/>
      <c r="M93" s="106"/>
      <c r="N93" s="105"/>
      <c r="O93" s="106"/>
      <c r="P93" s="106"/>
      <c r="Q93" s="106"/>
      <c r="R93" s="106"/>
    </row>
    <row r="94" spans="1:18">
      <c r="A94" s="91"/>
      <c r="B94" s="92"/>
      <c r="C94" s="93"/>
      <c r="D94" s="94"/>
      <c r="E94" s="95"/>
      <c r="F94" s="96"/>
      <c r="G94" s="94"/>
      <c r="H94" s="95"/>
      <c r="I94" s="96"/>
      <c r="J94" s="96"/>
      <c r="K94" s="96"/>
      <c r="L94" s="94"/>
      <c r="M94" s="106"/>
      <c r="N94" s="105"/>
      <c r="O94" s="106"/>
      <c r="P94" s="106"/>
      <c r="Q94" s="106"/>
      <c r="R94" s="106"/>
    </row>
    <row r="95" spans="1:18">
      <c r="A95" s="91"/>
      <c r="B95" s="92"/>
      <c r="C95" s="93"/>
      <c r="D95" s="94"/>
      <c r="E95" s="95"/>
      <c r="F95" s="96"/>
      <c r="G95" s="94"/>
      <c r="H95" s="95"/>
      <c r="I95" s="96"/>
      <c r="J95" s="96"/>
      <c r="K95" s="96"/>
      <c r="L95" s="94"/>
      <c r="M95" s="106"/>
      <c r="N95" s="105"/>
      <c r="O95" s="106"/>
      <c r="P95" s="106"/>
      <c r="Q95" s="106"/>
      <c r="R95" s="106"/>
    </row>
    <row r="96" spans="1:18">
      <c r="A96" s="91"/>
      <c r="B96" s="92"/>
      <c r="C96" s="93"/>
      <c r="D96" s="94"/>
      <c r="E96" s="95"/>
      <c r="F96" s="96"/>
      <c r="G96" s="94"/>
      <c r="H96" s="95"/>
      <c r="I96" s="96"/>
      <c r="J96" s="96"/>
      <c r="K96" s="96"/>
      <c r="L96" s="94"/>
      <c r="M96" s="106"/>
      <c r="N96" s="105"/>
      <c r="O96" s="106"/>
      <c r="P96" s="106"/>
      <c r="Q96" s="106"/>
      <c r="R96" s="106"/>
    </row>
    <row r="97" spans="1:18">
      <c r="A97" s="91"/>
      <c r="B97" s="92"/>
      <c r="C97" s="93"/>
      <c r="D97" s="94"/>
      <c r="E97" s="95"/>
      <c r="F97" s="96"/>
      <c r="G97" s="94"/>
      <c r="H97" s="95"/>
      <c r="I97" s="96"/>
      <c r="J97" s="96"/>
      <c r="K97" s="96"/>
      <c r="L97" s="94"/>
      <c r="M97" s="106"/>
      <c r="N97" s="105"/>
      <c r="O97" s="106"/>
      <c r="P97" s="106"/>
      <c r="Q97" s="106"/>
      <c r="R97" s="106"/>
    </row>
    <row r="98" spans="1:18">
      <c r="A98" s="91"/>
      <c r="B98" s="92"/>
      <c r="C98" s="93"/>
      <c r="D98" s="94"/>
      <c r="E98" s="95"/>
      <c r="F98" s="96"/>
      <c r="G98" s="94"/>
      <c r="H98" s="95"/>
      <c r="I98" s="96"/>
      <c r="J98" s="96"/>
      <c r="K98" s="96"/>
      <c r="L98" s="94"/>
      <c r="M98" s="106"/>
      <c r="N98" s="105"/>
      <c r="O98" s="106"/>
      <c r="P98" s="106"/>
      <c r="Q98" s="106"/>
      <c r="R98" s="106"/>
    </row>
    <row r="99" spans="1:18">
      <c r="A99" s="91"/>
      <c r="B99" s="92"/>
      <c r="C99" s="93"/>
      <c r="D99" s="94"/>
      <c r="E99" s="95"/>
      <c r="F99" s="96"/>
      <c r="G99" s="94"/>
      <c r="H99" s="95"/>
      <c r="I99" s="96"/>
      <c r="J99" s="96"/>
      <c r="K99" s="96"/>
      <c r="L99" s="94"/>
      <c r="M99" s="106"/>
      <c r="N99" s="105"/>
      <c r="O99" s="106"/>
      <c r="P99" s="106"/>
      <c r="Q99" s="106"/>
      <c r="R99" s="106"/>
    </row>
    <row r="100" spans="1:18">
      <c r="A100" s="91"/>
      <c r="B100" s="92"/>
      <c r="C100" s="93"/>
      <c r="D100" s="94"/>
      <c r="E100" s="95"/>
      <c r="F100" s="96"/>
      <c r="G100" s="94"/>
      <c r="H100" s="95"/>
      <c r="I100" s="96"/>
      <c r="J100" s="96"/>
      <c r="K100" s="96"/>
      <c r="L100" s="94"/>
      <c r="M100" s="106"/>
      <c r="N100" s="105"/>
      <c r="O100" s="106"/>
      <c r="P100" s="106"/>
      <c r="Q100" s="106"/>
      <c r="R100" s="106"/>
    </row>
    <row r="101" spans="1:18">
      <c r="A101" s="91"/>
      <c r="B101" s="92"/>
      <c r="C101" s="93"/>
      <c r="D101" s="94"/>
      <c r="E101" s="95"/>
      <c r="F101" s="96"/>
      <c r="G101" s="94"/>
      <c r="H101" s="95"/>
      <c r="I101" s="96"/>
      <c r="J101" s="96"/>
      <c r="K101" s="96"/>
      <c r="L101" s="94"/>
      <c r="M101" s="106"/>
      <c r="N101" s="105"/>
      <c r="O101" s="106"/>
      <c r="P101" s="106"/>
      <c r="Q101" s="106"/>
      <c r="R101" s="106"/>
    </row>
    <row r="102" spans="1:18">
      <c r="A102" s="91"/>
      <c r="B102" s="92"/>
      <c r="C102" s="93"/>
      <c r="D102" s="94"/>
      <c r="E102" s="95"/>
      <c r="F102" s="96"/>
      <c r="G102" s="94"/>
      <c r="H102" s="95"/>
      <c r="I102" s="96"/>
      <c r="J102" s="96"/>
      <c r="K102" s="96"/>
      <c r="L102" s="94"/>
      <c r="M102" s="106"/>
      <c r="N102" s="105"/>
      <c r="O102" s="106"/>
      <c r="P102" s="106"/>
      <c r="Q102" s="106"/>
      <c r="R102" s="106"/>
    </row>
    <row r="103" spans="1:18">
      <c r="A103" s="91"/>
      <c r="B103" s="92"/>
      <c r="C103" s="93"/>
      <c r="D103" s="94"/>
      <c r="E103" s="95"/>
      <c r="F103" s="96"/>
      <c r="G103" s="94"/>
      <c r="H103" s="95"/>
      <c r="I103" s="96"/>
      <c r="J103" s="96"/>
      <c r="K103" s="96"/>
      <c r="L103" s="94"/>
      <c r="M103" s="106"/>
      <c r="N103" s="105"/>
      <c r="O103" s="106"/>
      <c r="P103" s="106"/>
      <c r="Q103" s="106"/>
      <c r="R103" s="106"/>
    </row>
    <row r="104" spans="1:18">
      <c r="A104" s="91"/>
      <c r="B104" s="92"/>
      <c r="C104" s="93"/>
      <c r="D104" s="94"/>
      <c r="E104" s="95"/>
      <c r="F104" s="96"/>
      <c r="G104" s="94"/>
      <c r="H104" s="95"/>
      <c r="I104" s="96"/>
      <c r="J104" s="96"/>
      <c r="K104" s="96"/>
      <c r="L104" s="94"/>
      <c r="M104" s="106"/>
      <c r="N104" s="105"/>
      <c r="O104" s="106"/>
      <c r="P104" s="106"/>
      <c r="Q104" s="106"/>
      <c r="R104" s="106"/>
    </row>
    <row r="105" spans="1:18">
      <c r="A105" s="91"/>
      <c r="B105" s="92"/>
      <c r="C105" s="93"/>
      <c r="D105" s="94"/>
      <c r="E105" s="95"/>
      <c r="F105" s="96"/>
      <c r="G105" s="94"/>
      <c r="H105" s="95"/>
      <c r="I105" s="96"/>
      <c r="J105" s="96"/>
      <c r="K105" s="96"/>
      <c r="L105" s="94"/>
      <c r="M105" s="106"/>
      <c r="N105" s="105"/>
      <c r="O105" s="106"/>
      <c r="P105" s="106"/>
      <c r="Q105" s="106"/>
      <c r="R105" s="106"/>
    </row>
    <row r="106" spans="1:18">
      <c r="A106" s="91"/>
      <c r="B106" s="92"/>
      <c r="C106" s="93"/>
      <c r="D106" s="94"/>
      <c r="E106" s="95"/>
      <c r="F106" s="96"/>
      <c r="G106" s="94"/>
      <c r="H106" s="95"/>
      <c r="I106" s="96"/>
      <c r="J106" s="96"/>
      <c r="K106" s="96"/>
      <c r="L106" s="94"/>
      <c r="M106" s="106"/>
      <c r="N106" s="105"/>
      <c r="O106" s="106"/>
      <c r="P106" s="106"/>
      <c r="Q106" s="106"/>
      <c r="R106" s="106"/>
    </row>
    <row r="107" spans="1:18">
      <c r="A107" s="91"/>
      <c r="B107" s="92"/>
      <c r="C107" s="93"/>
      <c r="D107" s="94"/>
      <c r="E107" s="95"/>
      <c r="F107" s="96"/>
      <c r="G107" s="94"/>
      <c r="H107" s="95"/>
      <c r="I107" s="96"/>
      <c r="J107" s="96"/>
      <c r="K107" s="96"/>
      <c r="L107" s="94"/>
      <c r="M107" s="106"/>
      <c r="N107" s="105"/>
      <c r="O107" s="106"/>
      <c r="P107" s="106"/>
      <c r="Q107" s="106"/>
      <c r="R107" s="106"/>
    </row>
    <row r="108" spans="1:18">
      <c r="A108" s="91"/>
      <c r="B108" s="92"/>
      <c r="C108" s="93"/>
      <c r="D108" s="94"/>
      <c r="E108" s="95"/>
      <c r="F108" s="96"/>
      <c r="G108" s="94"/>
      <c r="H108" s="95"/>
      <c r="I108" s="96"/>
      <c r="J108" s="96"/>
      <c r="K108" s="96"/>
      <c r="L108" s="94"/>
      <c r="M108" s="106"/>
      <c r="N108" s="105"/>
      <c r="O108" s="106"/>
      <c r="P108" s="106"/>
      <c r="Q108" s="106"/>
      <c r="R108" s="106"/>
    </row>
    <row r="109" spans="1:18">
      <c r="A109" s="91"/>
      <c r="B109" s="92"/>
      <c r="C109" s="93"/>
      <c r="D109" s="94"/>
      <c r="E109" s="95"/>
      <c r="F109" s="96"/>
      <c r="G109" s="94"/>
      <c r="H109" s="95"/>
      <c r="I109" s="96"/>
      <c r="J109" s="96"/>
      <c r="K109" s="96"/>
      <c r="L109" s="94"/>
      <c r="M109" s="106"/>
      <c r="N109" s="105"/>
      <c r="O109" s="106"/>
      <c r="P109" s="106"/>
      <c r="Q109" s="106"/>
      <c r="R109" s="106"/>
    </row>
    <row r="110" spans="1:18">
      <c r="A110" s="91"/>
      <c r="B110" s="92"/>
      <c r="C110" s="93"/>
      <c r="D110" s="94"/>
      <c r="E110" s="95"/>
      <c r="F110" s="96"/>
      <c r="G110" s="94"/>
      <c r="H110" s="95"/>
      <c r="I110" s="96"/>
      <c r="J110" s="96"/>
      <c r="K110" s="96"/>
      <c r="L110" s="94"/>
      <c r="M110" s="106"/>
      <c r="N110" s="105"/>
      <c r="O110" s="106"/>
      <c r="P110" s="106"/>
      <c r="Q110" s="106"/>
      <c r="R110" s="106"/>
    </row>
    <row r="111" spans="1:18">
      <c r="A111" s="91"/>
      <c r="B111" s="92"/>
      <c r="C111" s="93"/>
      <c r="D111" s="94"/>
      <c r="E111" s="95"/>
      <c r="F111" s="96"/>
      <c r="G111" s="94"/>
      <c r="H111" s="95"/>
      <c r="I111" s="96"/>
      <c r="J111" s="96"/>
      <c r="K111" s="96"/>
      <c r="L111" s="94"/>
      <c r="M111" s="106"/>
      <c r="N111" s="105"/>
      <c r="O111" s="106"/>
      <c r="P111" s="106"/>
      <c r="Q111" s="106"/>
      <c r="R111" s="106"/>
    </row>
    <row r="112" spans="1:18">
      <c r="A112" s="91"/>
      <c r="B112" s="92"/>
      <c r="C112" s="93"/>
      <c r="D112" s="94"/>
      <c r="E112" s="95"/>
      <c r="F112" s="96"/>
      <c r="G112" s="94"/>
      <c r="H112" s="95"/>
      <c r="I112" s="96"/>
      <c r="J112" s="96"/>
      <c r="K112" s="96"/>
      <c r="L112" s="94"/>
      <c r="M112" s="106"/>
      <c r="N112" s="105"/>
      <c r="O112" s="106"/>
      <c r="P112" s="106"/>
      <c r="Q112" s="106"/>
      <c r="R112" s="106"/>
    </row>
    <row r="113" spans="1:18">
      <c r="A113" s="91"/>
      <c r="B113" s="92"/>
      <c r="C113" s="93"/>
      <c r="D113" s="94"/>
      <c r="E113" s="95"/>
      <c r="F113" s="96"/>
      <c r="G113" s="94"/>
      <c r="H113" s="95"/>
      <c r="I113" s="96"/>
      <c r="J113" s="96"/>
      <c r="K113" s="96"/>
      <c r="L113" s="94"/>
      <c r="M113" s="106"/>
      <c r="N113" s="105"/>
      <c r="O113" s="106"/>
      <c r="P113" s="106"/>
      <c r="Q113" s="106"/>
      <c r="R113" s="106"/>
    </row>
    <row r="114" spans="1:18">
      <c r="A114" s="91"/>
      <c r="B114" s="92"/>
      <c r="C114" s="93"/>
      <c r="D114" s="94"/>
      <c r="E114" s="95"/>
      <c r="F114" s="96"/>
      <c r="G114" s="94"/>
      <c r="H114" s="95"/>
      <c r="I114" s="96"/>
      <c r="J114" s="96"/>
      <c r="K114" s="96"/>
      <c r="L114" s="94"/>
      <c r="M114" s="106"/>
      <c r="N114" s="105"/>
      <c r="O114" s="106"/>
      <c r="P114" s="106"/>
      <c r="Q114" s="106"/>
      <c r="R114" s="106"/>
    </row>
    <row r="115" spans="1:18">
      <c r="A115" s="91"/>
      <c r="B115" s="92"/>
      <c r="C115" s="93"/>
      <c r="D115" s="94"/>
      <c r="E115" s="95"/>
      <c r="F115" s="96"/>
      <c r="G115" s="94"/>
      <c r="H115" s="95"/>
      <c r="I115" s="96"/>
      <c r="J115" s="96"/>
      <c r="K115" s="96"/>
      <c r="L115" s="94"/>
      <c r="M115" s="106"/>
      <c r="N115" s="105"/>
      <c r="O115" s="106"/>
      <c r="P115" s="106"/>
      <c r="Q115" s="106"/>
      <c r="R115" s="106"/>
    </row>
    <row r="116" spans="1:18">
      <c r="A116" s="91"/>
      <c r="B116" s="92"/>
      <c r="C116" s="93"/>
      <c r="D116" s="94"/>
      <c r="E116" s="95"/>
      <c r="F116" s="96"/>
      <c r="G116" s="94"/>
      <c r="H116" s="95"/>
      <c r="I116" s="96"/>
      <c r="J116" s="96"/>
      <c r="K116" s="96"/>
      <c r="L116" s="94"/>
      <c r="M116" s="106"/>
      <c r="N116" s="105"/>
      <c r="O116" s="106"/>
      <c r="P116" s="106"/>
      <c r="Q116" s="106"/>
      <c r="R116" s="106"/>
    </row>
    <row r="117" spans="1:18">
      <c r="A117" s="91"/>
      <c r="B117" s="92"/>
      <c r="C117" s="93"/>
      <c r="D117" s="94"/>
      <c r="E117" s="95"/>
      <c r="F117" s="96"/>
      <c r="G117" s="94"/>
      <c r="H117" s="95"/>
      <c r="I117" s="96"/>
      <c r="J117" s="96"/>
      <c r="K117" s="96"/>
      <c r="L117" s="94"/>
      <c r="M117" s="106"/>
      <c r="N117" s="105"/>
      <c r="O117" s="106"/>
      <c r="P117" s="106"/>
      <c r="Q117" s="106"/>
      <c r="R117" s="106"/>
    </row>
    <row r="118" spans="1:18">
      <c r="A118" s="91"/>
      <c r="B118" s="92"/>
      <c r="C118" s="93"/>
      <c r="D118" s="94"/>
      <c r="E118" s="95"/>
      <c r="F118" s="96"/>
      <c r="G118" s="94"/>
      <c r="H118" s="95"/>
      <c r="I118" s="96"/>
      <c r="J118" s="96"/>
      <c r="K118" s="96"/>
      <c r="L118" s="94"/>
      <c r="M118" s="106"/>
      <c r="N118" s="105"/>
      <c r="O118" s="106"/>
      <c r="P118" s="106"/>
      <c r="Q118" s="106"/>
      <c r="R118" s="106"/>
    </row>
    <row r="119" spans="1:18">
      <c r="A119" s="91"/>
      <c r="B119" s="92"/>
      <c r="C119" s="93"/>
      <c r="D119" s="94"/>
      <c r="E119" s="95"/>
      <c r="F119" s="96"/>
      <c r="G119" s="94"/>
      <c r="H119" s="95"/>
      <c r="I119" s="96"/>
      <c r="J119" s="96"/>
      <c r="K119" s="96"/>
      <c r="L119" s="94"/>
      <c r="M119" s="106"/>
      <c r="N119" s="105"/>
      <c r="O119" s="106"/>
      <c r="P119" s="106"/>
      <c r="Q119" s="106"/>
      <c r="R119" s="106"/>
    </row>
    <row r="120" spans="1:18">
      <c r="A120" s="91"/>
      <c r="B120" s="92"/>
      <c r="C120" s="93"/>
      <c r="D120" s="94"/>
      <c r="E120" s="95"/>
      <c r="F120" s="96"/>
      <c r="G120" s="94"/>
      <c r="H120" s="95"/>
      <c r="I120" s="96"/>
      <c r="J120" s="96"/>
      <c r="K120" s="96"/>
      <c r="L120" s="94"/>
      <c r="M120" s="106"/>
      <c r="N120" s="105"/>
      <c r="O120" s="106"/>
      <c r="P120" s="106"/>
      <c r="Q120" s="106"/>
      <c r="R120" s="106"/>
    </row>
    <row r="121" spans="1:18">
      <c r="A121" s="91"/>
      <c r="B121" s="92"/>
      <c r="C121" s="93"/>
      <c r="D121" s="94"/>
      <c r="E121" s="95"/>
      <c r="F121" s="96"/>
      <c r="G121" s="94"/>
      <c r="H121" s="95"/>
      <c r="I121" s="96"/>
      <c r="J121" s="96"/>
      <c r="K121" s="96"/>
      <c r="L121" s="94"/>
      <c r="M121" s="106"/>
      <c r="N121" s="105"/>
      <c r="O121" s="106"/>
      <c r="P121" s="106"/>
      <c r="Q121" s="106"/>
      <c r="R121" s="106"/>
    </row>
    <row r="122" spans="1:18">
      <c r="A122" s="91"/>
      <c r="B122" s="92"/>
      <c r="C122" s="93"/>
      <c r="D122" s="94"/>
      <c r="E122" s="95"/>
      <c r="F122" s="96"/>
      <c r="G122" s="94"/>
      <c r="H122" s="95"/>
      <c r="I122" s="96"/>
      <c r="J122" s="96"/>
      <c r="K122" s="96"/>
      <c r="L122" s="94"/>
      <c r="M122" s="106"/>
      <c r="N122" s="105"/>
      <c r="O122" s="106"/>
      <c r="P122" s="106"/>
      <c r="Q122" s="106"/>
      <c r="R122" s="106"/>
    </row>
    <row r="123" spans="1:18">
      <c r="A123" s="91"/>
      <c r="B123" s="92"/>
      <c r="C123" s="93"/>
      <c r="D123" s="94"/>
      <c r="E123" s="95"/>
      <c r="F123" s="96"/>
      <c r="G123" s="94"/>
      <c r="H123" s="95"/>
      <c r="I123" s="96"/>
      <c r="J123" s="96"/>
      <c r="K123" s="96"/>
      <c r="L123" s="94"/>
      <c r="M123" s="106"/>
      <c r="N123" s="105"/>
      <c r="O123" s="106"/>
      <c r="P123" s="106"/>
      <c r="Q123" s="106"/>
      <c r="R123" s="106"/>
    </row>
    <row r="124" spans="1:18">
      <c r="A124" s="91"/>
      <c r="B124" s="92"/>
      <c r="C124" s="93"/>
      <c r="D124" s="94"/>
      <c r="E124" s="95"/>
      <c r="F124" s="96"/>
      <c r="G124" s="94"/>
      <c r="H124" s="95"/>
      <c r="I124" s="96"/>
      <c r="J124" s="96"/>
      <c r="K124" s="96"/>
      <c r="L124" s="94"/>
      <c r="M124" s="106"/>
      <c r="N124" s="105"/>
      <c r="O124" s="106"/>
      <c r="P124" s="106"/>
      <c r="Q124" s="106"/>
      <c r="R124" s="106"/>
    </row>
    <row r="125" spans="1:18">
      <c r="A125" s="91"/>
      <c r="B125" s="92"/>
      <c r="C125" s="93"/>
      <c r="D125" s="94"/>
      <c r="E125" s="95"/>
      <c r="F125" s="96"/>
      <c r="G125" s="94"/>
      <c r="H125" s="95"/>
      <c r="I125" s="96"/>
      <c r="J125" s="96"/>
      <c r="K125" s="96"/>
      <c r="L125" s="94"/>
      <c r="M125" s="106"/>
      <c r="N125" s="105"/>
      <c r="O125" s="106"/>
      <c r="P125" s="106"/>
      <c r="Q125" s="106"/>
      <c r="R125" s="106"/>
    </row>
    <row r="126" spans="1:18">
      <c r="A126" s="91"/>
      <c r="B126" s="92"/>
      <c r="C126" s="93"/>
      <c r="D126" s="94"/>
      <c r="E126" s="95"/>
      <c r="F126" s="96"/>
      <c r="G126" s="94"/>
      <c r="H126" s="95"/>
      <c r="I126" s="96"/>
      <c r="J126" s="96"/>
      <c r="K126" s="96"/>
      <c r="L126" s="94"/>
      <c r="M126" s="106"/>
      <c r="N126" s="105"/>
      <c r="O126" s="106"/>
      <c r="P126" s="106"/>
      <c r="Q126" s="106"/>
      <c r="R126" s="106"/>
    </row>
    <row r="127" spans="1:18">
      <c r="A127" s="91"/>
      <c r="B127" s="92"/>
      <c r="C127" s="93"/>
      <c r="D127" s="94"/>
      <c r="E127" s="95"/>
      <c r="F127" s="96"/>
      <c r="G127" s="94"/>
      <c r="H127" s="95"/>
      <c r="I127" s="96"/>
      <c r="J127" s="96"/>
      <c r="K127" s="96"/>
      <c r="L127" s="94"/>
      <c r="M127" s="106"/>
      <c r="N127" s="105"/>
      <c r="O127" s="106"/>
      <c r="P127" s="106"/>
      <c r="Q127" s="106"/>
      <c r="R127" s="106"/>
    </row>
    <row r="128" spans="1:18">
      <c r="A128" s="91"/>
      <c r="B128" s="92"/>
      <c r="C128" s="93"/>
      <c r="D128" s="94"/>
      <c r="E128" s="95"/>
      <c r="F128" s="96"/>
      <c r="G128" s="94"/>
      <c r="H128" s="95"/>
      <c r="I128" s="96"/>
      <c r="J128" s="96"/>
      <c r="K128" s="96"/>
      <c r="L128" s="94"/>
      <c r="M128" s="106"/>
      <c r="N128" s="105"/>
      <c r="O128" s="106"/>
      <c r="P128" s="106"/>
      <c r="Q128" s="106"/>
      <c r="R128" s="106"/>
    </row>
    <row r="129" spans="1:18">
      <c r="A129" s="91"/>
      <c r="B129" s="92"/>
      <c r="C129" s="93"/>
      <c r="D129" s="94"/>
      <c r="E129" s="95"/>
      <c r="F129" s="96"/>
      <c r="G129" s="94"/>
      <c r="H129" s="95"/>
      <c r="I129" s="96"/>
      <c r="J129" s="96"/>
      <c r="K129" s="96"/>
      <c r="L129" s="94"/>
      <c r="M129" s="106"/>
      <c r="N129" s="105"/>
      <c r="O129" s="106"/>
      <c r="P129" s="106"/>
      <c r="Q129" s="106"/>
      <c r="R129" s="106"/>
    </row>
    <row r="130" spans="1:18">
      <c r="A130" s="91"/>
      <c r="B130" s="92"/>
      <c r="C130" s="93"/>
      <c r="D130" s="94"/>
      <c r="E130" s="95"/>
      <c r="F130" s="96"/>
      <c r="G130" s="94"/>
      <c r="H130" s="95"/>
      <c r="I130" s="96"/>
      <c r="J130" s="96"/>
      <c r="K130" s="96"/>
      <c r="L130" s="94"/>
      <c r="M130" s="106"/>
      <c r="N130" s="105"/>
      <c r="O130" s="106"/>
      <c r="P130" s="106"/>
      <c r="Q130" s="106"/>
      <c r="R130" s="106"/>
    </row>
    <row r="131" spans="1:18">
      <c r="A131" s="91"/>
      <c r="B131" s="92"/>
      <c r="C131" s="93"/>
      <c r="D131" s="94"/>
      <c r="E131" s="95"/>
      <c r="F131" s="96"/>
      <c r="G131" s="94"/>
      <c r="H131" s="95"/>
      <c r="I131" s="96"/>
      <c r="J131" s="96"/>
      <c r="K131" s="96"/>
      <c r="L131" s="94"/>
      <c r="M131" s="106"/>
      <c r="N131" s="105"/>
      <c r="O131" s="106"/>
      <c r="P131" s="106"/>
      <c r="Q131" s="106"/>
      <c r="R131" s="106"/>
    </row>
    <row r="132" spans="1:18">
      <c r="A132" s="91"/>
      <c r="B132" s="92"/>
      <c r="C132" s="93"/>
      <c r="D132" s="94"/>
      <c r="E132" s="95"/>
      <c r="F132" s="96"/>
      <c r="G132" s="94"/>
      <c r="H132" s="95"/>
      <c r="I132" s="96"/>
      <c r="J132" s="96"/>
      <c r="K132" s="96"/>
      <c r="L132" s="94"/>
      <c r="M132" s="106"/>
      <c r="N132" s="105"/>
      <c r="O132" s="106"/>
      <c r="P132" s="106"/>
      <c r="Q132" s="106"/>
      <c r="R132" s="106"/>
    </row>
    <row r="133" spans="1:18">
      <c r="A133" s="91"/>
      <c r="B133" s="92"/>
      <c r="C133" s="93"/>
      <c r="D133" s="94"/>
      <c r="E133" s="95"/>
      <c r="F133" s="96"/>
      <c r="G133" s="94"/>
      <c r="H133" s="95"/>
      <c r="I133" s="96"/>
      <c r="J133" s="96"/>
      <c r="K133" s="96"/>
      <c r="L133" s="94"/>
      <c r="M133" s="106"/>
      <c r="N133" s="105"/>
      <c r="O133" s="106"/>
      <c r="P133" s="106"/>
      <c r="Q133" s="106"/>
      <c r="R133" s="106"/>
    </row>
    <row r="134" spans="1:18">
      <c r="A134" s="91"/>
      <c r="B134" s="92"/>
      <c r="C134" s="93"/>
      <c r="D134" s="94"/>
      <c r="E134" s="95"/>
      <c r="F134" s="96"/>
      <c r="G134" s="94"/>
      <c r="H134" s="95"/>
      <c r="I134" s="96"/>
      <c r="J134" s="96"/>
      <c r="K134" s="96"/>
      <c r="L134" s="94"/>
      <c r="M134" s="106"/>
      <c r="N134" s="105"/>
      <c r="O134" s="106"/>
      <c r="P134" s="106"/>
      <c r="Q134" s="106"/>
      <c r="R134" s="106"/>
    </row>
    <row r="135" spans="1:18">
      <c r="A135" s="91"/>
      <c r="B135" s="92"/>
      <c r="C135" s="93"/>
      <c r="D135" s="94"/>
      <c r="E135" s="95"/>
      <c r="F135" s="96"/>
      <c r="G135" s="94"/>
      <c r="H135" s="95"/>
      <c r="I135" s="96"/>
      <c r="J135" s="96"/>
      <c r="K135" s="96"/>
      <c r="L135" s="94"/>
      <c r="M135" s="106"/>
      <c r="N135" s="105"/>
      <c r="O135" s="106"/>
      <c r="P135" s="106"/>
      <c r="Q135" s="106"/>
      <c r="R135" s="106"/>
    </row>
    <row r="136" spans="1:18">
      <c r="A136" s="91"/>
      <c r="B136" s="92"/>
      <c r="C136" s="93"/>
      <c r="D136" s="94"/>
      <c r="E136" s="95"/>
      <c r="F136" s="96"/>
      <c r="G136" s="94"/>
      <c r="H136" s="95"/>
      <c r="I136" s="96"/>
      <c r="J136" s="96"/>
      <c r="K136" s="96"/>
      <c r="L136" s="94"/>
      <c r="M136" s="106"/>
      <c r="N136" s="105"/>
      <c r="O136" s="106"/>
      <c r="P136" s="106"/>
      <c r="Q136" s="106"/>
      <c r="R136" s="106"/>
    </row>
    <row r="137" spans="1:18">
      <c r="A137" s="91"/>
      <c r="B137" s="92"/>
      <c r="C137" s="93"/>
      <c r="D137" s="94"/>
      <c r="E137" s="95"/>
      <c r="F137" s="96"/>
      <c r="G137" s="94"/>
      <c r="H137" s="95"/>
      <c r="I137" s="96"/>
      <c r="J137" s="96"/>
      <c r="K137" s="96"/>
      <c r="L137" s="94"/>
      <c r="M137" s="106"/>
      <c r="N137" s="105"/>
      <c r="O137" s="106"/>
      <c r="P137" s="106"/>
      <c r="Q137" s="106"/>
      <c r="R137" s="106"/>
    </row>
    <row r="138" spans="1:18">
      <c r="A138" s="91"/>
      <c r="B138" s="92"/>
      <c r="C138" s="93"/>
      <c r="D138" s="94"/>
      <c r="E138" s="95"/>
      <c r="F138" s="96"/>
      <c r="G138" s="94"/>
      <c r="H138" s="95"/>
      <c r="I138" s="96"/>
      <c r="J138" s="96"/>
      <c r="K138" s="96"/>
      <c r="L138" s="94"/>
      <c r="M138" s="106"/>
      <c r="N138" s="105"/>
      <c r="O138" s="106"/>
      <c r="P138" s="106"/>
      <c r="Q138" s="106"/>
      <c r="R138" s="106"/>
    </row>
    <row r="139" spans="1:18">
      <c r="A139" s="91"/>
      <c r="B139" s="92"/>
      <c r="C139" s="93"/>
      <c r="D139" s="94"/>
      <c r="E139" s="95"/>
      <c r="F139" s="96"/>
      <c r="G139" s="94"/>
      <c r="H139" s="95"/>
      <c r="I139" s="96"/>
      <c r="J139" s="96"/>
      <c r="K139" s="96"/>
      <c r="L139" s="94"/>
      <c r="M139" s="106"/>
      <c r="N139" s="105"/>
      <c r="O139" s="106"/>
      <c r="P139" s="106"/>
      <c r="Q139" s="106"/>
      <c r="R139" s="106"/>
    </row>
    <row r="140" spans="1:18">
      <c r="A140" s="91"/>
      <c r="B140" s="92"/>
      <c r="C140" s="93"/>
      <c r="D140" s="94"/>
      <c r="E140" s="95"/>
      <c r="F140" s="96"/>
      <c r="G140" s="94"/>
      <c r="H140" s="95"/>
      <c r="I140" s="96"/>
      <c r="J140" s="96"/>
      <c r="K140" s="96"/>
      <c r="L140" s="94"/>
      <c r="M140" s="106"/>
      <c r="N140" s="105"/>
      <c r="O140" s="106"/>
      <c r="P140" s="106"/>
      <c r="Q140" s="106"/>
      <c r="R140" s="106"/>
    </row>
    <row r="141" spans="1:18">
      <c r="A141" s="91"/>
      <c r="B141" s="92"/>
      <c r="C141" s="93"/>
      <c r="D141" s="94"/>
      <c r="E141" s="95"/>
      <c r="F141" s="96"/>
      <c r="G141" s="94"/>
      <c r="H141" s="95"/>
      <c r="I141" s="96"/>
      <c r="J141" s="96"/>
      <c r="K141" s="96"/>
      <c r="L141" s="94"/>
      <c r="M141" s="106"/>
      <c r="N141" s="105"/>
      <c r="O141" s="106"/>
      <c r="P141" s="106"/>
      <c r="Q141" s="106"/>
      <c r="R141" s="106"/>
    </row>
    <row r="142" spans="1:18">
      <c r="A142" s="91"/>
      <c r="B142" s="92"/>
      <c r="C142" s="93"/>
      <c r="D142" s="94"/>
      <c r="E142" s="95"/>
      <c r="F142" s="96"/>
      <c r="G142" s="94"/>
      <c r="H142" s="95"/>
      <c r="I142" s="96"/>
      <c r="J142" s="96"/>
      <c r="K142" s="96"/>
      <c r="L142" s="94"/>
      <c r="M142" s="106"/>
      <c r="N142" s="105"/>
      <c r="O142" s="106"/>
      <c r="P142" s="106"/>
      <c r="Q142" s="106"/>
      <c r="R142" s="106"/>
    </row>
    <row r="143" spans="1:18">
      <c r="A143" s="91"/>
      <c r="B143" s="92"/>
      <c r="C143" s="93"/>
      <c r="D143" s="94"/>
      <c r="E143" s="95"/>
      <c r="F143" s="96"/>
      <c r="G143" s="94"/>
      <c r="H143" s="95"/>
      <c r="I143" s="96"/>
      <c r="J143" s="96"/>
      <c r="K143" s="96"/>
      <c r="L143" s="94"/>
      <c r="M143" s="106"/>
      <c r="N143" s="105"/>
      <c r="O143" s="106"/>
      <c r="P143" s="106"/>
      <c r="Q143" s="106"/>
      <c r="R143" s="106"/>
    </row>
    <row r="144" spans="1:18">
      <c r="A144" s="91"/>
      <c r="B144" s="92"/>
      <c r="C144" s="93"/>
      <c r="D144" s="94"/>
      <c r="E144" s="95"/>
      <c r="F144" s="96"/>
      <c r="G144" s="94"/>
      <c r="H144" s="95"/>
      <c r="I144" s="96"/>
      <c r="J144" s="96"/>
      <c r="K144" s="96"/>
      <c r="L144" s="94"/>
      <c r="M144" s="106"/>
      <c r="N144" s="105"/>
      <c r="O144" s="106"/>
      <c r="P144" s="106"/>
      <c r="Q144" s="106"/>
      <c r="R144" s="106"/>
    </row>
    <row r="145" spans="1:18">
      <c r="A145" s="91"/>
      <c r="B145" s="92"/>
      <c r="C145" s="93"/>
      <c r="D145" s="94"/>
      <c r="E145" s="95"/>
      <c r="F145" s="96"/>
      <c r="G145" s="94"/>
      <c r="H145" s="95"/>
      <c r="I145" s="96"/>
      <c r="J145" s="96"/>
      <c r="K145" s="96"/>
      <c r="L145" s="94"/>
      <c r="M145" s="106"/>
      <c r="N145" s="105"/>
      <c r="O145" s="106"/>
      <c r="P145" s="106"/>
      <c r="Q145" s="106"/>
      <c r="R145" s="106"/>
    </row>
    <row r="146" spans="1:18">
      <c r="A146" s="91"/>
      <c r="B146" s="92"/>
      <c r="C146" s="93"/>
      <c r="D146" s="94"/>
      <c r="E146" s="95"/>
      <c r="F146" s="96"/>
      <c r="G146" s="94"/>
      <c r="H146" s="95"/>
      <c r="I146" s="96"/>
      <c r="J146" s="96"/>
      <c r="K146" s="96"/>
      <c r="L146" s="94"/>
      <c r="M146" s="106"/>
      <c r="N146" s="105"/>
      <c r="O146" s="106"/>
      <c r="P146" s="106"/>
      <c r="Q146" s="106"/>
      <c r="R146" s="106"/>
    </row>
    <row r="147" spans="1:18">
      <c r="A147" s="91"/>
      <c r="B147" s="92"/>
      <c r="C147" s="93"/>
      <c r="D147" s="94"/>
      <c r="E147" s="95"/>
      <c r="F147" s="96"/>
      <c r="G147" s="94"/>
      <c r="H147" s="95"/>
      <c r="I147" s="96"/>
      <c r="J147" s="96"/>
      <c r="K147" s="96"/>
      <c r="L147" s="94"/>
      <c r="M147" s="106"/>
      <c r="N147" s="105"/>
      <c r="O147" s="106"/>
      <c r="P147" s="106"/>
      <c r="Q147" s="106"/>
      <c r="R147" s="106"/>
    </row>
    <row r="148" spans="1:18">
      <c r="A148" s="91"/>
      <c r="B148" s="92"/>
      <c r="C148" s="93"/>
      <c r="D148" s="94"/>
      <c r="E148" s="95"/>
      <c r="F148" s="96"/>
      <c r="G148" s="94"/>
      <c r="H148" s="95"/>
      <c r="I148" s="96"/>
      <c r="J148" s="96"/>
      <c r="K148" s="96"/>
      <c r="L148" s="94"/>
      <c r="M148" s="106"/>
      <c r="N148" s="105"/>
      <c r="O148" s="106"/>
      <c r="P148" s="106"/>
      <c r="Q148" s="106"/>
      <c r="R148" s="106"/>
    </row>
    <row r="149" spans="1:18">
      <c r="A149" s="91"/>
      <c r="B149" s="92"/>
      <c r="C149" s="93"/>
      <c r="D149" s="94"/>
      <c r="E149" s="95"/>
      <c r="F149" s="96"/>
      <c r="G149" s="94"/>
      <c r="H149" s="95"/>
      <c r="I149" s="96"/>
      <c r="J149" s="96"/>
      <c r="K149" s="96"/>
      <c r="L149" s="94"/>
      <c r="M149" s="106"/>
      <c r="N149" s="105"/>
      <c r="O149" s="106"/>
      <c r="P149" s="106"/>
      <c r="Q149" s="106"/>
      <c r="R149" s="106"/>
    </row>
    <row r="150" spans="1:18">
      <c r="A150" s="91"/>
      <c r="B150" s="92"/>
      <c r="C150" s="93"/>
      <c r="D150" s="94"/>
      <c r="E150" s="95"/>
      <c r="F150" s="96"/>
      <c r="G150" s="94"/>
      <c r="H150" s="95"/>
      <c r="I150" s="96"/>
      <c r="J150" s="96"/>
      <c r="K150" s="96"/>
      <c r="L150" s="94"/>
      <c r="M150" s="106"/>
      <c r="N150" s="105"/>
      <c r="O150" s="106"/>
      <c r="P150" s="106"/>
      <c r="Q150" s="106"/>
      <c r="R150" s="106"/>
    </row>
    <row r="151" spans="1:18">
      <c r="A151" s="91"/>
      <c r="B151" s="92"/>
      <c r="C151" s="93"/>
      <c r="D151" s="94"/>
      <c r="E151" s="95"/>
      <c r="F151" s="96"/>
      <c r="G151" s="94"/>
      <c r="H151" s="95"/>
      <c r="I151" s="96"/>
      <c r="J151" s="96"/>
      <c r="K151" s="96"/>
      <c r="L151" s="94"/>
      <c r="M151" s="106"/>
      <c r="N151" s="105"/>
      <c r="O151" s="106"/>
      <c r="P151" s="106"/>
      <c r="Q151" s="106"/>
      <c r="R151" s="106"/>
    </row>
    <row r="152" spans="1:18">
      <c r="A152" s="91"/>
      <c r="B152" s="92"/>
      <c r="C152" s="93"/>
      <c r="D152" s="94"/>
      <c r="E152" s="95"/>
      <c r="F152" s="96"/>
      <c r="G152" s="94"/>
      <c r="H152" s="95"/>
      <c r="I152" s="96"/>
      <c r="J152" s="96"/>
      <c r="K152" s="96"/>
      <c r="L152" s="94"/>
      <c r="M152" s="106"/>
      <c r="N152" s="105"/>
      <c r="O152" s="106"/>
      <c r="P152" s="106"/>
      <c r="Q152" s="106"/>
      <c r="R152" s="106"/>
    </row>
    <row r="153" spans="1:18">
      <c r="A153" s="91"/>
      <c r="B153" s="92"/>
      <c r="C153" s="93"/>
      <c r="D153" s="94"/>
      <c r="E153" s="95"/>
      <c r="F153" s="96"/>
      <c r="G153" s="94"/>
      <c r="H153" s="95"/>
      <c r="I153" s="96"/>
      <c r="J153" s="96"/>
      <c r="K153" s="96"/>
      <c r="L153" s="94"/>
      <c r="M153" s="106"/>
      <c r="N153" s="105"/>
      <c r="O153" s="106"/>
      <c r="P153" s="106"/>
      <c r="Q153" s="106"/>
      <c r="R153" s="106"/>
    </row>
    <row r="154" spans="1:18">
      <c r="A154" s="91"/>
      <c r="B154" s="92"/>
      <c r="C154" s="93"/>
      <c r="D154" s="94"/>
      <c r="E154" s="95"/>
      <c r="F154" s="96"/>
      <c r="G154" s="94"/>
      <c r="H154" s="95"/>
      <c r="I154" s="96"/>
      <c r="J154" s="96"/>
      <c r="K154" s="96"/>
      <c r="L154" s="94"/>
      <c r="M154" s="106"/>
      <c r="N154" s="105"/>
      <c r="O154" s="106"/>
      <c r="P154" s="106"/>
      <c r="Q154" s="106"/>
      <c r="R154" s="106"/>
    </row>
    <row r="155" spans="1:18">
      <c r="A155" s="91"/>
      <c r="B155" s="92"/>
      <c r="C155" s="93"/>
      <c r="D155" s="94"/>
      <c r="E155" s="95"/>
      <c r="F155" s="96"/>
      <c r="G155" s="94"/>
      <c r="H155" s="95"/>
      <c r="I155" s="96"/>
      <c r="J155" s="96"/>
      <c r="K155" s="96"/>
      <c r="L155" s="94"/>
      <c r="M155" s="106"/>
      <c r="N155" s="105"/>
      <c r="O155" s="106"/>
      <c r="P155" s="106"/>
      <c r="Q155" s="106"/>
      <c r="R155" s="106"/>
    </row>
    <row r="156" spans="1:18">
      <c r="A156" s="91"/>
      <c r="B156" s="92"/>
      <c r="C156" s="93"/>
      <c r="D156" s="94"/>
      <c r="E156" s="95"/>
      <c r="F156" s="96"/>
      <c r="G156" s="94"/>
      <c r="H156" s="95"/>
      <c r="I156" s="96"/>
      <c r="J156" s="96"/>
      <c r="K156" s="96"/>
      <c r="L156" s="94"/>
      <c r="M156" s="106"/>
      <c r="N156" s="105"/>
      <c r="O156" s="106"/>
      <c r="P156" s="106"/>
      <c r="Q156" s="106"/>
      <c r="R156" s="106"/>
    </row>
    <row r="157" spans="1:18">
      <c r="A157" s="91"/>
      <c r="B157" s="92"/>
      <c r="C157" s="93"/>
      <c r="D157" s="94"/>
      <c r="E157" s="95"/>
      <c r="F157" s="96"/>
      <c r="G157" s="94"/>
      <c r="H157" s="95"/>
      <c r="I157" s="96"/>
      <c r="J157" s="96"/>
      <c r="K157" s="96"/>
      <c r="L157" s="94"/>
      <c r="M157" s="106"/>
      <c r="N157" s="105"/>
      <c r="O157" s="106"/>
      <c r="P157" s="106"/>
      <c r="Q157" s="106"/>
      <c r="R157" s="106"/>
    </row>
    <row r="158" spans="1:18">
      <c r="A158" s="91"/>
      <c r="B158" s="92"/>
      <c r="C158" s="93"/>
      <c r="D158" s="94"/>
      <c r="E158" s="95"/>
      <c r="F158" s="96"/>
      <c r="G158" s="94"/>
      <c r="H158" s="95"/>
      <c r="I158" s="96"/>
      <c r="J158" s="96"/>
      <c r="K158" s="96"/>
      <c r="L158" s="94"/>
      <c r="M158" s="106"/>
      <c r="N158" s="105"/>
      <c r="O158" s="106"/>
      <c r="P158" s="106"/>
      <c r="Q158" s="106"/>
      <c r="R158" s="106"/>
    </row>
    <row r="159" spans="1:18">
      <c r="A159" s="91"/>
      <c r="B159" s="92"/>
      <c r="C159" s="93"/>
      <c r="D159" s="94"/>
      <c r="E159" s="95"/>
      <c r="F159" s="96"/>
      <c r="G159" s="94"/>
      <c r="H159" s="95"/>
      <c r="I159" s="96"/>
      <c r="J159" s="96"/>
      <c r="K159" s="96"/>
      <c r="L159" s="94"/>
      <c r="M159" s="106"/>
      <c r="N159" s="105"/>
      <c r="O159" s="106"/>
      <c r="P159" s="106"/>
      <c r="Q159" s="106"/>
      <c r="R159" s="106"/>
    </row>
    <row r="160" spans="1:18">
      <c r="A160" s="91"/>
      <c r="B160" s="92"/>
      <c r="C160" s="93"/>
      <c r="D160" s="94"/>
      <c r="E160" s="95"/>
      <c r="F160" s="96"/>
      <c r="G160" s="94"/>
      <c r="H160" s="95"/>
      <c r="I160" s="96"/>
      <c r="J160" s="96"/>
      <c r="K160" s="96"/>
      <c r="L160" s="94"/>
      <c r="M160" s="106"/>
      <c r="N160" s="105"/>
      <c r="O160" s="106"/>
      <c r="P160" s="106"/>
      <c r="Q160" s="106"/>
      <c r="R160" s="106"/>
    </row>
    <row r="161" spans="1:18">
      <c r="A161" s="91"/>
      <c r="B161" s="92"/>
      <c r="C161" s="93"/>
      <c r="D161" s="94"/>
      <c r="E161" s="95"/>
      <c r="F161" s="96"/>
      <c r="G161" s="94"/>
      <c r="H161" s="95"/>
      <c r="I161" s="96"/>
      <c r="J161" s="96"/>
      <c r="K161" s="96"/>
      <c r="L161" s="94"/>
      <c r="M161" s="106"/>
      <c r="N161" s="105"/>
      <c r="O161" s="106"/>
      <c r="P161" s="106"/>
      <c r="Q161" s="106"/>
      <c r="R161" s="106"/>
    </row>
    <row r="162" spans="1:18">
      <c r="A162" s="91"/>
      <c r="B162" s="92"/>
      <c r="C162" s="93"/>
      <c r="D162" s="94"/>
      <c r="E162" s="95"/>
      <c r="F162" s="96"/>
      <c r="G162" s="94"/>
      <c r="H162" s="95"/>
      <c r="I162" s="96"/>
      <c r="J162" s="96"/>
      <c r="K162" s="96"/>
      <c r="L162" s="94"/>
      <c r="M162" s="106"/>
      <c r="N162" s="105"/>
      <c r="O162" s="106"/>
      <c r="P162" s="106"/>
      <c r="Q162" s="106"/>
      <c r="R162" s="106"/>
    </row>
    <row r="163" spans="1:18">
      <c r="A163" s="91"/>
      <c r="B163" s="92"/>
      <c r="C163" s="93"/>
      <c r="D163" s="94"/>
      <c r="E163" s="95"/>
      <c r="F163" s="96"/>
      <c r="G163" s="94"/>
      <c r="H163" s="95"/>
      <c r="I163" s="96"/>
      <c r="J163" s="96"/>
      <c r="K163" s="96"/>
      <c r="L163" s="94"/>
      <c r="M163" s="106"/>
      <c r="N163" s="105"/>
      <c r="O163" s="106"/>
      <c r="P163" s="106"/>
      <c r="Q163" s="106"/>
      <c r="R163" s="106"/>
    </row>
    <row r="164" spans="1:18">
      <c r="A164" s="91"/>
      <c r="B164" s="92"/>
      <c r="C164" s="93"/>
      <c r="D164" s="94"/>
      <c r="E164" s="95"/>
      <c r="F164" s="96"/>
      <c r="G164" s="94"/>
      <c r="H164" s="95"/>
      <c r="I164" s="96"/>
      <c r="J164" s="96"/>
      <c r="K164" s="96"/>
      <c r="L164" s="94"/>
      <c r="M164" s="106"/>
      <c r="N164" s="105"/>
      <c r="O164" s="106"/>
      <c r="P164" s="106"/>
      <c r="Q164" s="106"/>
      <c r="R164" s="106"/>
    </row>
    <row r="165" spans="1:18">
      <c r="A165" s="91"/>
      <c r="B165" s="92"/>
      <c r="C165" s="93"/>
      <c r="D165" s="94"/>
      <c r="E165" s="95"/>
      <c r="F165" s="96"/>
      <c r="G165" s="94"/>
      <c r="H165" s="95"/>
      <c r="I165" s="96"/>
      <c r="J165" s="96"/>
      <c r="K165" s="96"/>
      <c r="L165" s="94"/>
      <c r="M165" s="106"/>
      <c r="N165" s="105"/>
      <c r="O165" s="106"/>
      <c r="P165" s="106"/>
      <c r="Q165" s="106"/>
      <c r="R165" s="106"/>
    </row>
    <row r="166" spans="1:18">
      <c r="A166" s="91"/>
      <c r="B166" s="92"/>
      <c r="C166" s="93"/>
      <c r="D166" s="94"/>
      <c r="E166" s="95"/>
      <c r="F166" s="96"/>
      <c r="G166" s="94"/>
      <c r="H166" s="95"/>
      <c r="I166" s="96"/>
      <c r="J166" s="96"/>
      <c r="K166" s="96"/>
      <c r="L166" s="94"/>
      <c r="M166" s="106"/>
      <c r="N166" s="105"/>
      <c r="O166" s="106"/>
      <c r="P166" s="106"/>
      <c r="Q166" s="106"/>
      <c r="R166" s="106"/>
    </row>
    <row r="167" spans="1:18">
      <c r="A167" s="91"/>
      <c r="B167" s="92"/>
      <c r="C167" s="93"/>
      <c r="D167" s="94"/>
      <c r="E167" s="95"/>
      <c r="F167" s="96"/>
      <c r="G167" s="94"/>
      <c r="H167" s="95"/>
      <c r="I167" s="96"/>
      <c r="J167" s="96"/>
      <c r="K167" s="96"/>
      <c r="L167" s="94"/>
      <c r="M167" s="106"/>
      <c r="N167" s="105"/>
      <c r="O167" s="106"/>
      <c r="P167" s="106"/>
      <c r="Q167" s="106"/>
      <c r="R167" s="106"/>
    </row>
    <row r="168" spans="1:18">
      <c r="A168" s="91"/>
      <c r="B168" s="92"/>
      <c r="C168" s="93"/>
      <c r="D168" s="94"/>
      <c r="E168" s="95"/>
      <c r="F168" s="96"/>
      <c r="G168" s="94"/>
      <c r="H168" s="95"/>
      <c r="I168" s="96"/>
      <c r="J168" s="96"/>
      <c r="K168" s="96"/>
      <c r="L168" s="94"/>
      <c r="M168" s="106"/>
      <c r="N168" s="105"/>
      <c r="O168" s="106"/>
      <c r="P168" s="106"/>
      <c r="Q168" s="106"/>
      <c r="R168" s="106"/>
    </row>
    <row r="169" spans="1:18">
      <c r="A169" s="91"/>
      <c r="B169" s="92"/>
      <c r="C169" s="93"/>
      <c r="D169" s="94"/>
      <c r="E169" s="95"/>
      <c r="F169" s="96"/>
      <c r="G169" s="94"/>
      <c r="H169" s="95"/>
      <c r="I169" s="96"/>
      <c r="J169" s="96"/>
      <c r="K169" s="96"/>
      <c r="L169" s="94"/>
      <c r="M169" s="106"/>
      <c r="N169" s="105"/>
      <c r="O169" s="106"/>
      <c r="P169" s="106"/>
      <c r="Q169" s="106"/>
      <c r="R169" s="106"/>
    </row>
    <row r="170" spans="1:18">
      <c r="A170" s="91"/>
      <c r="B170" s="92"/>
      <c r="C170" s="93"/>
      <c r="D170" s="94"/>
      <c r="E170" s="95"/>
      <c r="F170" s="96"/>
      <c r="G170" s="94"/>
      <c r="H170" s="95"/>
      <c r="I170" s="96"/>
      <c r="J170" s="96"/>
      <c r="K170" s="96"/>
      <c r="L170" s="94"/>
      <c r="M170" s="106"/>
      <c r="N170" s="105"/>
      <c r="O170" s="106"/>
      <c r="P170" s="106"/>
      <c r="Q170" s="106"/>
      <c r="R170" s="106"/>
    </row>
    <row r="171" spans="1:18">
      <c r="A171" s="91"/>
      <c r="B171" s="92"/>
      <c r="C171" s="93"/>
      <c r="D171" s="94"/>
      <c r="E171" s="95"/>
      <c r="F171" s="96"/>
      <c r="G171" s="94"/>
      <c r="H171" s="95"/>
      <c r="I171" s="96"/>
      <c r="J171" s="96"/>
      <c r="K171" s="96"/>
      <c r="L171" s="94"/>
      <c r="M171" s="106"/>
      <c r="N171" s="105"/>
      <c r="O171" s="106"/>
      <c r="P171" s="106"/>
      <c r="Q171" s="106"/>
      <c r="R171" s="106"/>
    </row>
    <row r="172" spans="1:18">
      <c r="A172" s="91"/>
      <c r="B172" s="92"/>
      <c r="C172" s="93"/>
      <c r="D172" s="94"/>
      <c r="E172" s="95"/>
      <c r="F172" s="96"/>
      <c r="G172" s="94"/>
      <c r="H172" s="95"/>
      <c r="I172" s="96"/>
      <c r="J172" s="96"/>
      <c r="K172" s="96"/>
      <c r="L172" s="94"/>
      <c r="M172" s="106"/>
      <c r="N172" s="105"/>
      <c r="O172" s="106"/>
      <c r="P172" s="106"/>
      <c r="Q172" s="106"/>
      <c r="R172" s="106"/>
    </row>
    <row r="173" spans="1:18">
      <c r="A173" s="91"/>
      <c r="B173" s="92"/>
      <c r="C173" s="93"/>
      <c r="D173" s="94"/>
      <c r="E173" s="95"/>
      <c r="F173" s="96"/>
      <c r="G173" s="94"/>
      <c r="H173" s="95"/>
      <c r="I173" s="96"/>
      <c r="J173" s="96"/>
      <c r="K173" s="96"/>
      <c r="L173" s="94"/>
      <c r="M173" s="106"/>
      <c r="N173" s="105"/>
      <c r="O173" s="106"/>
      <c r="P173" s="106"/>
      <c r="Q173" s="106"/>
      <c r="R173" s="106"/>
    </row>
    <row r="174" spans="1:18">
      <c r="A174" s="91"/>
      <c r="B174" s="92"/>
      <c r="C174" s="93"/>
      <c r="D174" s="94"/>
      <c r="E174" s="95"/>
      <c r="F174" s="96"/>
      <c r="G174" s="94"/>
      <c r="H174" s="95"/>
      <c r="I174" s="96"/>
      <c r="J174" s="96"/>
      <c r="K174" s="96"/>
      <c r="L174" s="94"/>
      <c r="M174" s="106"/>
      <c r="N174" s="105"/>
      <c r="O174" s="106"/>
      <c r="P174" s="106"/>
      <c r="Q174" s="106"/>
      <c r="R174" s="106"/>
    </row>
    <row r="175" spans="1:18">
      <c r="A175" s="91"/>
      <c r="B175" s="92"/>
      <c r="C175" s="93"/>
      <c r="D175" s="94"/>
      <c r="E175" s="95"/>
      <c r="F175" s="96"/>
      <c r="G175" s="94"/>
      <c r="H175" s="95"/>
      <c r="I175" s="96"/>
      <c r="J175" s="96"/>
      <c r="K175" s="96"/>
      <c r="L175" s="94"/>
      <c r="M175" s="106"/>
      <c r="N175" s="105"/>
      <c r="O175" s="106"/>
      <c r="P175" s="106"/>
      <c r="Q175" s="106"/>
      <c r="R175" s="106"/>
    </row>
    <row r="176" spans="1:18">
      <c r="A176" s="91"/>
      <c r="B176" s="92"/>
      <c r="C176" s="93"/>
      <c r="D176" s="94"/>
      <c r="E176" s="95"/>
      <c r="F176" s="96"/>
      <c r="G176" s="94"/>
      <c r="H176" s="95"/>
      <c r="I176" s="96"/>
      <c r="J176" s="96"/>
      <c r="K176" s="96"/>
      <c r="L176" s="94"/>
      <c r="M176" s="106"/>
      <c r="N176" s="105"/>
      <c r="O176" s="106"/>
      <c r="P176" s="106"/>
      <c r="Q176" s="106"/>
      <c r="R176" s="106"/>
    </row>
    <row r="177" spans="1:18">
      <c r="A177" s="91"/>
      <c r="B177" s="92"/>
      <c r="C177" s="93"/>
      <c r="D177" s="94"/>
      <c r="E177" s="95"/>
      <c r="F177" s="96"/>
      <c r="G177" s="94"/>
      <c r="H177" s="95"/>
      <c r="I177" s="96"/>
      <c r="J177" s="96"/>
      <c r="K177" s="96"/>
      <c r="L177" s="94"/>
      <c r="M177" s="106"/>
      <c r="N177" s="105"/>
      <c r="O177" s="106"/>
      <c r="P177" s="106"/>
      <c r="Q177" s="106"/>
      <c r="R177" s="106"/>
    </row>
    <row r="178" spans="1:18">
      <c r="A178" s="91"/>
      <c r="B178" s="92"/>
      <c r="C178" s="93"/>
      <c r="D178" s="94"/>
      <c r="E178" s="95"/>
      <c r="F178" s="96"/>
      <c r="G178" s="94"/>
      <c r="H178" s="95"/>
      <c r="I178" s="96"/>
      <c r="J178" s="96"/>
      <c r="K178" s="96"/>
      <c r="L178" s="94"/>
      <c r="M178" s="106"/>
      <c r="N178" s="105"/>
      <c r="O178" s="106"/>
      <c r="P178" s="106"/>
      <c r="Q178" s="106"/>
      <c r="R178" s="106"/>
    </row>
    <row r="179" spans="1:18">
      <c r="A179" s="91"/>
      <c r="B179" s="92"/>
      <c r="C179" s="93"/>
      <c r="D179" s="94"/>
      <c r="E179" s="95"/>
      <c r="F179" s="96"/>
      <c r="G179" s="94"/>
      <c r="H179" s="95"/>
      <c r="I179" s="96"/>
      <c r="J179" s="96"/>
      <c r="K179" s="96"/>
      <c r="L179" s="94"/>
      <c r="M179" s="106"/>
      <c r="N179" s="105"/>
      <c r="O179" s="106"/>
      <c r="P179" s="106"/>
      <c r="Q179" s="106"/>
      <c r="R179" s="106"/>
    </row>
    <row r="180" spans="1:18">
      <c r="A180" s="91"/>
      <c r="B180" s="92"/>
      <c r="C180" s="93"/>
      <c r="D180" s="94"/>
      <c r="E180" s="95"/>
      <c r="F180" s="96"/>
      <c r="G180" s="94"/>
      <c r="H180" s="95"/>
      <c r="I180" s="96"/>
      <c r="J180" s="96"/>
      <c r="K180" s="96"/>
      <c r="L180" s="94"/>
      <c r="M180" s="106"/>
      <c r="N180" s="105"/>
      <c r="O180" s="106"/>
      <c r="P180" s="106"/>
      <c r="Q180" s="106"/>
      <c r="R180" s="106"/>
    </row>
    <row r="181" spans="1:18">
      <c r="A181" s="91"/>
      <c r="B181" s="92"/>
      <c r="C181" s="93"/>
      <c r="D181" s="94"/>
      <c r="E181" s="95"/>
      <c r="F181" s="96"/>
      <c r="G181" s="94"/>
      <c r="H181" s="95"/>
      <c r="I181" s="96"/>
      <c r="J181" s="96"/>
      <c r="K181" s="96"/>
      <c r="L181" s="94"/>
      <c r="M181" s="106"/>
      <c r="N181" s="105"/>
      <c r="O181" s="106"/>
      <c r="P181" s="106"/>
      <c r="Q181" s="106"/>
      <c r="R181" s="106"/>
    </row>
    <row r="182" spans="1:18">
      <c r="A182" s="91"/>
      <c r="B182" s="92"/>
      <c r="C182" s="93"/>
      <c r="D182" s="94"/>
      <c r="E182" s="95"/>
      <c r="F182" s="96"/>
      <c r="G182" s="94"/>
      <c r="H182" s="95"/>
      <c r="I182" s="96"/>
      <c r="J182" s="96"/>
      <c r="K182" s="96"/>
      <c r="L182" s="94"/>
      <c r="M182" s="106"/>
      <c r="N182" s="105"/>
      <c r="O182" s="106"/>
      <c r="P182" s="106"/>
      <c r="Q182" s="106"/>
      <c r="R182" s="106"/>
    </row>
    <row r="183" spans="1:18">
      <c r="A183" s="91"/>
      <c r="B183" s="92"/>
      <c r="C183" s="93"/>
      <c r="D183" s="94"/>
      <c r="E183" s="95"/>
      <c r="F183" s="96"/>
      <c r="G183" s="94"/>
      <c r="H183" s="95"/>
      <c r="I183" s="96"/>
      <c r="J183" s="96"/>
      <c r="K183" s="96"/>
      <c r="L183" s="94"/>
      <c r="M183" s="106"/>
      <c r="N183" s="105"/>
      <c r="O183" s="106"/>
      <c r="P183" s="106"/>
      <c r="Q183" s="106"/>
      <c r="R183" s="106"/>
    </row>
    <row r="184" spans="1:18">
      <c r="A184" s="91"/>
      <c r="B184" s="92"/>
      <c r="C184" s="93"/>
      <c r="D184" s="94"/>
      <c r="E184" s="95"/>
      <c r="F184" s="96"/>
      <c r="G184" s="94"/>
      <c r="H184" s="95"/>
      <c r="I184" s="96"/>
      <c r="J184" s="96"/>
      <c r="K184" s="96"/>
      <c r="L184" s="94"/>
      <c r="M184" s="106"/>
      <c r="N184" s="105"/>
      <c r="O184" s="106"/>
      <c r="P184" s="106"/>
      <c r="Q184" s="106"/>
      <c r="R184" s="106"/>
    </row>
    <row r="185" spans="1:18">
      <c r="A185" s="91"/>
      <c r="B185" s="92"/>
      <c r="C185" s="93"/>
      <c r="D185" s="94"/>
      <c r="E185" s="95"/>
      <c r="F185" s="96"/>
      <c r="G185" s="94"/>
      <c r="H185" s="95"/>
      <c r="I185" s="96"/>
      <c r="J185" s="96"/>
      <c r="K185" s="96"/>
      <c r="L185" s="94"/>
      <c r="M185" s="106"/>
      <c r="N185" s="105"/>
      <c r="O185" s="106"/>
      <c r="P185" s="106"/>
      <c r="Q185" s="106"/>
      <c r="R185" s="106"/>
    </row>
    <row r="186" spans="1:18">
      <c r="A186" s="91"/>
      <c r="B186" s="92"/>
      <c r="C186" s="93"/>
      <c r="D186" s="94"/>
      <c r="E186" s="95"/>
      <c r="F186" s="96"/>
      <c r="G186" s="94"/>
      <c r="H186" s="95"/>
      <c r="I186" s="96"/>
      <c r="J186" s="96"/>
      <c r="K186" s="96"/>
      <c r="L186" s="94"/>
      <c r="M186" s="106"/>
      <c r="N186" s="105"/>
      <c r="O186" s="106"/>
      <c r="P186" s="106"/>
      <c r="Q186" s="106"/>
      <c r="R186" s="106"/>
    </row>
    <row r="187" spans="1:18">
      <c r="A187" s="91"/>
      <c r="B187" s="92"/>
      <c r="C187" s="93"/>
      <c r="D187" s="94"/>
      <c r="E187" s="95"/>
      <c r="F187" s="96"/>
      <c r="G187" s="94"/>
      <c r="H187" s="95"/>
      <c r="I187" s="96"/>
      <c r="J187" s="96"/>
      <c r="K187" s="96"/>
      <c r="L187" s="94"/>
      <c r="M187" s="106"/>
      <c r="N187" s="105"/>
      <c r="O187" s="106"/>
      <c r="P187" s="106"/>
      <c r="Q187" s="106"/>
      <c r="R187" s="106"/>
    </row>
    <row r="188" spans="1:18">
      <c r="A188" s="91"/>
      <c r="B188" s="92"/>
      <c r="C188" s="93"/>
      <c r="D188" s="94"/>
      <c r="E188" s="95"/>
      <c r="F188" s="96"/>
      <c r="G188" s="94"/>
      <c r="H188" s="95"/>
      <c r="I188" s="96"/>
      <c r="J188" s="96"/>
      <c r="K188" s="96"/>
      <c r="L188" s="94"/>
      <c r="M188" s="106"/>
      <c r="N188" s="105"/>
      <c r="O188" s="106"/>
      <c r="P188" s="106"/>
      <c r="Q188" s="106"/>
      <c r="R188" s="106"/>
    </row>
    <row r="189" spans="1:18">
      <c r="A189" s="91"/>
      <c r="B189" s="92"/>
      <c r="C189" s="93"/>
      <c r="D189" s="94"/>
      <c r="E189" s="95"/>
      <c r="F189" s="96"/>
      <c r="G189" s="94"/>
      <c r="H189" s="95"/>
      <c r="I189" s="96"/>
      <c r="J189" s="96"/>
      <c r="K189" s="96"/>
      <c r="L189" s="94"/>
      <c r="M189" s="106"/>
      <c r="N189" s="105"/>
      <c r="O189" s="106"/>
      <c r="P189" s="106"/>
      <c r="Q189" s="106"/>
      <c r="R189" s="106"/>
    </row>
    <row r="190" spans="1:18">
      <c r="A190" s="91"/>
      <c r="B190" s="92"/>
      <c r="C190" s="93"/>
      <c r="D190" s="94"/>
      <c r="E190" s="95"/>
      <c r="F190" s="96"/>
      <c r="G190" s="94"/>
      <c r="H190" s="95"/>
      <c r="I190" s="96"/>
      <c r="J190" s="96"/>
      <c r="K190" s="96"/>
      <c r="L190" s="94"/>
      <c r="M190" s="106"/>
      <c r="N190" s="105"/>
      <c r="O190" s="106"/>
      <c r="P190" s="106"/>
      <c r="Q190" s="106"/>
      <c r="R190" s="106"/>
    </row>
    <row r="191" spans="1:18">
      <c r="A191" s="91"/>
      <c r="B191" s="92"/>
      <c r="C191" s="93"/>
      <c r="D191" s="94"/>
      <c r="E191" s="95"/>
      <c r="F191" s="96"/>
      <c r="G191" s="94"/>
      <c r="H191" s="95"/>
      <c r="I191" s="96"/>
      <c r="J191" s="96"/>
      <c r="K191" s="96"/>
      <c r="L191" s="94"/>
      <c r="M191" s="106"/>
      <c r="N191" s="105"/>
      <c r="O191" s="106"/>
      <c r="P191" s="106"/>
      <c r="Q191" s="106"/>
      <c r="R191" s="106"/>
    </row>
    <row r="192" spans="1:18">
      <c r="A192" s="91"/>
      <c r="B192" s="92"/>
      <c r="C192" s="93"/>
      <c r="D192" s="94"/>
      <c r="E192" s="95"/>
      <c r="F192" s="96"/>
      <c r="G192" s="94"/>
      <c r="H192" s="95"/>
      <c r="I192" s="96"/>
      <c r="J192" s="96"/>
      <c r="K192" s="96"/>
      <c r="L192" s="94"/>
      <c r="M192" s="106"/>
      <c r="N192" s="105"/>
      <c r="O192" s="106"/>
      <c r="P192" s="106"/>
      <c r="Q192" s="106"/>
      <c r="R192" s="106"/>
    </row>
    <row r="193" spans="1:18">
      <c r="A193" s="91"/>
      <c r="B193" s="92"/>
      <c r="C193" s="93"/>
      <c r="D193" s="94"/>
      <c r="E193" s="95"/>
      <c r="F193" s="96"/>
      <c r="G193" s="94"/>
      <c r="H193" s="95"/>
      <c r="I193" s="96"/>
      <c r="J193" s="96"/>
      <c r="K193" s="96"/>
      <c r="L193" s="94"/>
      <c r="M193" s="106"/>
      <c r="N193" s="105"/>
      <c r="O193" s="106"/>
      <c r="P193" s="106"/>
      <c r="Q193" s="106"/>
      <c r="R193" s="106"/>
    </row>
    <row r="194" spans="1:18">
      <c r="A194" s="91"/>
      <c r="B194" s="92"/>
      <c r="C194" s="93"/>
      <c r="D194" s="94"/>
      <c r="E194" s="95"/>
      <c r="F194" s="96"/>
      <c r="G194" s="94"/>
      <c r="H194" s="95"/>
      <c r="I194" s="96"/>
      <c r="J194" s="96"/>
      <c r="K194" s="96"/>
      <c r="L194" s="94"/>
      <c r="M194" s="106"/>
      <c r="N194" s="105"/>
      <c r="O194" s="106"/>
      <c r="P194" s="106"/>
      <c r="Q194" s="106"/>
      <c r="R194" s="106"/>
    </row>
    <row r="195" spans="1:18">
      <c r="A195" s="91"/>
      <c r="B195" s="92"/>
      <c r="C195" s="93"/>
      <c r="D195" s="94"/>
      <c r="E195" s="95"/>
      <c r="F195" s="96"/>
      <c r="G195" s="94"/>
      <c r="H195" s="95"/>
      <c r="I195" s="96"/>
      <c r="J195" s="96"/>
      <c r="K195" s="96"/>
      <c r="L195" s="94"/>
      <c r="M195" s="106"/>
      <c r="N195" s="105"/>
      <c r="O195" s="106"/>
      <c r="P195" s="106"/>
      <c r="Q195" s="106"/>
      <c r="R195" s="106"/>
    </row>
    <row r="196" spans="1:18">
      <c r="A196" s="91"/>
      <c r="B196" s="92"/>
      <c r="C196" s="93"/>
      <c r="D196" s="94"/>
      <c r="E196" s="95"/>
      <c r="F196" s="96"/>
      <c r="G196" s="94"/>
      <c r="H196" s="95"/>
      <c r="I196" s="96"/>
      <c r="J196" s="96"/>
      <c r="K196" s="96"/>
      <c r="L196" s="94"/>
      <c r="M196" s="106"/>
      <c r="N196" s="105"/>
      <c r="O196" s="106"/>
      <c r="P196" s="106"/>
      <c r="Q196" s="106"/>
      <c r="R196" s="106"/>
    </row>
    <row r="197" spans="1:18">
      <c r="A197" s="91"/>
      <c r="B197" s="92"/>
      <c r="C197" s="93"/>
      <c r="D197" s="94"/>
      <c r="E197" s="95"/>
      <c r="F197" s="96"/>
      <c r="G197" s="94"/>
      <c r="H197" s="95"/>
      <c r="I197" s="96"/>
      <c r="J197" s="96"/>
      <c r="K197" s="96"/>
      <c r="L197" s="94"/>
      <c r="M197" s="106"/>
      <c r="N197" s="105"/>
      <c r="O197" s="106"/>
      <c r="P197" s="106"/>
      <c r="Q197" s="106"/>
      <c r="R197" s="106"/>
    </row>
    <row r="198" spans="1:18">
      <c r="A198" s="91"/>
      <c r="B198" s="92"/>
      <c r="C198" s="93"/>
      <c r="D198" s="94"/>
      <c r="E198" s="95"/>
      <c r="F198" s="96"/>
      <c r="G198" s="94"/>
      <c r="H198" s="95"/>
      <c r="I198" s="96"/>
      <c r="J198" s="96"/>
      <c r="K198" s="96"/>
      <c r="L198" s="94"/>
      <c r="M198" s="106"/>
      <c r="N198" s="105"/>
      <c r="O198" s="106"/>
      <c r="P198" s="106"/>
      <c r="Q198" s="106"/>
      <c r="R198" s="106"/>
    </row>
    <row r="199" spans="1:18">
      <c r="A199" s="91"/>
      <c r="B199" s="92"/>
      <c r="C199" s="93"/>
      <c r="D199" s="94"/>
      <c r="E199" s="95"/>
      <c r="F199" s="96"/>
      <c r="G199" s="94"/>
      <c r="H199" s="95"/>
      <c r="I199" s="96"/>
      <c r="J199" s="96"/>
      <c r="K199" s="96"/>
      <c r="L199" s="94"/>
      <c r="M199" s="106"/>
      <c r="N199" s="105"/>
      <c r="O199" s="106"/>
      <c r="P199" s="106"/>
      <c r="Q199" s="106"/>
      <c r="R199" s="106"/>
    </row>
    <row r="200" spans="1:18">
      <c r="A200" s="91"/>
      <c r="B200" s="92"/>
      <c r="C200" s="93"/>
      <c r="D200" s="94"/>
      <c r="E200" s="95"/>
      <c r="F200" s="96"/>
      <c r="G200" s="94"/>
      <c r="H200" s="95"/>
      <c r="I200" s="96"/>
      <c r="J200" s="96"/>
      <c r="K200" s="96"/>
      <c r="L200" s="94"/>
      <c r="M200" s="106"/>
      <c r="N200" s="105"/>
      <c r="O200" s="106"/>
      <c r="P200" s="106"/>
      <c r="Q200" s="106"/>
      <c r="R200" s="106"/>
    </row>
    <row r="201" spans="1:18">
      <c r="A201" s="91"/>
      <c r="B201" s="92"/>
      <c r="C201" s="93"/>
      <c r="D201" s="94"/>
      <c r="E201" s="95"/>
      <c r="F201" s="96"/>
      <c r="G201" s="94"/>
      <c r="H201" s="95"/>
      <c r="I201" s="96"/>
      <c r="J201" s="96"/>
      <c r="K201" s="96"/>
      <c r="L201" s="94"/>
      <c r="M201" s="106"/>
      <c r="N201" s="105"/>
      <c r="O201" s="106"/>
      <c r="P201" s="106"/>
      <c r="Q201" s="106"/>
      <c r="R201" s="106"/>
    </row>
    <row r="202" spans="1:18">
      <c r="A202" s="91"/>
      <c r="B202" s="92"/>
      <c r="C202" s="93"/>
      <c r="D202" s="94"/>
      <c r="E202" s="95"/>
      <c r="F202" s="96"/>
      <c r="G202" s="94"/>
      <c r="H202" s="95"/>
      <c r="I202" s="96"/>
      <c r="J202" s="96"/>
      <c r="K202" s="96"/>
      <c r="L202" s="94"/>
      <c r="M202" s="106"/>
      <c r="N202" s="105"/>
      <c r="O202" s="106"/>
      <c r="P202" s="106"/>
      <c r="Q202" s="106"/>
      <c r="R202" s="106"/>
    </row>
    <row r="203" spans="1:18">
      <c r="A203" s="91"/>
      <c r="B203" s="92"/>
      <c r="C203" s="93"/>
      <c r="D203" s="94"/>
      <c r="E203" s="95"/>
      <c r="F203" s="96"/>
      <c r="G203" s="94"/>
      <c r="H203" s="95"/>
      <c r="I203" s="96"/>
      <c r="J203" s="96"/>
      <c r="K203" s="96"/>
      <c r="L203" s="94"/>
      <c r="M203" s="106"/>
      <c r="N203" s="105"/>
      <c r="O203" s="106"/>
      <c r="P203" s="106"/>
      <c r="Q203" s="106"/>
      <c r="R203" s="106"/>
    </row>
    <row r="204" spans="1:18">
      <c r="A204" s="91"/>
      <c r="B204" s="92"/>
      <c r="C204" s="93"/>
      <c r="D204" s="94"/>
      <c r="E204" s="95"/>
      <c r="F204" s="96"/>
      <c r="G204" s="94"/>
      <c r="H204" s="95"/>
      <c r="I204" s="96"/>
      <c r="J204" s="96"/>
      <c r="K204" s="96"/>
      <c r="L204" s="94"/>
      <c r="M204" s="106"/>
      <c r="N204" s="105"/>
      <c r="O204" s="106"/>
      <c r="P204" s="106"/>
      <c r="Q204" s="106"/>
      <c r="R204" s="106"/>
    </row>
    <row r="205" spans="1:18">
      <c r="A205" s="91"/>
      <c r="B205" s="92"/>
      <c r="C205" s="93"/>
      <c r="D205" s="94"/>
      <c r="E205" s="95"/>
      <c r="F205" s="96"/>
      <c r="G205" s="94"/>
      <c r="H205" s="95"/>
      <c r="I205" s="96"/>
      <c r="J205" s="96"/>
      <c r="K205" s="96"/>
      <c r="L205" s="94"/>
      <c r="M205" s="106"/>
      <c r="N205" s="105"/>
      <c r="O205" s="106"/>
      <c r="P205" s="106"/>
      <c r="Q205" s="106"/>
      <c r="R205" s="106"/>
    </row>
    <row r="206" spans="1:18">
      <c r="A206" s="91"/>
      <c r="B206" s="92"/>
      <c r="C206" s="93"/>
      <c r="D206" s="94"/>
      <c r="E206" s="95"/>
      <c r="F206" s="96"/>
      <c r="G206" s="94"/>
      <c r="H206" s="95"/>
      <c r="I206" s="96"/>
      <c r="J206" s="96"/>
      <c r="K206" s="96"/>
      <c r="L206" s="94"/>
      <c r="M206" s="106"/>
      <c r="N206" s="105"/>
      <c r="O206" s="106"/>
      <c r="P206" s="106"/>
      <c r="Q206" s="106"/>
      <c r="R206" s="106"/>
    </row>
    <row r="207" spans="1:18">
      <c r="A207" s="91"/>
      <c r="B207" s="92"/>
      <c r="C207" s="93"/>
      <c r="D207" s="94"/>
      <c r="E207" s="95"/>
      <c r="F207" s="96"/>
      <c r="G207" s="94"/>
      <c r="H207" s="95"/>
      <c r="I207" s="96"/>
      <c r="J207" s="96"/>
      <c r="K207" s="96"/>
      <c r="L207" s="94"/>
      <c r="M207" s="106"/>
      <c r="N207" s="105"/>
      <c r="O207" s="106"/>
      <c r="P207" s="106"/>
      <c r="Q207" s="106"/>
      <c r="R207" s="106"/>
    </row>
    <row r="208" spans="1:18">
      <c r="A208" s="91"/>
      <c r="B208" s="92"/>
      <c r="C208" s="93"/>
      <c r="D208" s="94"/>
      <c r="E208" s="95"/>
      <c r="F208" s="96"/>
      <c r="G208" s="94"/>
      <c r="H208" s="95"/>
      <c r="I208" s="96"/>
      <c r="J208" s="96"/>
      <c r="K208" s="96"/>
      <c r="L208" s="94"/>
      <c r="M208" s="106"/>
      <c r="N208" s="105"/>
      <c r="O208" s="106"/>
      <c r="P208" s="106"/>
      <c r="Q208" s="106"/>
      <c r="R208" s="106"/>
    </row>
    <row r="209" spans="1:18">
      <c r="A209" s="91"/>
      <c r="B209" s="92"/>
      <c r="C209" s="93"/>
      <c r="D209" s="94"/>
      <c r="E209" s="95"/>
      <c r="F209" s="96"/>
      <c r="G209" s="94"/>
      <c r="H209" s="95"/>
      <c r="I209" s="96"/>
      <c r="J209" s="96"/>
      <c r="K209" s="96"/>
      <c r="L209" s="94"/>
      <c r="M209" s="106"/>
      <c r="N209" s="105"/>
      <c r="O209" s="106"/>
      <c r="P209" s="106"/>
      <c r="Q209" s="106"/>
      <c r="R209" s="106"/>
    </row>
    <row r="210" spans="1:18">
      <c r="A210" s="91"/>
      <c r="B210" s="92"/>
      <c r="C210" s="93"/>
      <c r="D210" s="94"/>
      <c r="E210" s="95"/>
      <c r="F210" s="96"/>
      <c r="G210" s="94"/>
      <c r="H210" s="95"/>
      <c r="I210" s="96"/>
      <c r="J210" s="96"/>
      <c r="K210" s="96"/>
      <c r="L210" s="94"/>
      <c r="M210" s="106"/>
      <c r="N210" s="105"/>
      <c r="O210" s="106"/>
      <c r="P210" s="106"/>
      <c r="Q210" s="106"/>
      <c r="R210" s="106"/>
    </row>
    <row r="211" spans="1:18">
      <c r="A211" s="91"/>
      <c r="B211" s="92"/>
      <c r="C211" s="93"/>
      <c r="D211" s="94"/>
      <c r="E211" s="95"/>
      <c r="F211" s="96"/>
      <c r="G211" s="94"/>
      <c r="H211" s="95"/>
      <c r="I211" s="96"/>
      <c r="J211" s="96"/>
      <c r="K211" s="96"/>
      <c r="L211" s="94"/>
      <c r="M211" s="106"/>
      <c r="N211" s="105"/>
      <c r="O211" s="106"/>
      <c r="P211" s="106"/>
      <c r="Q211" s="106"/>
      <c r="R211" s="106"/>
    </row>
    <row r="212" spans="1:18">
      <c r="A212" s="91"/>
      <c r="B212" s="92"/>
      <c r="C212" s="93"/>
      <c r="D212" s="94"/>
      <c r="E212" s="95"/>
      <c r="F212" s="96"/>
      <c r="G212" s="94"/>
      <c r="H212" s="95"/>
      <c r="I212" s="96"/>
      <c r="J212" s="96"/>
      <c r="K212" s="96"/>
      <c r="L212" s="94"/>
      <c r="M212" s="106"/>
      <c r="N212" s="105"/>
      <c r="O212" s="106"/>
      <c r="P212" s="106"/>
      <c r="Q212" s="106"/>
      <c r="R212" s="106"/>
    </row>
    <row r="213" spans="1:18">
      <c r="A213" s="91"/>
      <c r="B213" s="92"/>
      <c r="C213" s="93"/>
      <c r="D213" s="94"/>
      <c r="E213" s="95"/>
      <c r="F213" s="96"/>
      <c r="G213" s="94"/>
      <c r="H213" s="95"/>
      <c r="I213" s="96"/>
      <c r="J213" s="96"/>
      <c r="K213" s="96"/>
      <c r="L213" s="94"/>
      <c r="M213" s="106"/>
      <c r="N213" s="105"/>
      <c r="O213" s="106"/>
      <c r="P213" s="106"/>
      <c r="Q213" s="106"/>
      <c r="R213" s="106"/>
    </row>
    <row r="214" spans="1:18">
      <c r="A214" s="91"/>
      <c r="B214" s="92"/>
      <c r="C214" s="93"/>
      <c r="D214" s="94"/>
      <c r="E214" s="95"/>
      <c r="F214" s="96"/>
      <c r="G214" s="94"/>
      <c r="H214" s="95"/>
      <c r="I214" s="96"/>
      <c r="J214" s="96"/>
      <c r="K214" s="96"/>
      <c r="L214" s="94"/>
      <c r="M214" s="106"/>
      <c r="N214" s="105"/>
      <c r="O214" s="106"/>
      <c r="P214" s="106"/>
      <c r="Q214" s="106"/>
      <c r="R214" s="106"/>
    </row>
    <row r="215" spans="1:18">
      <c r="A215" s="91"/>
      <c r="B215" s="92"/>
      <c r="C215" s="93"/>
      <c r="D215" s="94"/>
      <c r="E215" s="95"/>
      <c r="F215" s="96"/>
      <c r="G215" s="94"/>
      <c r="H215" s="95"/>
      <c r="I215" s="96"/>
      <c r="J215" s="96"/>
      <c r="K215" s="96"/>
      <c r="L215" s="94"/>
      <c r="M215" s="106"/>
      <c r="N215" s="105"/>
      <c r="O215" s="106"/>
      <c r="P215" s="106"/>
      <c r="Q215" s="106"/>
      <c r="R215" s="106"/>
    </row>
    <row r="216" spans="1:18">
      <c r="A216" s="91"/>
      <c r="B216" s="92"/>
      <c r="C216" s="93"/>
      <c r="D216" s="94"/>
      <c r="E216" s="95"/>
      <c r="F216" s="96"/>
      <c r="G216" s="94"/>
      <c r="H216" s="95"/>
      <c r="I216" s="96"/>
      <c r="J216" s="96"/>
      <c r="K216" s="96"/>
      <c r="L216" s="94"/>
      <c r="M216" s="106"/>
      <c r="N216" s="105"/>
      <c r="O216" s="106"/>
      <c r="P216" s="106"/>
      <c r="Q216" s="106"/>
      <c r="R216" s="106"/>
    </row>
    <row r="217" spans="1:18">
      <c r="A217" s="91"/>
      <c r="B217" s="92"/>
      <c r="C217" s="93"/>
      <c r="D217" s="94"/>
      <c r="E217" s="95"/>
      <c r="F217" s="96"/>
      <c r="G217" s="94"/>
      <c r="H217" s="95"/>
      <c r="I217" s="96"/>
      <c r="J217" s="96"/>
      <c r="K217" s="96"/>
      <c r="L217" s="94"/>
      <c r="M217" s="106"/>
      <c r="N217" s="105"/>
      <c r="O217" s="106"/>
      <c r="P217" s="106"/>
      <c r="Q217" s="106"/>
      <c r="R217" s="106"/>
    </row>
    <row r="218" spans="1:18">
      <c r="A218" s="91"/>
      <c r="B218" s="92"/>
      <c r="C218" s="93"/>
      <c r="D218" s="94"/>
      <c r="E218" s="95"/>
      <c r="F218" s="96"/>
      <c r="G218" s="94"/>
      <c r="H218" s="95"/>
      <c r="I218" s="96"/>
      <c r="J218" s="96"/>
      <c r="K218" s="96"/>
      <c r="L218" s="94"/>
      <c r="M218" s="106"/>
      <c r="N218" s="105"/>
      <c r="O218" s="106"/>
      <c r="P218" s="106"/>
      <c r="Q218" s="106"/>
      <c r="R218" s="106"/>
    </row>
    <row r="219" spans="1:18">
      <c r="A219" s="91"/>
      <c r="B219" s="92"/>
      <c r="C219" s="93"/>
      <c r="D219" s="94"/>
      <c r="E219" s="95"/>
      <c r="F219" s="96"/>
      <c r="G219" s="94"/>
      <c r="H219" s="95"/>
      <c r="I219" s="96"/>
      <c r="J219" s="96"/>
      <c r="K219" s="96"/>
      <c r="L219" s="94"/>
      <c r="M219" s="106"/>
      <c r="N219" s="105"/>
      <c r="O219" s="106"/>
      <c r="P219" s="106"/>
      <c r="Q219" s="106"/>
      <c r="R219" s="106"/>
    </row>
    <row r="220" spans="1:18">
      <c r="A220" s="91"/>
      <c r="B220" s="92"/>
      <c r="C220" s="93"/>
      <c r="D220" s="94"/>
      <c r="E220" s="95"/>
      <c r="F220" s="96"/>
      <c r="G220" s="94"/>
      <c r="H220" s="95"/>
      <c r="I220" s="96"/>
      <c r="J220" s="96"/>
      <c r="K220" s="96"/>
      <c r="L220" s="94"/>
      <c r="M220" s="106"/>
      <c r="N220" s="105"/>
      <c r="O220" s="106"/>
      <c r="P220" s="106"/>
      <c r="Q220" s="106"/>
      <c r="R220" s="106"/>
    </row>
    <row r="221" spans="1:18">
      <c r="A221" s="91"/>
      <c r="B221" s="92"/>
      <c r="C221" s="93"/>
      <c r="D221" s="94"/>
      <c r="E221" s="95"/>
      <c r="F221" s="96"/>
      <c r="G221" s="94"/>
      <c r="H221" s="95"/>
      <c r="I221" s="96"/>
      <c r="J221" s="96"/>
      <c r="K221" s="96"/>
      <c r="L221" s="94"/>
      <c r="M221" s="106"/>
      <c r="N221" s="105"/>
      <c r="O221" s="106"/>
      <c r="P221" s="106"/>
      <c r="Q221" s="106"/>
      <c r="R221" s="106"/>
    </row>
    <row r="222" spans="1:18">
      <c r="A222" s="91"/>
      <c r="B222" s="92"/>
      <c r="C222" s="93"/>
      <c r="D222" s="94"/>
      <c r="E222" s="95"/>
      <c r="F222" s="96"/>
      <c r="G222" s="94"/>
      <c r="H222" s="95"/>
      <c r="I222" s="96"/>
      <c r="J222" s="96"/>
      <c r="K222" s="96"/>
      <c r="L222" s="94"/>
      <c r="M222" s="106"/>
      <c r="N222" s="105"/>
      <c r="O222" s="106"/>
      <c r="P222" s="106"/>
      <c r="Q222" s="106"/>
      <c r="R222" s="106"/>
    </row>
    <row r="223" spans="1:18">
      <c r="A223" s="91"/>
      <c r="B223" s="92"/>
      <c r="C223" s="93"/>
      <c r="D223" s="94"/>
      <c r="E223" s="95"/>
      <c r="F223" s="96"/>
      <c r="G223" s="94"/>
      <c r="H223" s="95"/>
      <c r="I223" s="96"/>
      <c r="J223" s="96"/>
      <c r="K223" s="96"/>
      <c r="L223" s="94"/>
      <c r="M223" s="106"/>
      <c r="N223" s="105"/>
      <c r="O223" s="106"/>
      <c r="P223" s="106"/>
      <c r="Q223" s="106"/>
      <c r="R223" s="106"/>
    </row>
    <row r="224" spans="1:18">
      <c r="A224" s="91"/>
      <c r="B224" s="92"/>
      <c r="C224" s="93"/>
      <c r="D224" s="94"/>
      <c r="E224" s="95"/>
      <c r="F224" s="96"/>
      <c r="G224" s="94"/>
      <c r="H224" s="95"/>
      <c r="I224" s="96"/>
      <c r="J224" s="96"/>
      <c r="K224" s="96"/>
      <c r="L224" s="94"/>
      <c r="M224" s="106"/>
      <c r="N224" s="105"/>
      <c r="O224" s="106"/>
      <c r="P224" s="106"/>
      <c r="Q224" s="106"/>
      <c r="R224" s="106"/>
    </row>
    <row r="225" spans="1:18">
      <c r="A225" s="91"/>
      <c r="B225" s="92"/>
      <c r="C225" s="93"/>
      <c r="D225" s="94"/>
      <c r="E225" s="95"/>
      <c r="F225" s="96"/>
      <c r="G225" s="94"/>
      <c r="H225" s="95"/>
      <c r="I225" s="96"/>
      <c r="J225" s="96"/>
      <c r="K225" s="96"/>
      <c r="L225" s="94"/>
      <c r="M225" s="106"/>
      <c r="N225" s="105"/>
      <c r="O225" s="106"/>
      <c r="P225" s="106"/>
      <c r="Q225" s="106"/>
      <c r="R225" s="106"/>
    </row>
    <row r="226" spans="1:18">
      <c r="A226" s="91"/>
      <c r="B226" s="92"/>
      <c r="C226" s="93"/>
      <c r="D226" s="94"/>
      <c r="E226" s="95"/>
      <c r="F226" s="96"/>
      <c r="G226" s="94"/>
      <c r="H226" s="95"/>
      <c r="I226" s="96"/>
      <c r="J226" s="96"/>
      <c r="K226" s="96"/>
      <c r="L226" s="94"/>
      <c r="M226" s="106"/>
      <c r="N226" s="105"/>
      <c r="O226" s="106"/>
      <c r="P226" s="106"/>
      <c r="Q226" s="106"/>
      <c r="R226" s="106"/>
    </row>
    <row r="227" spans="1:18">
      <c r="A227" s="91"/>
      <c r="B227" s="92"/>
      <c r="C227" s="93"/>
      <c r="D227" s="94"/>
      <c r="E227" s="95"/>
      <c r="F227" s="96"/>
      <c r="G227" s="94"/>
      <c r="H227" s="95"/>
      <c r="I227" s="96"/>
      <c r="J227" s="96"/>
      <c r="K227" s="96"/>
      <c r="L227" s="94"/>
      <c r="M227" s="106"/>
      <c r="N227" s="105"/>
      <c r="O227" s="106"/>
      <c r="P227" s="106"/>
      <c r="Q227" s="106"/>
      <c r="R227" s="106"/>
    </row>
    <row r="228" spans="1:18">
      <c r="A228" s="91"/>
      <c r="B228" s="92"/>
      <c r="C228" s="93"/>
      <c r="D228" s="94"/>
      <c r="E228" s="95"/>
      <c r="F228" s="96"/>
      <c r="G228" s="94"/>
      <c r="H228" s="95"/>
      <c r="I228" s="96"/>
      <c r="J228" s="96"/>
      <c r="K228" s="96"/>
      <c r="L228" s="94"/>
      <c r="M228" s="106"/>
      <c r="N228" s="105"/>
      <c r="O228" s="106"/>
      <c r="P228" s="106"/>
      <c r="Q228" s="106"/>
      <c r="R228" s="106"/>
    </row>
    <row r="229" spans="1:18">
      <c r="A229" s="91"/>
      <c r="B229" s="92"/>
      <c r="C229" s="93"/>
      <c r="D229" s="94"/>
      <c r="E229" s="95"/>
      <c r="F229" s="96"/>
      <c r="G229" s="94"/>
      <c r="H229" s="95"/>
      <c r="I229" s="96"/>
      <c r="J229" s="96"/>
      <c r="K229" s="96"/>
      <c r="L229" s="94"/>
      <c r="M229" s="106"/>
      <c r="N229" s="105"/>
      <c r="O229" s="106"/>
      <c r="P229" s="106"/>
      <c r="Q229" s="106"/>
      <c r="R229" s="106"/>
    </row>
    <row r="230" spans="1:18">
      <c r="A230" s="91"/>
      <c r="B230" s="92"/>
      <c r="C230" s="93"/>
      <c r="D230" s="94"/>
      <c r="E230" s="95"/>
      <c r="F230" s="96"/>
      <c r="G230" s="94"/>
      <c r="H230" s="95"/>
      <c r="I230" s="96"/>
      <c r="J230" s="96"/>
      <c r="K230" s="96"/>
      <c r="L230" s="94"/>
      <c r="M230" s="106"/>
      <c r="N230" s="105"/>
      <c r="O230" s="106"/>
      <c r="P230" s="106"/>
      <c r="Q230" s="106"/>
      <c r="R230" s="106"/>
    </row>
    <row r="231" spans="1:18">
      <c r="A231" s="91"/>
      <c r="B231" s="92"/>
      <c r="C231" s="93"/>
      <c r="D231" s="94"/>
      <c r="E231" s="95"/>
      <c r="F231" s="96"/>
      <c r="G231" s="94"/>
      <c r="H231" s="95"/>
      <c r="I231" s="96"/>
      <c r="J231" s="96"/>
      <c r="K231" s="96"/>
      <c r="L231" s="94"/>
      <c r="M231" s="106"/>
      <c r="N231" s="105"/>
      <c r="O231" s="106"/>
      <c r="P231" s="106"/>
      <c r="Q231" s="106"/>
      <c r="R231" s="106"/>
    </row>
    <row r="232" spans="1:18">
      <c r="A232" s="91"/>
      <c r="B232" s="92"/>
      <c r="C232" s="93"/>
      <c r="D232" s="94"/>
      <c r="E232" s="95"/>
      <c r="F232" s="96"/>
      <c r="G232" s="94"/>
      <c r="H232" s="95"/>
      <c r="I232" s="96"/>
      <c r="J232" s="96"/>
      <c r="K232" s="96"/>
      <c r="L232" s="94"/>
      <c r="M232" s="106"/>
      <c r="N232" s="105"/>
      <c r="O232" s="106"/>
      <c r="P232" s="106"/>
      <c r="Q232" s="106"/>
      <c r="R232" s="106"/>
    </row>
    <row r="233" spans="1:18">
      <c r="A233" s="91"/>
      <c r="B233" s="92"/>
      <c r="C233" s="93"/>
      <c r="D233" s="94"/>
      <c r="E233" s="95"/>
      <c r="F233" s="96"/>
      <c r="G233" s="94"/>
      <c r="H233" s="95"/>
      <c r="I233" s="96"/>
      <c r="J233" s="96"/>
      <c r="K233" s="96"/>
      <c r="L233" s="94"/>
      <c r="M233" s="106"/>
      <c r="N233" s="105"/>
      <c r="O233" s="106"/>
      <c r="P233" s="106"/>
      <c r="Q233" s="106"/>
      <c r="R233" s="106"/>
    </row>
    <row r="234" spans="1:18">
      <c r="A234" s="91"/>
      <c r="B234" s="92"/>
      <c r="C234" s="93"/>
      <c r="D234" s="94"/>
      <c r="E234" s="95"/>
      <c r="F234" s="96"/>
      <c r="G234" s="94"/>
      <c r="H234" s="95"/>
      <c r="I234" s="96"/>
      <c r="J234" s="96"/>
      <c r="K234" s="96"/>
      <c r="L234" s="94"/>
      <c r="M234" s="106"/>
      <c r="N234" s="105"/>
      <c r="O234" s="106"/>
      <c r="P234" s="106"/>
      <c r="Q234" s="106"/>
      <c r="R234" s="106"/>
    </row>
    <row r="235" spans="1:18">
      <c r="A235" s="91"/>
      <c r="B235" s="92"/>
      <c r="C235" s="93"/>
      <c r="D235" s="94"/>
      <c r="E235" s="95"/>
      <c r="F235" s="96"/>
      <c r="G235" s="94"/>
      <c r="H235" s="95"/>
      <c r="I235" s="96"/>
      <c r="J235" s="96"/>
      <c r="K235" s="96"/>
      <c r="L235" s="94"/>
      <c r="M235" s="106"/>
      <c r="N235" s="105"/>
      <c r="O235" s="106"/>
      <c r="P235" s="106"/>
      <c r="Q235" s="106"/>
      <c r="R235" s="106"/>
    </row>
    <row r="236" spans="1:18">
      <c r="A236" s="91"/>
      <c r="B236" s="92"/>
      <c r="C236" s="93"/>
      <c r="D236" s="94"/>
      <c r="E236" s="95"/>
      <c r="F236" s="96"/>
      <c r="G236" s="94"/>
      <c r="H236" s="95"/>
      <c r="I236" s="96"/>
      <c r="J236" s="96"/>
      <c r="K236" s="96"/>
      <c r="L236" s="94"/>
      <c r="M236" s="106"/>
      <c r="N236" s="105"/>
      <c r="O236" s="106"/>
      <c r="P236" s="106"/>
      <c r="Q236" s="106"/>
      <c r="R236" s="106"/>
    </row>
    <row r="237" spans="1:18">
      <c r="A237" s="91"/>
      <c r="B237" s="92"/>
      <c r="C237" s="93"/>
      <c r="D237" s="94"/>
      <c r="E237" s="95"/>
      <c r="F237" s="96"/>
      <c r="G237" s="94"/>
      <c r="H237" s="95"/>
      <c r="I237" s="96"/>
      <c r="J237" s="96"/>
      <c r="K237" s="96"/>
      <c r="L237" s="94"/>
      <c r="M237" s="106"/>
      <c r="N237" s="105"/>
      <c r="O237" s="106"/>
      <c r="P237" s="106"/>
      <c r="Q237" s="106"/>
      <c r="R237" s="106"/>
    </row>
    <row r="238" spans="1:18">
      <c r="A238" s="91"/>
      <c r="B238" s="92"/>
      <c r="C238" s="93"/>
      <c r="D238" s="94"/>
      <c r="E238" s="95"/>
      <c r="F238" s="96"/>
      <c r="G238" s="94"/>
      <c r="H238" s="95"/>
      <c r="I238" s="96"/>
      <c r="J238" s="96"/>
      <c r="K238" s="96"/>
      <c r="L238" s="94"/>
      <c r="M238" s="106"/>
      <c r="N238" s="105"/>
      <c r="O238" s="106"/>
      <c r="P238" s="106"/>
      <c r="Q238" s="106"/>
      <c r="R238" s="106"/>
    </row>
    <row r="239" spans="1:18">
      <c r="A239" s="91"/>
      <c r="B239" s="92"/>
      <c r="C239" s="93"/>
      <c r="D239" s="94"/>
      <c r="E239" s="95"/>
      <c r="F239" s="96"/>
      <c r="G239" s="94"/>
      <c r="H239" s="95"/>
      <c r="I239" s="96"/>
      <c r="J239" s="96"/>
      <c r="K239" s="96"/>
      <c r="L239" s="94"/>
      <c r="M239" s="106"/>
      <c r="N239" s="105"/>
      <c r="O239" s="106"/>
      <c r="P239" s="106"/>
      <c r="Q239" s="106"/>
      <c r="R239" s="106"/>
    </row>
    <row r="240" spans="1:18">
      <c r="A240" s="91"/>
      <c r="B240" s="92"/>
      <c r="C240" s="93"/>
      <c r="D240" s="94"/>
      <c r="E240" s="95"/>
      <c r="F240" s="96"/>
      <c r="G240" s="94"/>
      <c r="H240" s="95"/>
      <c r="I240" s="96"/>
      <c r="J240" s="96"/>
      <c r="K240" s="96"/>
      <c r="L240" s="94"/>
      <c r="M240" s="106"/>
      <c r="N240" s="105"/>
      <c r="O240" s="106"/>
      <c r="P240" s="106"/>
      <c r="Q240" s="106"/>
      <c r="R240" s="106"/>
    </row>
    <row r="241" spans="1:18">
      <c r="A241" s="91"/>
      <c r="B241" s="92"/>
      <c r="C241" s="93"/>
      <c r="D241" s="94"/>
      <c r="E241" s="95"/>
      <c r="F241" s="96"/>
      <c r="G241" s="94"/>
      <c r="H241" s="95"/>
      <c r="I241" s="96"/>
      <c r="J241" s="96"/>
      <c r="K241" s="96"/>
      <c r="L241" s="94"/>
      <c r="M241" s="106"/>
      <c r="N241" s="105"/>
      <c r="O241" s="106"/>
      <c r="P241" s="106"/>
      <c r="Q241" s="106"/>
      <c r="R241" s="106"/>
    </row>
    <row r="242" spans="1:18">
      <c r="A242" s="91"/>
      <c r="B242" s="92"/>
      <c r="C242" s="93"/>
      <c r="D242" s="94"/>
      <c r="E242" s="95"/>
      <c r="F242" s="96"/>
      <c r="G242" s="94"/>
      <c r="H242" s="95"/>
      <c r="I242" s="96"/>
      <c r="J242" s="96"/>
      <c r="K242" s="96"/>
      <c r="L242" s="94"/>
      <c r="M242" s="106"/>
      <c r="N242" s="105"/>
      <c r="O242" s="106"/>
      <c r="P242" s="106"/>
      <c r="Q242" s="106"/>
      <c r="R242" s="106"/>
    </row>
    <row r="243" spans="1:18">
      <c r="A243" s="91"/>
      <c r="B243" s="92"/>
      <c r="C243" s="93"/>
      <c r="D243" s="94"/>
      <c r="E243" s="95"/>
      <c r="F243" s="96"/>
      <c r="G243" s="94"/>
      <c r="H243" s="95"/>
      <c r="I243" s="96"/>
      <c r="J243" s="96"/>
      <c r="K243" s="96"/>
      <c r="L243" s="94"/>
      <c r="M243" s="106"/>
      <c r="N243" s="105"/>
      <c r="O243" s="106"/>
      <c r="P243" s="106"/>
      <c r="Q243" s="106"/>
      <c r="R243" s="106"/>
    </row>
    <row r="244" spans="1:18">
      <c r="A244" s="91"/>
      <c r="B244" s="92"/>
      <c r="C244" s="93"/>
      <c r="D244" s="94"/>
      <c r="E244" s="95"/>
      <c r="F244" s="96"/>
      <c r="G244" s="94"/>
      <c r="H244" s="95"/>
      <c r="I244" s="96"/>
      <c r="J244" s="96"/>
      <c r="K244" s="96"/>
      <c r="L244" s="94"/>
      <c r="M244" s="106"/>
      <c r="N244" s="105"/>
      <c r="O244" s="106"/>
      <c r="P244" s="106"/>
      <c r="Q244" s="106"/>
      <c r="R244" s="106"/>
    </row>
    <row r="245" spans="1:18">
      <c r="A245" s="91"/>
      <c r="B245" s="92"/>
      <c r="C245" s="93"/>
      <c r="D245" s="94"/>
      <c r="E245" s="95"/>
      <c r="F245" s="96"/>
      <c r="G245" s="94"/>
      <c r="H245" s="95"/>
      <c r="I245" s="96"/>
      <c r="J245" s="96"/>
      <c r="K245" s="96"/>
      <c r="L245" s="94"/>
      <c r="M245" s="106"/>
      <c r="N245" s="105"/>
      <c r="O245" s="106"/>
      <c r="P245" s="106"/>
      <c r="Q245" s="106"/>
      <c r="R245" s="106"/>
    </row>
    <row r="246" spans="1:18">
      <c r="A246" s="91"/>
      <c r="B246" s="92"/>
      <c r="C246" s="93"/>
      <c r="D246" s="94"/>
      <c r="E246" s="95"/>
      <c r="F246" s="96"/>
      <c r="G246" s="94"/>
      <c r="H246" s="95"/>
      <c r="I246" s="96"/>
      <c r="J246" s="96"/>
      <c r="K246" s="96"/>
      <c r="L246" s="94"/>
      <c r="M246" s="106"/>
      <c r="N246" s="105"/>
      <c r="O246" s="106"/>
      <c r="P246" s="106"/>
      <c r="Q246" s="106"/>
      <c r="R246" s="106"/>
    </row>
    <row r="247" spans="1:18">
      <c r="A247" s="91"/>
      <c r="B247" s="92"/>
      <c r="C247" s="93"/>
      <c r="D247" s="94"/>
      <c r="E247" s="95"/>
      <c r="F247" s="96"/>
      <c r="G247" s="94"/>
      <c r="H247" s="95"/>
      <c r="I247" s="96"/>
      <c r="J247" s="96"/>
      <c r="K247" s="96"/>
      <c r="L247" s="94"/>
      <c r="M247" s="106"/>
      <c r="N247" s="105"/>
      <c r="O247" s="106"/>
      <c r="P247" s="106"/>
      <c r="Q247" s="106"/>
      <c r="R247" s="106"/>
    </row>
    <row r="248" spans="1:18">
      <c r="A248" s="91"/>
      <c r="B248" s="92"/>
      <c r="C248" s="93"/>
      <c r="D248" s="94"/>
      <c r="E248" s="95"/>
      <c r="F248" s="96"/>
      <c r="G248" s="94"/>
      <c r="H248" s="95"/>
      <c r="I248" s="96"/>
      <c r="J248" s="96"/>
      <c r="K248" s="96"/>
      <c r="L248" s="94"/>
      <c r="M248" s="106"/>
      <c r="N248" s="105"/>
      <c r="O248" s="106"/>
      <c r="P248" s="106"/>
      <c r="Q248" s="106"/>
      <c r="R248" s="106"/>
    </row>
    <row r="249" spans="1:18">
      <c r="A249" s="91"/>
      <c r="B249" s="92"/>
      <c r="C249" s="93"/>
      <c r="D249" s="94"/>
      <c r="E249" s="95"/>
      <c r="F249" s="96"/>
      <c r="G249" s="94"/>
      <c r="H249" s="95"/>
      <c r="I249" s="96"/>
      <c r="J249" s="96"/>
      <c r="K249" s="96"/>
      <c r="L249" s="94"/>
      <c r="M249" s="106"/>
      <c r="N249" s="105"/>
      <c r="O249" s="106"/>
      <c r="P249" s="106"/>
      <c r="Q249" s="106"/>
      <c r="R249" s="106"/>
    </row>
    <row r="250" spans="1:18">
      <c r="A250" s="91"/>
      <c r="B250" s="92"/>
      <c r="C250" s="93"/>
      <c r="D250" s="94"/>
      <c r="E250" s="95"/>
      <c r="F250" s="96"/>
      <c r="G250" s="94"/>
      <c r="H250" s="95"/>
      <c r="I250" s="96"/>
      <c r="J250" s="96"/>
      <c r="K250" s="96"/>
      <c r="L250" s="94"/>
      <c r="M250" s="106"/>
      <c r="N250" s="105"/>
      <c r="O250" s="106"/>
      <c r="P250" s="106"/>
      <c r="Q250" s="106"/>
      <c r="R250" s="106"/>
    </row>
    <row r="251" spans="1:18">
      <c r="A251" s="91"/>
      <c r="B251" s="92"/>
      <c r="C251" s="93"/>
      <c r="D251" s="94"/>
      <c r="E251" s="95"/>
      <c r="F251" s="96"/>
      <c r="G251" s="94"/>
      <c r="H251" s="95"/>
      <c r="I251" s="96"/>
      <c r="J251" s="96"/>
      <c r="K251" s="96"/>
      <c r="L251" s="94"/>
      <c r="M251" s="106"/>
      <c r="N251" s="105"/>
      <c r="O251" s="106"/>
      <c r="P251" s="106"/>
      <c r="Q251" s="106"/>
      <c r="R251" s="106"/>
    </row>
    <row r="252" spans="1:18">
      <c r="A252" s="91"/>
      <c r="B252" s="92"/>
      <c r="C252" s="93"/>
      <c r="D252" s="94"/>
      <c r="E252" s="95"/>
      <c r="F252" s="96"/>
      <c r="G252" s="94"/>
      <c r="H252" s="95"/>
      <c r="I252" s="96"/>
      <c r="J252" s="96"/>
      <c r="K252" s="96"/>
      <c r="L252" s="94"/>
      <c r="M252" s="106"/>
      <c r="N252" s="105"/>
      <c r="O252" s="106"/>
      <c r="P252" s="106"/>
      <c r="Q252" s="106"/>
      <c r="R252" s="106"/>
    </row>
    <row r="253" spans="1:18">
      <c r="A253" s="91"/>
      <c r="B253" s="92"/>
      <c r="C253" s="93"/>
      <c r="D253" s="94"/>
      <c r="E253" s="95"/>
      <c r="F253" s="96"/>
      <c r="G253" s="94"/>
      <c r="H253" s="95"/>
      <c r="I253" s="96"/>
      <c r="J253" s="96"/>
      <c r="K253" s="96"/>
      <c r="L253" s="94"/>
      <c r="M253" s="106"/>
      <c r="N253" s="105"/>
      <c r="O253" s="106"/>
      <c r="P253" s="106"/>
      <c r="Q253" s="106"/>
      <c r="R253" s="106"/>
    </row>
    <row r="254" spans="1:18">
      <c r="A254" s="91"/>
      <c r="B254" s="92"/>
      <c r="C254" s="93"/>
      <c r="D254" s="94"/>
      <c r="E254" s="95"/>
      <c r="F254" s="96"/>
      <c r="G254" s="94"/>
      <c r="H254" s="95"/>
      <c r="I254" s="96"/>
      <c r="J254" s="96"/>
      <c r="K254" s="96"/>
      <c r="L254" s="94"/>
      <c r="M254" s="106"/>
      <c r="N254" s="105"/>
      <c r="O254" s="106"/>
      <c r="P254" s="106"/>
      <c r="Q254" s="106"/>
      <c r="R254" s="106"/>
    </row>
    <row r="255" spans="1:18">
      <c r="A255" s="91"/>
      <c r="B255" s="92"/>
      <c r="C255" s="93"/>
      <c r="D255" s="94"/>
      <c r="E255" s="95"/>
      <c r="F255" s="96"/>
      <c r="G255" s="94"/>
      <c r="H255" s="95"/>
      <c r="I255" s="96"/>
      <c r="J255" s="96"/>
      <c r="K255" s="96"/>
      <c r="L255" s="94"/>
      <c r="M255" s="106"/>
      <c r="N255" s="105"/>
      <c r="O255" s="106"/>
      <c r="P255" s="106"/>
      <c r="Q255" s="106"/>
      <c r="R255" s="106"/>
    </row>
    <row r="256" spans="1:18">
      <c r="A256" s="91"/>
      <c r="B256" s="92"/>
      <c r="C256" s="93"/>
      <c r="D256" s="94"/>
      <c r="E256" s="95"/>
      <c r="F256" s="96"/>
      <c r="G256" s="94"/>
      <c r="H256" s="95"/>
      <c r="I256" s="96"/>
      <c r="J256" s="96"/>
      <c r="K256" s="96"/>
      <c r="L256" s="94"/>
      <c r="M256" s="106"/>
      <c r="N256" s="105"/>
      <c r="O256" s="106"/>
      <c r="P256" s="106"/>
      <c r="Q256" s="106"/>
      <c r="R256" s="106"/>
    </row>
    <row r="257" spans="1:18">
      <c r="A257" s="91"/>
      <c r="B257" s="92"/>
      <c r="C257" s="93"/>
      <c r="D257" s="94"/>
      <c r="E257" s="95"/>
      <c r="F257" s="96"/>
      <c r="G257" s="94"/>
      <c r="H257" s="95"/>
      <c r="I257" s="96"/>
      <c r="J257" s="96"/>
      <c r="K257" s="96"/>
      <c r="L257" s="94"/>
      <c r="M257" s="106"/>
      <c r="N257" s="105"/>
      <c r="O257" s="106"/>
      <c r="P257" s="106"/>
      <c r="Q257" s="106"/>
      <c r="R257" s="106"/>
    </row>
    <row r="258" spans="1:18">
      <c r="A258" s="91"/>
      <c r="B258" s="92"/>
      <c r="C258" s="93"/>
      <c r="D258" s="94"/>
      <c r="E258" s="95"/>
      <c r="F258" s="96"/>
      <c r="G258" s="94"/>
      <c r="H258" s="95"/>
      <c r="I258" s="96"/>
      <c r="J258" s="96"/>
      <c r="K258" s="96"/>
      <c r="L258" s="94"/>
      <c r="M258" s="106"/>
      <c r="N258" s="105"/>
      <c r="O258" s="106"/>
      <c r="P258" s="106"/>
      <c r="Q258" s="106"/>
      <c r="R258" s="106"/>
    </row>
    <row r="259" spans="1:18">
      <c r="A259" s="91"/>
      <c r="B259" s="92"/>
      <c r="C259" s="93"/>
      <c r="D259" s="94"/>
      <c r="E259" s="95"/>
      <c r="F259" s="96"/>
      <c r="G259" s="94"/>
      <c r="H259" s="95"/>
      <c r="I259" s="96"/>
      <c r="J259" s="96"/>
      <c r="K259" s="96"/>
      <c r="L259" s="94"/>
      <c r="M259" s="106"/>
      <c r="N259" s="105"/>
      <c r="O259" s="106"/>
      <c r="P259" s="106"/>
      <c r="Q259" s="106"/>
      <c r="R259" s="106"/>
    </row>
    <row r="260" spans="1:18">
      <c r="A260" s="91"/>
      <c r="B260" s="92"/>
      <c r="C260" s="93"/>
      <c r="D260" s="94"/>
      <c r="E260" s="95"/>
      <c r="F260" s="96"/>
      <c r="G260" s="94"/>
      <c r="H260" s="95"/>
      <c r="I260" s="96"/>
      <c r="J260" s="96"/>
      <c r="K260" s="96"/>
      <c r="L260" s="94"/>
      <c r="M260" s="106"/>
      <c r="N260" s="105"/>
      <c r="O260" s="106"/>
      <c r="P260" s="106"/>
      <c r="Q260" s="106"/>
      <c r="R260" s="106"/>
    </row>
    <row r="261" spans="1:18">
      <c r="A261" s="91"/>
      <c r="B261" s="92"/>
      <c r="C261" s="93"/>
      <c r="D261" s="94"/>
      <c r="E261" s="95"/>
      <c r="F261" s="96"/>
      <c r="G261" s="94"/>
      <c r="H261" s="95"/>
      <c r="I261" s="96"/>
      <c r="J261" s="96"/>
      <c r="K261" s="96"/>
      <c r="L261" s="94"/>
      <c r="M261" s="106"/>
      <c r="N261" s="105"/>
      <c r="O261" s="106"/>
      <c r="P261" s="106"/>
      <c r="Q261" s="106"/>
      <c r="R261" s="106"/>
    </row>
    <row r="262" spans="1:18">
      <c r="A262" s="91"/>
      <c r="B262" s="92"/>
      <c r="C262" s="93"/>
      <c r="D262" s="94"/>
      <c r="E262" s="95"/>
      <c r="F262" s="96"/>
      <c r="G262" s="94"/>
      <c r="H262" s="95"/>
      <c r="I262" s="96"/>
      <c r="J262" s="96"/>
      <c r="K262" s="96"/>
      <c r="L262" s="94"/>
      <c r="M262" s="106"/>
      <c r="N262" s="105"/>
      <c r="O262" s="106"/>
      <c r="P262" s="106"/>
      <c r="Q262" s="106"/>
      <c r="R262" s="106"/>
    </row>
    <row r="263" spans="1:18">
      <c r="A263" s="91"/>
      <c r="B263" s="92"/>
      <c r="C263" s="93"/>
      <c r="D263" s="94"/>
      <c r="E263" s="95"/>
      <c r="F263" s="96"/>
      <c r="G263" s="94"/>
      <c r="H263" s="95"/>
      <c r="I263" s="96"/>
      <c r="J263" s="96"/>
      <c r="K263" s="96"/>
      <c r="L263" s="94"/>
      <c r="M263" s="106"/>
      <c r="N263" s="105"/>
      <c r="O263" s="106"/>
      <c r="P263" s="106"/>
      <c r="Q263" s="106"/>
      <c r="R263" s="106"/>
    </row>
    <row r="264" spans="1:18">
      <c r="A264" s="91"/>
      <c r="B264" s="92"/>
      <c r="C264" s="93"/>
      <c r="D264" s="94"/>
      <c r="E264" s="95"/>
      <c r="F264" s="96"/>
      <c r="G264" s="94"/>
      <c r="H264" s="95"/>
      <c r="I264" s="96"/>
      <c r="J264" s="96"/>
      <c r="K264" s="96"/>
      <c r="L264" s="94"/>
      <c r="M264" s="106"/>
      <c r="N264" s="105"/>
      <c r="O264" s="106"/>
      <c r="P264" s="106"/>
      <c r="Q264" s="106"/>
      <c r="R264" s="106"/>
    </row>
    <row r="265" spans="1:18">
      <c r="A265" s="91"/>
      <c r="B265" s="92"/>
      <c r="C265" s="93"/>
      <c r="D265" s="94"/>
      <c r="E265" s="95"/>
      <c r="F265" s="96"/>
      <c r="G265" s="94"/>
      <c r="H265" s="95"/>
      <c r="I265" s="96"/>
      <c r="J265" s="96"/>
      <c r="K265" s="96"/>
      <c r="L265" s="94"/>
      <c r="M265" s="106"/>
      <c r="N265" s="105"/>
      <c r="O265" s="106"/>
      <c r="P265" s="106"/>
      <c r="Q265" s="106"/>
      <c r="R265" s="106"/>
    </row>
    <row r="266" spans="1:18">
      <c r="A266" s="91"/>
      <c r="B266" s="92"/>
      <c r="C266" s="93"/>
      <c r="D266" s="94"/>
      <c r="E266" s="95"/>
      <c r="F266" s="96"/>
      <c r="G266" s="94"/>
      <c r="H266" s="95"/>
      <c r="I266" s="96"/>
      <c r="J266" s="96"/>
      <c r="K266" s="96"/>
      <c r="L266" s="94"/>
      <c r="M266" s="106"/>
      <c r="N266" s="105"/>
      <c r="O266" s="106"/>
      <c r="P266" s="106"/>
      <c r="Q266" s="106"/>
      <c r="R266" s="106"/>
    </row>
    <row r="267" spans="1:18">
      <c r="A267" s="91"/>
      <c r="B267" s="92"/>
      <c r="C267" s="93"/>
      <c r="D267" s="94"/>
      <c r="E267" s="95"/>
      <c r="F267" s="96"/>
      <c r="G267" s="94"/>
      <c r="H267" s="95"/>
      <c r="I267" s="96"/>
      <c r="J267" s="96"/>
      <c r="K267" s="96"/>
      <c r="L267" s="94"/>
      <c r="M267" s="106"/>
      <c r="N267" s="105"/>
      <c r="O267" s="106"/>
      <c r="P267" s="106"/>
      <c r="Q267" s="106"/>
      <c r="R267" s="106"/>
    </row>
    <row r="268" spans="1:18">
      <c r="A268" s="91"/>
      <c r="B268" s="92"/>
      <c r="C268" s="93"/>
      <c r="D268" s="94"/>
      <c r="E268" s="95"/>
      <c r="F268" s="96"/>
      <c r="G268" s="94"/>
      <c r="H268" s="95"/>
      <c r="I268" s="96"/>
      <c r="J268" s="96"/>
      <c r="K268" s="96"/>
      <c r="L268" s="94"/>
      <c r="M268" s="106"/>
      <c r="N268" s="105"/>
      <c r="O268" s="106"/>
      <c r="P268" s="106"/>
      <c r="Q268" s="106"/>
      <c r="R268" s="106"/>
    </row>
    <row r="269" spans="1:18">
      <c r="A269" s="91"/>
      <c r="B269" s="92"/>
      <c r="C269" s="93"/>
      <c r="D269" s="94"/>
      <c r="E269" s="95"/>
      <c r="F269" s="96"/>
      <c r="G269" s="94"/>
      <c r="H269" s="95"/>
      <c r="I269" s="96"/>
      <c r="J269" s="96"/>
      <c r="K269" s="96"/>
      <c r="L269" s="94"/>
      <c r="M269" s="106"/>
      <c r="N269" s="105"/>
      <c r="O269" s="106"/>
      <c r="P269" s="106"/>
      <c r="Q269" s="106"/>
      <c r="R269" s="106"/>
    </row>
    <row r="270" spans="1:18">
      <c r="A270" s="91"/>
      <c r="B270" s="92"/>
      <c r="C270" s="93"/>
      <c r="D270" s="94"/>
      <c r="E270" s="95"/>
      <c r="F270" s="96"/>
      <c r="G270" s="94"/>
      <c r="H270" s="95"/>
      <c r="I270" s="96"/>
      <c r="J270" s="96"/>
      <c r="K270" s="96"/>
      <c r="L270" s="94"/>
      <c r="M270" s="106"/>
      <c r="N270" s="105"/>
      <c r="O270" s="106"/>
      <c r="P270" s="106"/>
      <c r="Q270" s="106"/>
      <c r="R270" s="106"/>
    </row>
    <row r="271" spans="1:18">
      <c r="A271" s="91"/>
      <c r="B271" s="92"/>
      <c r="C271" s="93"/>
      <c r="D271" s="94"/>
      <c r="E271" s="95"/>
      <c r="F271" s="96"/>
      <c r="G271" s="94"/>
      <c r="H271" s="95"/>
      <c r="I271" s="96"/>
      <c r="J271" s="96"/>
      <c r="K271" s="96"/>
      <c r="L271" s="94"/>
      <c r="M271" s="106"/>
      <c r="N271" s="105"/>
      <c r="O271" s="106"/>
      <c r="P271" s="106"/>
      <c r="Q271" s="106"/>
      <c r="R271" s="106"/>
    </row>
    <row r="272" spans="1:18">
      <c r="A272" s="91"/>
      <c r="B272" s="92"/>
      <c r="C272" s="93"/>
      <c r="D272" s="94"/>
      <c r="E272" s="95"/>
      <c r="F272" s="96"/>
      <c r="G272" s="94"/>
      <c r="H272" s="95"/>
      <c r="I272" s="96"/>
      <c r="J272" s="96"/>
      <c r="K272" s="96"/>
      <c r="L272" s="94"/>
      <c r="M272" s="106"/>
      <c r="N272" s="105"/>
      <c r="O272" s="106"/>
      <c r="P272" s="106"/>
      <c r="Q272" s="106"/>
      <c r="R272" s="106"/>
    </row>
    <row r="273" spans="1:18">
      <c r="A273" s="91"/>
      <c r="B273" s="92"/>
      <c r="C273" s="93"/>
      <c r="D273" s="94"/>
      <c r="E273" s="95"/>
      <c r="F273" s="96"/>
      <c r="G273" s="94"/>
      <c r="H273" s="95"/>
      <c r="I273" s="96"/>
      <c r="J273" s="96"/>
      <c r="K273" s="96"/>
      <c r="L273" s="94"/>
      <c r="M273" s="106"/>
      <c r="N273" s="105"/>
      <c r="O273" s="106"/>
      <c r="P273" s="106"/>
      <c r="Q273" s="106"/>
      <c r="R273" s="106"/>
    </row>
    <row r="274" spans="1:18">
      <c r="A274" s="91"/>
      <c r="B274" s="92"/>
      <c r="C274" s="93"/>
      <c r="D274" s="94"/>
      <c r="E274" s="95"/>
      <c r="F274" s="96"/>
      <c r="G274" s="94"/>
      <c r="H274" s="95"/>
      <c r="I274" s="96"/>
      <c r="J274" s="96"/>
      <c r="K274" s="96"/>
      <c r="L274" s="94"/>
      <c r="M274" s="106"/>
      <c r="N274" s="105"/>
      <c r="O274" s="106"/>
      <c r="P274" s="106"/>
      <c r="Q274" s="106"/>
      <c r="R274" s="106"/>
    </row>
    <row r="275" spans="1:18">
      <c r="A275" s="91"/>
      <c r="B275" s="92"/>
      <c r="C275" s="93"/>
      <c r="D275" s="94"/>
      <c r="E275" s="95"/>
      <c r="F275" s="96"/>
      <c r="G275" s="94"/>
      <c r="H275" s="95"/>
      <c r="I275" s="96"/>
      <c r="J275" s="96"/>
      <c r="K275" s="96"/>
      <c r="L275" s="94"/>
      <c r="M275" s="106"/>
      <c r="N275" s="105"/>
      <c r="O275" s="106"/>
      <c r="P275" s="106"/>
      <c r="Q275" s="106"/>
      <c r="R275" s="106"/>
    </row>
    <row r="276" spans="1:18">
      <c r="A276" s="91"/>
      <c r="B276" s="92"/>
      <c r="C276" s="93"/>
      <c r="D276" s="94"/>
      <c r="E276" s="95"/>
      <c r="F276" s="96"/>
      <c r="G276" s="94"/>
      <c r="H276" s="95"/>
      <c r="I276" s="96"/>
      <c r="J276" s="96"/>
      <c r="K276" s="96"/>
      <c r="L276" s="94"/>
      <c r="M276" s="106"/>
      <c r="N276" s="105"/>
      <c r="O276" s="106"/>
      <c r="P276" s="106"/>
      <c r="Q276" s="106"/>
      <c r="R276" s="106"/>
    </row>
    <row r="277" spans="1:18">
      <c r="A277" s="91"/>
      <c r="B277" s="92"/>
      <c r="C277" s="93"/>
      <c r="D277" s="94"/>
      <c r="E277" s="95"/>
      <c r="F277" s="96"/>
      <c r="G277" s="94"/>
      <c r="H277" s="95"/>
      <c r="I277" s="96"/>
      <c r="J277" s="96"/>
      <c r="K277" s="96"/>
      <c r="L277" s="94"/>
      <c r="M277" s="106"/>
      <c r="N277" s="105"/>
      <c r="O277" s="106"/>
      <c r="P277" s="106"/>
      <c r="Q277" s="106"/>
      <c r="R277" s="106"/>
    </row>
    <row r="278" spans="1:18">
      <c r="A278" s="91"/>
      <c r="B278" s="92"/>
      <c r="C278" s="93"/>
      <c r="D278" s="94"/>
      <c r="E278" s="95"/>
      <c r="F278" s="96"/>
      <c r="G278" s="94"/>
      <c r="H278" s="95"/>
      <c r="I278" s="96"/>
      <c r="J278" s="96"/>
      <c r="K278" s="96"/>
      <c r="L278" s="94"/>
      <c r="M278" s="106"/>
      <c r="N278" s="105"/>
      <c r="O278" s="106"/>
      <c r="P278" s="106"/>
      <c r="Q278" s="106"/>
      <c r="R278" s="106"/>
    </row>
    <row r="279" spans="1:18">
      <c r="A279" s="91"/>
      <c r="B279" s="92"/>
      <c r="C279" s="93"/>
      <c r="D279" s="94"/>
      <c r="E279" s="95"/>
      <c r="F279" s="96"/>
      <c r="G279" s="94"/>
      <c r="H279" s="95"/>
      <c r="I279" s="96"/>
      <c r="J279" s="96"/>
      <c r="K279" s="96"/>
      <c r="L279" s="94"/>
      <c r="M279" s="106"/>
      <c r="N279" s="105"/>
      <c r="O279" s="106"/>
      <c r="P279" s="106"/>
      <c r="Q279" s="106"/>
      <c r="R279" s="106"/>
    </row>
    <row r="280" spans="1:18">
      <c r="A280" s="91"/>
      <c r="B280" s="92"/>
      <c r="C280" s="93"/>
      <c r="D280" s="94"/>
      <c r="E280" s="95"/>
      <c r="F280" s="96"/>
      <c r="G280" s="94"/>
      <c r="H280" s="95"/>
      <c r="I280" s="96"/>
      <c r="J280" s="96"/>
      <c r="K280" s="96"/>
      <c r="L280" s="94"/>
      <c r="M280" s="106"/>
      <c r="N280" s="105"/>
      <c r="O280" s="106"/>
      <c r="P280" s="106"/>
      <c r="Q280" s="106"/>
      <c r="R280" s="106"/>
    </row>
    <row r="281" spans="1:18">
      <c r="A281" s="91"/>
      <c r="B281" s="92"/>
      <c r="C281" s="93"/>
      <c r="D281" s="94"/>
      <c r="E281" s="95"/>
      <c r="F281" s="96"/>
      <c r="G281" s="94"/>
      <c r="H281" s="95"/>
      <c r="I281" s="96"/>
      <c r="J281" s="96"/>
      <c r="K281" s="96"/>
      <c r="L281" s="94"/>
      <c r="M281" s="106"/>
      <c r="N281" s="105"/>
      <c r="O281" s="106"/>
      <c r="P281" s="106"/>
      <c r="Q281" s="106"/>
      <c r="R281" s="106"/>
    </row>
    <row r="282" spans="1:18">
      <c r="A282" s="91"/>
      <c r="B282" s="92"/>
      <c r="C282" s="93"/>
      <c r="D282" s="94"/>
      <c r="E282" s="95"/>
      <c r="F282" s="96"/>
      <c r="G282" s="94"/>
      <c r="H282" s="95"/>
      <c r="I282" s="96"/>
      <c r="J282" s="96"/>
      <c r="K282" s="96"/>
      <c r="L282" s="94"/>
      <c r="M282" s="106"/>
      <c r="N282" s="105"/>
      <c r="O282" s="106"/>
      <c r="P282" s="106"/>
      <c r="Q282" s="106"/>
      <c r="R282" s="106"/>
    </row>
    <row r="283" spans="1:18">
      <c r="A283" s="91"/>
      <c r="B283" s="92"/>
      <c r="C283" s="93"/>
      <c r="D283" s="94"/>
      <c r="E283" s="95"/>
      <c r="F283" s="96"/>
      <c r="G283" s="94"/>
      <c r="H283" s="95"/>
      <c r="I283" s="96"/>
      <c r="J283" s="96"/>
      <c r="K283" s="96"/>
      <c r="L283" s="94"/>
      <c r="M283" s="106"/>
      <c r="N283" s="105"/>
      <c r="O283" s="106"/>
      <c r="P283" s="106"/>
      <c r="Q283" s="106"/>
      <c r="R283" s="106"/>
    </row>
    <row r="284" spans="1:18">
      <c r="A284" s="91"/>
      <c r="B284" s="92"/>
      <c r="C284" s="93"/>
      <c r="D284" s="94"/>
      <c r="E284" s="95"/>
      <c r="F284" s="96"/>
      <c r="G284" s="94"/>
      <c r="H284" s="95"/>
      <c r="I284" s="96"/>
      <c r="J284" s="96"/>
      <c r="K284" s="96"/>
      <c r="L284" s="94"/>
      <c r="M284" s="106"/>
      <c r="N284" s="105"/>
      <c r="O284" s="106"/>
      <c r="P284" s="106"/>
      <c r="Q284" s="106"/>
      <c r="R284" s="106"/>
    </row>
    <row r="285" spans="1:18">
      <c r="A285" s="91"/>
      <c r="B285" s="92"/>
      <c r="C285" s="93"/>
      <c r="D285" s="94"/>
      <c r="E285" s="95"/>
      <c r="F285" s="96"/>
      <c r="G285" s="94"/>
      <c r="H285" s="95"/>
      <c r="I285" s="96"/>
      <c r="J285" s="96"/>
      <c r="K285" s="96"/>
      <c r="L285" s="94"/>
      <c r="M285" s="106"/>
      <c r="N285" s="105"/>
      <c r="O285" s="106"/>
      <c r="P285" s="106"/>
      <c r="Q285" s="106"/>
      <c r="R285" s="106"/>
    </row>
    <row r="286" spans="1:18">
      <c r="A286" s="91"/>
      <c r="B286" s="92"/>
      <c r="C286" s="93"/>
      <c r="D286" s="94"/>
      <c r="E286" s="95"/>
      <c r="F286" s="96"/>
      <c r="G286" s="94"/>
      <c r="H286" s="95"/>
      <c r="I286" s="96"/>
      <c r="J286" s="96"/>
      <c r="K286" s="96"/>
      <c r="L286" s="94"/>
      <c r="M286" s="106"/>
      <c r="N286" s="105"/>
      <c r="O286" s="106"/>
      <c r="P286" s="106"/>
      <c r="Q286" s="106"/>
      <c r="R286" s="106"/>
    </row>
    <row r="287" spans="1:18">
      <c r="A287" s="91"/>
      <c r="B287" s="92"/>
      <c r="C287" s="93"/>
      <c r="D287" s="94"/>
      <c r="E287" s="95"/>
      <c r="F287" s="96"/>
      <c r="G287" s="94"/>
      <c r="H287" s="95"/>
      <c r="I287" s="96"/>
      <c r="J287" s="96"/>
      <c r="K287" s="96"/>
      <c r="L287" s="94"/>
      <c r="M287" s="106"/>
      <c r="N287" s="105"/>
      <c r="O287" s="106"/>
      <c r="P287" s="106"/>
      <c r="Q287" s="106"/>
      <c r="R287" s="106"/>
    </row>
    <row r="288" spans="1:18">
      <c r="A288" s="91"/>
      <c r="B288" s="92"/>
      <c r="C288" s="93"/>
      <c r="D288" s="94"/>
      <c r="E288" s="95"/>
      <c r="F288" s="96"/>
      <c r="G288" s="94"/>
      <c r="H288" s="95"/>
      <c r="I288" s="96"/>
      <c r="J288" s="96"/>
      <c r="K288" s="96"/>
      <c r="L288" s="94"/>
      <c r="M288" s="106"/>
      <c r="N288" s="105"/>
      <c r="O288" s="106"/>
      <c r="P288" s="106"/>
      <c r="Q288" s="106"/>
      <c r="R288" s="106"/>
    </row>
    <row r="289" spans="1:18">
      <c r="A289" s="91"/>
      <c r="B289" s="92"/>
      <c r="C289" s="93"/>
      <c r="D289" s="94"/>
      <c r="E289" s="95"/>
      <c r="F289" s="96"/>
      <c r="G289" s="94"/>
      <c r="H289" s="95"/>
      <c r="I289" s="96"/>
      <c r="J289" s="96"/>
      <c r="K289" s="96"/>
      <c r="L289" s="94"/>
      <c r="M289" s="106"/>
      <c r="N289" s="105"/>
      <c r="O289" s="106"/>
      <c r="P289" s="106"/>
      <c r="Q289" s="106"/>
      <c r="R289" s="106"/>
    </row>
    <row r="290" spans="1:18">
      <c r="A290" s="91"/>
      <c r="B290" s="92"/>
      <c r="C290" s="93"/>
      <c r="D290" s="94"/>
      <c r="E290" s="95"/>
      <c r="F290" s="96"/>
      <c r="G290" s="94"/>
      <c r="H290" s="95"/>
      <c r="I290" s="96"/>
      <c r="J290" s="96"/>
      <c r="K290" s="96"/>
      <c r="L290" s="94"/>
      <c r="M290" s="106"/>
      <c r="N290" s="105"/>
      <c r="O290" s="106"/>
      <c r="P290" s="106"/>
      <c r="Q290" s="106"/>
      <c r="R290" s="106"/>
    </row>
    <row r="291" spans="1:18">
      <c r="A291" s="91"/>
      <c r="B291" s="92"/>
      <c r="C291" s="93"/>
      <c r="D291" s="94"/>
      <c r="E291" s="95"/>
      <c r="F291" s="96"/>
      <c r="G291" s="94"/>
      <c r="H291" s="95"/>
      <c r="I291" s="96"/>
      <c r="J291" s="96"/>
      <c r="K291" s="96"/>
      <c r="L291" s="94"/>
      <c r="M291" s="106"/>
      <c r="N291" s="105"/>
      <c r="O291" s="106"/>
      <c r="P291" s="106"/>
      <c r="Q291" s="106"/>
      <c r="R291" s="106"/>
    </row>
  </sheetData>
  <mergeCells count="15">
    <mergeCell ref="A1:V1"/>
    <mergeCell ref="A2:V2"/>
    <mergeCell ref="D3:I3"/>
    <mergeCell ref="J3:O3"/>
    <mergeCell ref="P3:U3"/>
    <mergeCell ref="S4:U4"/>
    <mergeCell ref="A3:A5"/>
    <mergeCell ref="B3:B5"/>
    <mergeCell ref="C3:C5"/>
    <mergeCell ref="V3:V5"/>
    <mergeCell ref="D4:F4"/>
    <mergeCell ref="G4:I4"/>
    <mergeCell ref="J4:L4"/>
    <mergeCell ref="M4:O4"/>
    <mergeCell ref="P4:R4"/>
  </mergeCells>
  <phoneticPr fontId="76" type="noConversion"/>
  <pageMargins left="0.75" right="0.75" top="1" bottom="1" header="0.5" footer="0.5"/>
  <pageSetup paperSize="9" orientation="portrait"/>
  <headerFooter alignWithMargins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8335-B299-4380-9802-6C9886A56FA9}">
  <sheetPr>
    <tabColor rgb="FF92D050"/>
    <outlinePr summaryBelow="0"/>
  </sheetPr>
  <dimension ref="A1:IV112"/>
  <sheetViews>
    <sheetView view="pageBreakPreview" zoomScale="60" zoomScaleNormal="60" workbookViewId="0">
      <pane ySplit="6" topLeftCell="A7" activePane="bottomLeft" state="frozen"/>
      <selection pane="bottomLeft" activeCell="B28" sqref="B28"/>
    </sheetView>
  </sheetViews>
  <sheetFormatPr defaultColWidth="9.375" defaultRowHeight="18.75" outlineLevelRow="1"/>
  <cols>
    <col min="1" max="1" width="5.75" style="6" customWidth="1"/>
    <col min="2" max="2" width="39" style="7" customWidth="1"/>
    <col min="3" max="3" width="62" style="8" customWidth="1"/>
    <col min="4" max="4" width="8.125" style="6" customWidth="1"/>
    <col min="5" max="6" width="13.75" style="7" customWidth="1"/>
    <col min="7" max="8" width="15.25" style="7" customWidth="1"/>
    <col min="9" max="9" width="13.75" style="7" customWidth="1"/>
    <col min="10" max="10" width="15.25" style="7" customWidth="1"/>
    <col min="11" max="11" width="13.5" style="7" customWidth="1"/>
    <col min="12" max="12" width="13.875" style="7" customWidth="1"/>
    <col min="13" max="13" width="15.875" style="7" customWidth="1"/>
    <col min="14" max="14" width="11.5" style="7" customWidth="1"/>
    <col min="15" max="15" width="12.625" style="7" customWidth="1"/>
    <col min="16" max="16" width="13.875" style="7" customWidth="1"/>
    <col min="17" max="17" width="17.5" style="7" customWidth="1"/>
    <col min="18" max="18" width="11.625" style="7" customWidth="1"/>
    <col min="19" max="20" width="13.875" style="7" customWidth="1"/>
    <col min="21" max="21" width="11.625" style="7" customWidth="1"/>
    <col min="22" max="22" width="12.625" style="7" customWidth="1"/>
    <col min="23" max="23" width="15" style="7" customWidth="1"/>
    <col min="24" max="24" width="15.875" style="7" customWidth="1"/>
    <col min="25" max="34" width="9.375" style="6"/>
    <col min="35" max="16384" width="9.375" style="5"/>
  </cols>
  <sheetData>
    <row r="1" spans="1:256" s="1" customFormat="1" ht="22.5">
      <c r="A1" s="511"/>
      <c r="B1" s="512"/>
      <c r="C1" s="513" t="s">
        <v>1308</v>
      </c>
      <c r="D1" s="514"/>
      <c r="E1" s="513"/>
      <c r="F1" s="513"/>
      <c r="G1" s="513"/>
      <c r="H1" s="513"/>
      <c r="I1" s="513"/>
      <c r="J1" s="513"/>
      <c r="K1" s="513"/>
      <c r="L1" s="513"/>
      <c r="M1" s="513"/>
      <c r="N1" s="513"/>
      <c r="O1" s="513"/>
      <c r="P1" s="513"/>
      <c r="Q1" s="513"/>
      <c r="R1" s="513"/>
      <c r="S1" s="513"/>
      <c r="T1" s="513"/>
      <c r="U1" s="513"/>
      <c r="V1" s="513"/>
      <c r="W1" s="513"/>
      <c r="X1" s="513"/>
      <c r="Y1" s="47"/>
      <c r="Z1" s="47"/>
      <c r="AA1" s="47"/>
      <c r="AB1" s="47"/>
      <c r="AC1" s="47"/>
      <c r="AD1" s="47"/>
      <c r="AE1" s="47"/>
      <c r="AF1" s="47"/>
      <c r="AG1" s="47"/>
      <c r="AH1" s="47"/>
    </row>
    <row r="2" spans="1:256" s="1" customFormat="1" ht="22.5">
      <c r="A2" s="511"/>
      <c r="B2" s="512"/>
      <c r="C2" s="513" t="s">
        <v>1309</v>
      </c>
      <c r="D2" s="514"/>
      <c r="E2" s="513"/>
      <c r="F2" s="513"/>
      <c r="G2" s="513"/>
      <c r="H2" s="513"/>
      <c r="I2" s="513"/>
      <c r="J2" s="513"/>
      <c r="K2" s="513"/>
      <c r="L2" s="513"/>
      <c r="M2" s="513"/>
      <c r="N2" s="513"/>
      <c r="O2" s="513"/>
      <c r="P2" s="513"/>
      <c r="Q2" s="513"/>
      <c r="R2" s="513"/>
      <c r="S2" s="513"/>
      <c r="T2" s="513"/>
      <c r="U2" s="513"/>
      <c r="V2" s="513"/>
      <c r="W2" s="513"/>
      <c r="X2" s="513"/>
      <c r="Y2" s="47"/>
      <c r="Z2" s="47"/>
      <c r="AA2" s="47"/>
      <c r="AB2" s="47"/>
      <c r="AC2" s="47"/>
      <c r="AD2" s="47"/>
      <c r="AE2" s="47"/>
      <c r="AF2" s="47"/>
      <c r="AG2" s="47"/>
      <c r="AH2" s="47"/>
    </row>
    <row r="3" spans="1:256" s="1" customFormat="1" ht="22.5">
      <c r="A3" s="511"/>
      <c r="B3" s="512"/>
      <c r="C3" s="513"/>
      <c r="D3" s="514"/>
      <c r="E3" s="513"/>
      <c r="F3" s="513"/>
      <c r="G3" s="513"/>
      <c r="H3" s="513"/>
      <c r="I3" s="513"/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513"/>
      <c r="V3" s="513"/>
      <c r="W3" s="513"/>
      <c r="X3" s="513"/>
      <c r="Y3" s="47"/>
      <c r="Z3" s="47"/>
      <c r="AA3" s="47"/>
      <c r="AB3" s="47"/>
      <c r="AC3" s="47"/>
      <c r="AD3" s="47"/>
      <c r="AE3" s="47"/>
      <c r="AF3" s="47"/>
      <c r="AG3" s="47"/>
      <c r="AH3" s="47"/>
    </row>
    <row r="4" spans="1:256" s="2" customFormat="1" ht="14.25">
      <c r="A4" s="515" t="s">
        <v>1310</v>
      </c>
      <c r="B4" s="516"/>
      <c r="C4" s="517"/>
      <c r="D4" s="517"/>
      <c r="E4" s="510"/>
      <c r="F4" s="518" t="s">
        <v>1311</v>
      </c>
      <c r="G4" s="518"/>
      <c r="H4" s="518"/>
      <c r="I4" s="518"/>
      <c r="J4" s="518"/>
      <c r="K4" s="518" t="s">
        <v>1312</v>
      </c>
      <c r="L4" s="518"/>
      <c r="M4" s="518"/>
      <c r="N4" s="518"/>
      <c r="O4" s="518"/>
      <c r="P4" s="518"/>
      <c r="Q4" s="518"/>
      <c r="R4" s="518" t="s">
        <v>1313</v>
      </c>
      <c r="S4" s="518"/>
      <c r="T4" s="518"/>
      <c r="U4" s="518"/>
      <c r="V4" s="518"/>
      <c r="W4" s="518"/>
      <c r="X4" s="51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</row>
    <row r="5" spans="1:256" s="2" customFormat="1" ht="18.95" customHeight="1">
      <c r="A5" s="10"/>
      <c r="B5" s="10"/>
      <c r="C5" s="9"/>
      <c r="D5" s="10"/>
      <c r="E5" s="10"/>
      <c r="F5" s="11"/>
      <c r="G5" s="11"/>
      <c r="H5" s="11"/>
      <c r="I5" s="11"/>
      <c r="J5" s="11"/>
      <c r="K5" s="504" t="s">
        <v>1314</v>
      </c>
      <c r="L5" s="505"/>
      <c r="M5" s="506"/>
      <c r="N5" s="504" t="s">
        <v>1315</v>
      </c>
      <c r="O5" s="505"/>
      <c r="P5" s="506"/>
      <c r="Q5" s="509" t="s">
        <v>377</v>
      </c>
      <c r="R5" s="504" t="s">
        <v>1314</v>
      </c>
      <c r="S5" s="505"/>
      <c r="T5" s="506"/>
      <c r="U5" s="504" t="s">
        <v>1315</v>
      </c>
      <c r="V5" s="505"/>
      <c r="W5" s="506"/>
      <c r="X5" s="509" t="s">
        <v>377</v>
      </c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</row>
    <row r="6" spans="1:256" s="2" customFormat="1" ht="28.5">
      <c r="A6" s="10" t="s">
        <v>32</v>
      </c>
      <c r="B6" s="10" t="s">
        <v>1316</v>
      </c>
      <c r="C6" s="10" t="s">
        <v>1317</v>
      </c>
      <c r="D6" s="10" t="s">
        <v>1318</v>
      </c>
      <c r="E6" s="10" t="s">
        <v>1319</v>
      </c>
      <c r="F6" s="10" t="s">
        <v>1320</v>
      </c>
      <c r="G6" s="10" t="s">
        <v>1321</v>
      </c>
      <c r="H6" s="10" t="s">
        <v>1322</v>
      </c>
      <c r="I6" s="10" t="s">
        <v>1323</v>
      </c>
      <c r="J6" s="10" t="s">
        <v>1324</v>
      </c>
      <c r="K6" s="10" t="s">
        <v>1325</v>
      </c>
      <c r="L6" s="10" t="s">
        <v>1326</v>
      </c>
      <c r="M6" s="10" t="s">
        <v>1327</v>
      </c>
      <c r="N6" s="10" t="s">
        <v>1328</v>
      </c>
      <c r="O6" s="10" t="s">
        <v>1329</v>
      </c>
      <c r="P6" s="10" t="s">
        <v>1330</v>
      </c>
      <c r="Q6" s="510"/>
      <c r="R6" s="10" t="s">
        <v>1331</v>
      </c>
      <c r="S6" s="10" t="s">
        <v>1332</v>
      </c>
      <c r="T6" s="10" t="s">
        <v>1327</v>
      </c>
      <c r="U6" s="10" t="s">
        <v>1333</v>
      </c>
      <c r="V6" s="10" t="s">
        <v>1329</v>
      </c>
      <c r="W6" s="10" t="s">
        <v>1330</v>
      </c>
      <c r="X6" s="510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</row>
    <row r="7" spans="1:256" s="3" customFormat="1" ht="36.950000000000003" customHeight="1" collapsed="1">
      <c r="A7" s="12" t="s">
        <v>98</v>
      </c>
      <c r="B7" s="13" t="s">
        <v>1334</v>
      </c>
      <c r="C7" s="14"/>
      <c r="D7" s="12"/>
      <c r="E7" s="15" t="e">
        <f t="shared" ref="E7:J7" si="0">SUM(E8:E27)</f>
        <v>#REF!</v>
      </c>
      <c r="F7" s="15">
        <f t="shared" si="0"/>
        <v>412342.11753999989</v>
      </c>
      <c r="G7" s="16" t="e">
        <f t="shared" si="0"/>
        <v>#REF!</v>
      </c>
      <c r="H7" s="16" t="e">
        <f t="shared" si="0"/>
        <v>#REF!</v>
      </c>
      <c r="I7" s="16" t="e">
        <f t="shared" si="0"/>
        <v>#REF!</v>
      </c>
      <c r="J7" s="16" t="e">
        <f t="shared" si="0"/>
        <v>#REF!</v>
      </c>
      <c r="K7" s="15"/>
      <c r="L7" s="15"/>
      <c r="M7" s="16">
        <f>SUM(M8:M27)</f>
        <v>2650170.7480400004</v>
      </c>
      <c r="N7" s="16"/>
      <c r="O7" s="16"/>
      <c r="P7" s="16" t="e">
        <f>SUM(P8:P27)</f>
        <v>#REF!</v>
      </c>
      <c r="Q7" s="16" t="e">
        <f>SUM(Q8:Q27)</f>
        <v>#REF!</v>
      </c>
      <c r="R7" s="16"/>
      <c r="S7" s="16"/>
      <c r="T7" s="16">
        <f>SUM(T8:T27)</f>
        <v>2237828.6305000004</v>
      </c>
      <c r="U7" s="16"/>
      <c r="V7" s="16"/>
      <c r="W7" s="16" t="e">
        <f>SUM(W8:W27)</f>
        <v>#REF!</v>
      </c>
      <c r="X7" s="16" t="e">
        <f>SUM(X8:X27)</f>
        <v>#REF!</v>
      </c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</row>
    <row r="8" spans="1:256" s="4" customFormat="1" ht="36.950000000000003" hidden="1" customHeight="1" outlineLevel="1">
      <c r="A8" s="17">
        <v>1</v>
      </c>
      <c r="B8" s="18" t="s">
        <v>1335</v>
      </c>
      <c r="C8" s="19" t="s">
        <v>1336</v>
      </c>
      <c r="D8" s="18" t="s">
        <v>1337</v>
      </c>
      <c r="E8" s="20" t="e">
        <f t="shared" ref="E8:E20" si="1">I8</f>
        <v>#REF!</v>
      </c>
      <c r="F8" s="21">
        <f t="shared" ref="F8:F27" si="2">M8-T8</f>
        <v>0</v>
      </c>
      <c r="G8" s="21" t="e">
        <f t="shared" ref="G8:G27" si="3">P8-W8</f>
        <v>#REF!</v>
      </c>
      <c r="H8" s="21" t="e">
        <f t="shared" ref="H8:H27" si="4">X8</f>
        <v>#REF!</v>
      </c>
      <c r="I8" s="21" t="e">
        <f t="shared" ref="I8:I27" si="5">Q8-X8</f>
        <v>#REF!</v>
      </c>
      <c r="J8" s="21" t="e">
        <f t="shared" ref="J8:J27" si="6">Q8</f>
        <v>#REF!</v>
      </c>
      <c r="K8" s="21">
        <v>0</v>
      </c>
      <c r="L8" s="21">
        <v>0</v>
      </c>
      <c r="M8" s="26">
        <f t="shared" ref="M8:M16" si="7">K8*L8</f>
        <v>0</v>
      </c>
      <c r="N8" s="21">
        <v>1</v>
      </c>
      <c r="O8" s="21" t="e">
        <f>'[2]1.1土方侧壁回填'!F21</f>
        <v>#REF!</v>
      </c>
      <c r="P8" s="26" t="e">
        <f t="shared" ref="P8:P25" si="8">N8*O8</f>
        <v>#REF!</v>
      </c>
      <c r="Q8" s="21" t="e">
        <f t="shared" ref="Q8:Q27" si="9">M8-P8</f>
        <v>#REF!</v>
      </c>
      <c r="R8" s="23">
        <v>0</v>
      </c>
      <c r="S8" s="23">
        <v>0</v>
      </c>
      <c r="T8" s="26">
        <f t="shared" ref="T8:T26" si="10">R8*S8</f>
        <v>0</v>
      </c>
      <c r="U8" s="21">
        <v>1</v>
      </c>
      <c r="V8" s="23" t="e">
        <f>'[2]1.1土方侧壁回填'!F7</f>
        <v>#REF!</v>
      </c>
      <c r="W8" s="26" t="e">
        <f t="shared" ref="W8:W27" si="11">U8*V8</f>
        <v>#REF!</v>
      </c>
      <c r="X8" s="26" t="e">
        <f t="shared" ref="X8:X27" si="12">T8-W8</f>
        <v>#REF!</v>
      </c>
      <c r="Y8" s="50"/>
      <c r="Z8" s="50"/>
      <c r="AA8" s="50"/>
      <c r="AB8" s="50"/>
      <c r="AC8" s="50"/>
      <c r="AD8" s="50"/>
      <c r="AE8" s="50"/>
      <c r="AF8" s="50"/>
      <c r="AG8" s="50"/>
      <c r="AH8" s="50"/>
    </row>
    <row r="9" spans="1:256" s="4" customFormat="1" ht="36.950000000000003" hidden="1" customHeight="1" outlineLevel="1">
      <c r="A9" s="17">
        <v>2</v>
      </c>
      <c r="B9" s="18" t="s">
        <v>1338</v>
      </c>
      <c r="C9" s="19" t="s">
        <v>1339</v>
      </c>
      <c r="D9" s="18" t="s">
        <v>1337</v>
      </c>
      <c r="E9" s="22">
        <f t="shared" si="1"/>
        <v>39818.513999999996</v>
      </c>
      <c r="F9" s="23">
        <f t="shared" si="2"/>
        <v>0</v>
      </c>
      <c r="G9" s="23">
        <f t="shared" si="3"/>
        <v>-39818.513999999996</v>
      </c>
      <c r="H9" s="23">
        <f t="shared" si="4"/>
        <v>-24174.288299999986</v>
      </c>
      <c r="I9" s="23">
        <f t="shared" si="5"/>
        <v>39818.513999999996</v>
      </c>
      <c r="J9" s="23">
        <f t="shared" si="6"/>
        <v>15644.22570000001</v>
      </c>
      <c r="K9" s="21">
        <v>1</v>
      </c>
      <c r="L9" s="21">
        <f>'[3]1.2砖胎膜材料优化'!F26</f>
        <v>147030.19</v>
      </c>
      <c r="M9" s="23">
        <f t="shared" si="7"/>
        <v>147030.19</v>
      </c>
      <c r="N9" s="21">
        <v>1</v>
      </c>
      <c r="O9" s="21">
        <f>'[3]1.2砖胎膜材料优化'!F21</f>
        <v>131385.96429999999</v>
      </c>
      <c r="P9" s="23">
        <f t="shared" si="8"/>
        <v>131385.96429999999</v>
      </c>
      <c r="Q9" s="23">
        <f t="shared" si="9"/>
        <v>15644.22570000001</v>
      </c>
      <c r="R9" s="23">
        <v>1</v>
      </c>
      <c r="S9" s="23">
        <f>'[3]1.2砖胎膜材料优化'!F12</f>
        <v>147030.19</v>
      </c>
      <c r="T9" s="23">
        <f t="shared" si="10"/>
        <v>147030.19</v>
      </c>
      <c r="U9" s="21">
        <v>1</v>
      </c>
      <c r="V9" s="23">
        <f>'[3]1.2砖胎膜材料优化'!F7</f>
        <v>171204.47829999999</v>
      </c>
      <c r="W9" s="23">
        <f t="shared" si="11"/>
        <v>171204.47829999999</v>
      </c>
      <c r="X9" s="43">
        <f t="shared" si="12"/>
        <v>-24174.288299999986</v>
      </c>
      <c r="Y9" s="50"/>
      <c r="Z9" s="50"/>
      <c r="AA9" s="50"/>
      <c r="AB9" s="50"/>
      <c r="AC9" s="50"/>
      <c r="AD9" s="50"/>
      <c r="AE9" s="50"/>
      <c r="AF9" s="50"/>
      <c r="AG9" s="50"/>
      <c r="AH9" s="50"/>
    </row>
    <row r="10" spans="1:256" s="4" customFormat="1" ht="36.950000000000003" hidden="1" customHeight="1" outlineLevel="1">
      <c r="A10" s="17">
        <v>3</v>
      </c>
      <c r="B10" s="18" t="s">
        <v>1340</v>
      </c>
      <c r="C10" s="19" t="s">
        <v>1341</v>
      </c>
      <c r="D10" s="18" t="s">
        <v>1342</v>
      </c>
      <c r="E10" s="22">
        <f t="shared" si="1"/>
        <v>35370.182800000002</v>
      </c>
      <c r="F10" s="23">
        <f t="shared" si="2"/>
        <v>0</v>
      </c>
      <c r="G10" s="23">
        <f t="shared" si="3"/>
        <v>-35370.182800000002</v>
      </c>
      <c r="H10" s="23">
        <f t="shared" si="4"/>
        <v>-41689.102800000001</v>
      </c>
      <c r="I10" s="23">
        <f t="shared" si="5"/>
        <v>35370.182800000002</v>
      </c>
      <c r="J10" s="23">
        <f t="shared" si="6"/>
        <v>-6318.92</v>
      </c>
      <c r="K10" s="21">
        <v>0</v>
      </c>
      <c r="L10" s="21">
        <v>0</v>
      </c>
      <c r="M10" s="23">
        <f t="shared" si="7"/>
        <v>0</v>
      </c>
      <c r="N10" s="21">
        <v>1</v>
      </c>
      <c r="O10" s="21">
        <f>'[3]1.3直螺纹连接优化'!F21</f>
        <v>6318.92</v>
      </c>
      <c r="P10" s="23">
        <f t="shared" si="8"/>
        <v>6318.92</v>
      </c>
      <c r="Q10" s="23">
        <f t="shared" si="9"/>
        <v>-6318.92</v>
      </c>
      <c r="R10" s="23">
        <v>0</v>
      </c>
      <c r="S10" s="23">
        <v>0</v>
      </c>
      <c r="T10" s="23">
        <f t="shared" si="10"/>
        <v>0</v>
      </c>
      <c r="U10" s="21">
        <v>1</v>
      </c>
      <c r="V10" s="23">
        <f>'[3]1.3直螺纹连接优化'!F7</f>
        <v>41689.102800000001</v>
      </c>
      <c r="W10" s="23">
        <f t="shared" si="11"/>
        <v>41689.102800000001</v>
      </c>
      <c r="X10" s="43">
        <f t="shared" si="12"/>
        <v>-41689.102800000001</v>
      </c>
      <c r="Y10" s="50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256" s="4" customFormat="1" ht="36.950000000000003" hidden="1" customHeight="1" outlineLevel="1">
      <c r="A11" s="17">
        <v>4</v>
      </c>
      <c r="B11" s="18" t="s">
        <v>1343</v>
      </c>
      <c r="C11" s="19" t="s">
        <v>1344</v>
      </c>
      <c r="D11" s="18" t="s">
        <v>1345</v>
      </c>
      <c r="E11" s="22">
        <f t="shared" si="1"/>
        <v>118427.84000000001</v>
      </c>
      <c r="F11" s="23">
        <f t="shared" si="2"/>
        <v>0</v>
      </c>
      <c r="G11" s="23">
        <f t="shared" si="3"/>
        <v>-118427.84000000001</v>
      </c>
      <c r="H11" s="23">
        <f t="shared" si="4"/>
        <v>-118427.84000000001</v>
      </c>
      <c r="I11" s="23">
        <f t="shared" si="5"/>
        <v>118427.84000000001</v>
      </c>
      <c r="J11" s="23">
        <f t="shared" si="6"/>
        <v>0</v>
      </c>
      <c r="K11" s="21">
        <v>0</v>
      </c>
      <c r="L11" s="21">
        <v>0</v>
      </c>
      <c r="M11" s="23">
        <f t="shared" si="7"/>
        <v>0</v>
      </c>
      <c r="N11" s="21">
        <v>1</v>
      </c>
      <c r="O11" s="21">
        <f>'[3]1.4铝模深化修改外墙结构'!F21</f>
        <v>0</v>
      </c>
      <c r="P11" s="23">
        <f t="shared" si="8"/>
        <v>0</v>
      </c>
      <c r="Q11" s="23">
        <f t="shared" si="9"/>
        <v>0</v>
      </c>
      <c r="R11" s="23">
        <v>0</v>
      </c>
      <c r="S11" s="23">
        <v>0</v>
      </c>
      <c r="T11" s="23">
        <f t="shared" si="10"/>
        <v>0</v>
      </c>
      <c r="U11" s="21">
        <v>1</v>
      </c>
      <c r="V11" s="23">
        <f>'[3]1.4铝模深化修改外墙结构'!F7</f>
        <v>118427.84000000001</v>
      </c>
      <c r="W11" s="23">
        <f t="shared" si="11"/>
        <v>118427.84000000001</v>
      </c>
      <c r="X11" s="43">
        <f t="shared" si="12"/>
        <v>-118427.84000000001</v>
      </c>
      <c r="Y11" s="50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256" s="4" customFormat="1" ht="36.950000000000003" hidden="1" customHeight="1" outlineLevel="1">
      <c r="A12" s="17">
        <v>5</v>
      </c>
      <c r="B12" s="18" t="s">
        <v>1346</v>
      </c>
      <c r="C12" s="19" t="s">
        <v>1347</v>
      </c>
      <c r="D12" s="18" t="s">
        <v>1342</v>
      </c>
      <c r="E12" s="22">
        <f t="shared" si="1"/>
        <v>71348.429600000003</v>
      </c>
      <c r="F12" s="23">
        <f t="shared" si="2"/>
        <v>0</v>
      </c>
      <c r="G12" s="23">
        <f t="shared" si="3"/>
        <v>-71348.429600000003</v>
      </c>
      <c r="H12" s="23">
        <f t="shared" si="4"/>
        <v>-96899.516000000003</v>
      </c>
      <c r="I12" s="23">
        <f t="shared" si="5"/>
        <v>71348.429600000003</v>
      </c>
      <c r="J12" s="23">
        <f t="shared" si="6"/>
        <v>-25551.0864</v>
      </c>
      <c r="K12" s="21">
        <v>0</v>
      </c>
      <c r="L12" s="21">
        <v>0</v>
      </c>
      <c r="M12" s="23">
        <f t="shared" si="7"/>
        <v>0</v>
      </c>
      <c r="N12" s="21">
        <v>1</v>
      </c>
      <c r="O12" s="21">
        <f>+'[4]1.5铝模深化修改二次结构 '!F21</f>
        <v>25551.0864</v>
      </c>
      <c r="P12" s="23">
        <f t="shared" si="8"/>
        <v>25551.0864</v>
      </c>
      <c r="Q12" s="23">
        <f t="shared" si="9"/>
        <v>-25551.0864</v>
      </c>
      <c r="R12" s="23">
        <v>0</v>
      </c>
      <c r="S12" s="23">
        <v>0</v>
      </c>
      <c r="T12" s="23">
        <f t="shared" si="10"/>
        <v>0</v>
      </c>
      <c r="U12" s="21">
        <v>1</v>
      </c>
      <c r="V12" s="23">
        <f>+'[4]1.5铝模深化修改二次结构 '!F7</f>
        <v>96899.516000000003</v>
      </c>
      <c r="W12" s="23">
        <f t="shared" si="11"/>
        <v>96899.516000000003</v>
      </c>
      <c r="X12" s="43">
        <f t="shared" si="12"/>
        <v>-96899.516000000003</v>
      </c>
      <c r="Y12" s="50"/>
      <c r="Z12" s="50"/>
      <c r="AA12" s="50"/>
      <c r="AB12" s="50"/>
      <c r="AC12" s="50"/>
      <c r="AD12" s="50"/>
      <c r="AE12" s="50"/>
      <c r="AF12" s="50"/>
      <c r="AG12" s="50"/>
      <c r="AH12" s="50"/>
    </row>
    <row r="13" spans="1:256" s="4" customFormat="1" ht="36.950000000000003" hidden="1" customHeight="1" outlineLevel="1">
      <c r="A13" s="17">
        <v>6</v>
      </c>
      <c r="B13" s="18" t="s">
        <v>1348</v>
      </c>
      <c r="C13" s="19" t="s">
        <v>1349</v>
      </c>
      <c r="D13" s="18" t="s">
        <v>1342</v>
      </c>
      <c r="E13" s="22">
        <f t="shared" si="1"/>
        <v>52136.265599999992</v>
      </c>
      <c r="F13" s="23">
        <f t="shared" si="2"/>
        <v>0</v>
      </c>
      <c r="G13" s="23">
        <f t="shared" si="3"/>
        <v>-52136.265599999992</v>
      </c>
      <c r="H13" s="23">
        <f t="shared" si="4"/>
        <v>-52136.265599999992</v>
      </c>
      <c r="I13" s="23">
        <f t="shared" si="5"/>
        <v>52136.265599999992</v>
      </c>
      <c r="J13" s="23">
        <f t="shared" si="6"/>
        <v>0</v>
      </c>
      <c r="K13" s="21">
        <v>0</v>
      </c>
      <c r="L13" s="21">
        <v>0</v>
      </c>
      <c r="M13" s="23">
        <f t="shared" si="7"/>
        <v>0</v>
      </c>
      <c r="N13" s="21">
        <v>1</v>
      </c>
      <c r="O13" s="21">
        <f>+'[4]1.6铝模深化优化装饰做法 '!F21</f>
        <v>0</v>
      </c>
      <c r="P13" s="23">
        <f t="shared" si="8"/>
        <v>0</v>
      </c>
      <c r="Q13" s="23">
        <f t="shared" si="9"/>
        <v>0</v>
      </c>
      <c r="R13" s="23">
        <v>0</v>
      </c>
      <c r="S13" s="23">
        <v>0</v>
      </c>
      <c r="T13" s="23">
        <f t="shared" si="10"/>
        <v>0</v>
      </c>
      <c r="U13" s="21">
        <v>1</v>
      </c>
      <c r="V13" s="23">
        <f>+'[4]1.6铝模深化优化装饰做法 '!F7</f>
        <v>52136.265599999992</v>
      </c>
      <c r="W13" s="23">
        <f t="shared" si="11"/>
        <v>52136.265599999992</v>
      </c>
      <c r="X13" s="43">
        <f t="shared" si="12"/>
        <v>-52136.265599999992</v>
      </c>
      <c r="Y13" s="50"/>
      <c r="Z13" s="50"/>
      <c r="AA13" s="50"/>
      <c r="AB13" s="50"/>
      <c r="AC13" s="50"/>
      <c r="AD13" s="50"/>
      <c r="AE13" s="50"/>
      <c r="AF13" s="50"/>
      <c r="AG13" s="50"/>
      <c r="AH13" s="50"/>
    </row>
    <row r="14" spans="1:256" s="4" customFormat="1" ht="36.950000000000003" hidden="1" customHeight="1" outlineLevel="1">
      <c r="A14" s="17">
        <v>7</v>
      </c>
      <c r="B14" s="18" t="s">
        <v>1350</v>
      </c>
      <c r="C14" s="19" t="s">
        <v>1351</v>
      </c>
      <c r="D14" s="18" t="s">
        <v>1337</v>
      </c>
      <c r="E14" s="22">
        <f t="shared" si="1"/>
        <v>30000</v>
      </c>
      <c r="F14" s="23">
        <f t="shared" si="2"/>
        <v>0</v>
      </c>
      <c r="G14" s="23">
        <f t="shared" si="3"/>
        <v>-30000</v>
      </c>
      <c r="H14" s="23">
        <f t="shared" si="4"/>
        <v>-30000</v>
      </c>
      <c r="I14" s="23">
        <f t="shared" si="5"/>
        <v>30000</v>
      </c>
      <c r="J14" s="23">
        <f t="shared" si="6"/>
        <v>0</v>
      </c>
      <c r="K14" s="21">
        <v>0</v>
      </c>
      <c r="L14" s="21">
        <v>0</v>
      </c>
      <c r="M14" s="23">
        <f t="shared" si="7"/>
        <v>0</v>
      </c>
      <c r="N14" s="21">
        <v>1</v>
      </c>
      <c r="O14" s="21">
        <f>+'[4]1.7承台模板优化 '!F21</f>
        <v>0</v>
      </c>
      <c r="P14" s="23">
        <f t="shared" si="8"/>
        <v>0</v>
      </c>
      <c r="Q14" s="23">
        <f t="shared" si="9"/>
        <v>0</v>
      </c>
      <c r="R14" s="23">
        <v>0</v>
      </c>
      <c r="S14" s="23">
        <v>0</v>
      </c>
      <c r="T14" s="23">
        <f t="shared" si="10"/>
        <v>0</v>
      </c>
      <c r="U14" s="21">
        <v>1</v>
      </c>
      <c r="V14" s="23">
        <f>+'[4]1.7承台模板优化 '!F7</f>
        <v>30000</v>
      </c>
      <c r="W14" s="23">
        <f t="shared" si="11"/>
        <v>30000</v>
      </c>
      <c r="X14" s="43">
        <f t="shared" si="12"/>
        <v>-30000</v>
      </c>
      <c r="Y14" s="50"/>
      <c r="Z14" s="50"/>
      <c r="AA14" s="50"/>
      <c r="AB14" s="50"/>
      <c r="AC14" s="50"/>
      <c r="AD14" s="50"/>
      <c r="AE14" s="50"/>
      <c r="AF14" s="50"/>
      <c r="AG14" s="50"/>
      <c r="AH14" s="50"/>
    </row>
    <row r="15" spans="1:256" s="4" customFormat="1" ht="36.950000000000003" hidden="1" customHeight="1" outlineLevel="1">
      <c r="A15" s="17">
        <v>8</v>
      </c>
      <c r="B15" s="18" t="s">
        <v>1352</v>
      </c>
      <c r="C15" s="19" t="s">
        <v>1353</v>
      </c>
      <c r="D15" s="18" t="s">
        <v>1354</v>
      </c>
      <c r="E15" s="22">
        <f t="shared" si="1"/>
        <v>84447.101200000005</v>
      </c>
      <c r="F15" s="23">
        <f t="shared" si="2"/>
        <v>-68907.198800000013</v>
      </c>
      <c r="G15" s="23">
        <f t="shared" si="3"/>
        <v>-153354.30000000002</v>
      </c>
      <c r="H15" s="23">
        <f t="shared" si="4"/>
        <v>-84447.101200000005</v>
      </c>
      <c r="I15" s="23">
        <f t="shared" si="5"/>
        <v>84447.101200000005</v>
      </c>
      <c r="J15" s="23">
        <f t="shared" si="6"/>
        <v>0</v>
      </c>
      <c r="K15" s="21">
        <v>0</v>
      </c>
      <c r="L15" s="21">
        <f>+'[4]1.8天棚JS取消 '!F26</f>
        <v>0</v>
      </c>
      <c r="M15" s="23">
        <f t="shared" si="7"/>
        <v>0</v>
      </c>
      <c r="N15" s="21">
        <v>1</v>
      </c>
      <c r="O15" s="21">
        <f>+'[4]1.8天棚JS取消 '!F21</f>
        <v>0</v>
      </c>
      <c r="P15" s="23">
        <f t="shared" si="8"/>
        <v>0</v>
      </c>
      <c r="Q15" s="23">
        <f t="shared" si="9"/>
        <v>0</v>
      </c>
      <c r="R15" s="23">
        <v>1</v>
      </c>
      <c r="S15" s="23">
        <f>+'[4]1.8天棚JS取消 '!F12</f>
        <v>68907.198800000013</v>
      </c>
      <c r="T15" s="23">
        <f t="shared" si="10"/>
        <v>68907.198800000013</v>
      </c>
      <c r="U15" s="21">
        <v>1</v>
      </c>
      <c r="V15" s="23">
        <f>+'[4]1.8天棚JS取消 '!F7</f>
        <v>153354.30000000002</v>
      </c>
      <c r="W15" s="23">
        <f t="shared" si="11"/>
        <v>153354.30000000002</v>
      </c>
      <c r="X15" s="43">
        <f t="shared" si="12"/>
        <v>-84447.101200000005</v>
      </c>
      <c r="Y15" s="50"/>
      <c r="Z15" s="50"/>
      <c r="AA15" s="50"/>
      <c r="AB15" s="50"/>
      <c r="AC15" s="50"/>
      <c r="AD15" s="50"/>
      <c r="AE15" s="50"/>
      <c r="AF15" s="50"/>
      <c r="AG15" s="50"/>
      <c r="AH15" s="50"/>
    </row>
    <row r="16" spans="1:256" s="4" customFormat="1" ht="36.950000000000003" hidden="1" customHeight="1" outlineLevel="1">
      <c r="A16" s="17">
        <v>9</v>
      </c>
      <c r="B16" s="18" t="s">
        <v>1355</v>
      </c>
      <c r="C16" s="19" t="s">
        <v>1356</v>
      </c>
      <c r="D16" s="18" t="s">
        <v>1337</v>
      </c>
      <c r="E16" s="22">
        <f t="shared" si="1"/>
        <v>164418.81659999996</v>
      </c>
      <c r="F16" s="23">
        <f t="shared" si="2"/>
        <v>325308.36599999992</v>
      </c>
      <c r="G16" s="23">
        <f t="shared" si="3"/>
        <v>160889.54939999996</v>
      </c>
      <c r="H16" s="23">
        <f t="shared" si="4"/>
        <v>138321.53999999998</v>
      </c>
      <c r="I16" s="23">
        <f t="shared" si="5"/>
        <v>164418.81659999996</v>
      </c>
      <c r="J16" s="23">
        <f t="shared" si="6"/>
        <v>302740.35659999994</v>
      </c>
      <c r="K16" s="21">
        <v>1</v>
      </c>
      <c r="L16" s="21">
        <f>+'[4]1.9防水做法优化 '!F28</f>
        <v>725567.70599999989</v>
      </c>
      <c r="M16" s="23">
        <f t="shared" si="7"/>
        <v>725567.70599999989</v>
      </c>
      <c r="N16" s="21">
        <v>1</v>
      </c>
      <c r="O16" s="21">
        <f>+'[4]1.9防水做法优化 '!F23</f>
        <v>422827.34939999995</v>
      </c>
      <c r="P16" s="23">
        <f t="shared" si="8"/>
        <v>422827.34939999995</v>
      </c>
      <c r="Q16" s="23">
        <f t="shared" si="9"/>
        <v>302740.35659999994</v>
      </c>
      <c r="R16" s="23">
        <v>1</v>
      </c>
      <c r="S16" s="23">
        <f>+'[4]1.9防水做法优化 '!F12</f>
        <v>400259.33999999997</v>
      </c>
      <c r="T16" s="23">
        <f t="shared" si="10"/>
        <v>400259.33999999997</v>
      </c>
      <c r="U16" s="21">
        <v>1</v>
      </c>
      <c r="V16" s="23">
        <f>+'[4]1.9防水做法优化 '!F7</f>
        <v>261937.8</v>
      </c>
      <c r="W16" s="23">
        <f t="shared" si="11"/>
        <v>261937.8</v>
      </c>
      <c r="X16" s="43">
        <f t="shared" si="12"/>
        <v>138321.53999999998</v>
      </c>
      <c r="Y16" s="50"/>
      <c r="Z16" s="50"/>
      <c r="AA16" s="50"/>
      <c r="AB16" s="50"/>
      <c r="AC16" s="50"/>
      <c r="AD16" s="50"/>
      <c r="AE16" s="50"/>
      <c r="AF16" s="50"/>
      <c r="AG16" s="50"/>
      <c r="AH16" s="50"/>
    </row>
    <row r="17" spans="1:256" s="4" customFormat="1" ht="36.950000000000003" hidden="1" customHeight="1" outlineLevel="1">
      <c r="A17" s="17">
        <v>10</v>
      </c>
      <c r="B17" s="18" t="s">
        <v>1357</v>
      </c>
      <c r="C17" s="19" t="s">
        <v>1358</v>
      </c>
      <c r="D17" s="18" t="s">
        <v>1345</v>
      </c>
      <c r="E17" s="22">
        <f t="shared" si="1"/>
        <v>659912.94000000018</v>
      </c>
      <c r="F17" s="23">
        <f t="shared" si="2"/>
        <v>0</v>
      </c>
      <c r="G17" s="23">
        <f t="shared" si="3"/>
        <v>-659912.94000000018</v>
      </c>
      <c r="H17" s="23">
        <f t="shared" si="4"/>
        <v>150405.62170000002</v>
      </c>
      <c r="I17" s="23">
        <f t="shared" si="5"/>
        <v>659912.94000000018</v>
      </c>
      <c r="J17" s="23">
        <f t="shared" si="6"/>
        <v>810318.56170000019</v>
      </c>
      <c r="K17" s="21">
        <v>0</v>
      </c>
      <c r="L17" s="21">
        <v>1</v>
      </c>
      <c r="M17" s="23">
        <f>+'[4]1.10天然石粉 '!F26</f>
        <v>1565264.8017000002</v>
      </c>
      <c r="N17" s="21">
        <v>1</v>
      </c>
      <c r="O17" s="21">
        <f>+'[4]1.10天然石粉 '!F21</f>
        <v>754946.24</v>
      </c>
      <c r="P17" s="23">
        <f t="shared" si="8"/>
        <v>754946.24</v>
      </c>
      <c r="Q17" s="23">
        <f t="shared" si="9"/>
        <v>810318.56170000019</v>
      </c>
      <c r="R17" s="23">
        <v>1</v>
      </c>
      <c r="S17" s="23">
        <f>+'[4]1.10天然石粉 '!F12</f>
        <v>1565264.8017000002</v>
      </c>
      <c r="T17" s="23">
        <f t="shared" si="10"/>
        <v>1565264.8017000002</v>
      </c>
      <c r="U17" s="21">
        <v>1</v>
      </c>
      <c r="V17" s="23">
        <f>+'[4]1.10天然石粉 '!F7</f>
        <v>1414859.1800000002</v>
      </c>
      <c r="W17" s="23">
        <f t="shared" si="11"/>
        <v>1414859.1800000002</v>
      </c>
      <c r="X17" s="43">
        <f t="shared" si="12"/>
        <v>150405.62170000002</v>
      </c>
      <c r="Y17" s="50"/>
      <c r="Z17" s="50"/>
      <c r="AA17" s="50"/>
      <c r="AB17" s="50"/>
      <c r="AC17" s="50"/>
      <c r="AD17" s="50"/>
      <c r="AE17" s="50"/>
      <c r="AF17" s="50"/>
      <c r="AG17" s="50"/>
      <c r="AH17" s="50"/>
    </row>
    <row r="18" spans="1:256" s="4" customFormat="1" ht="36.950000000000003" hidden="1" customHeight="1" outlineLevel="1">
      <c r="A18" s="17">
        <v>11</v>
      </c>
      <c r="B18" s="18" t="s">
        <v>1359</v>
      </c>
      <c r="C18" s="19" t="s">
        <v>1360</v>
      </c>
      <c r="D18" s="18" t="s">
        <v>1342</v>
      </c>
      <c r="E18" s="22">
        <f t="shared" si="1"/>
        <v>4206.5</v>
      </c>
      <c r="F18" s="23">
        <f t="shared" si="2"/>
        <v>-21032.5</v>
      </c>
      <c r="G18" s="23">
        <f t="shared" si="3"/>
        <v>-25239</v>
      </c>
      <c r="H18" s="23">
        <f t="shared" si="4"/>
        <v>-10936.900000000001</v>
      </c>
      <c r="I18" s="23">
        <f t="shared" si="5"/>
        <v>4206.5</v>
      </c>
      <c r="J18" s="23">
        <f t="shared" si="6"/>
        <v>-6730.4000000000015</v>
      </c>
      <c r="K18" s="21">
        <v>0</v>
      </c>
      <c r="L18" s="21">
        <v>1</v>
      </c>
      <c r="M18" s="23">
        <f>+'[4]1.11楼梯间踢脚工艺优化 '!F26</f>
        <v>35334.6</v>
      </c>
      <c r="N18" s="21">
        <v>1</v>
      </c>
      <c r="O18" s="21">
        <f>+'[4]1.11楼梯间踢脚工艺优化 '!F21</f>
        <v>42065</v>
      </c>
      <c r="P18" s="23">
        <f t="shared" si="8"/>
        <v>42065</v>
      </c>
      <c r="Q18" s="23">
        <f t="shared" si="9"/>
        <v>-6730.4000000000015</v>
      </c>
      <c r="R18" s="23">
        <v>1</v>
      </c>
      <c r="S18" s="23">
        <f>+'[4]1.11楼梯间踢脚工艺优化 '!F12</f>
        <v>56367.1</v>
      </c>
      <c r="T18" s="23">
        <f t="shared" si="10"/>
        <v>56367.1</v>
      </c>
      <c r="U18" s="21">
        <v>1</v>
      </c>
      <c r="V18" s="23">
        <f>+'[4]1.11楼梯间踢脚工艺优化 '!F7</f>
        <v>67304</v>
      </c>
      <c r="W18" s="23">
        <f t="shared" si="11"/>
        <v>67304</v>
      </c>
      <c r="X18" s="43">
        <f t="shared" si="12"/>
        <v>-10936.900000000001</v>
      </c>
      <c r="Y18" s="50"/>
      <c r="Z18" s="50"/>
      <c r="AA18" s="50"/>
      <c r="AB18" s="50"/>
      <c r="AC18" s="50"/>
      <c r="AD18" s="50"/>
      <c r="AE18" s="50"/>
      <c r="AF18" s="50"/>
      <c r="AG18" s="50"/>
      <c r="AH18" s="50"/>
    </row>
    <row r="19" spans="1:256" s="4" customFormat="1" ht="36.950000000000003" hidden="1" customHeight="1" outlineLevel="1">
      <c r="A19" s="17">
        <v>12</v>
      </c>
      <c r="B19" s="24" t="s">
        <v>1361</v>
      </c>
      <c r="C19" s="19" t="s">
        <v>1362</v>
      </c>
      <c r="D19" s="18" t="s">
        <v>1342</v>
      </c>
      <c r="E19" s="25">
        <f t="shared" si="1"/>
        <v>1512200</v>
      </c>
      <c r="F19" s="26">
        <f t="shared" si="2"/>
        <v>0</v>
      </c>
      <c r="G19" s="26">
        <f t="shared" si="3"/>
        <v>-1512200</v>
      </c>
      <c r="H19" s="26">
        <f t="shared" si="4"/>
        <v>-1512200</v>
      </c>
      <c r="I19" s="26">
        <f t="shared" si="5"/>
        <v>1512200</v>
      </c>
      <c r="J19" s="26">
        <f t="shared" si="6"/>
        <v>0</v>
      </c>
      <c r="K19" s="21">
        <v>0</v>
      </c>
      <c r="L19" s="21">
        <v>0</v>
      </c>
      <c r="M19" s="26">
        <f t="shared" ref="M19:M26" si="13">K19*L19</f>
        <v>0</v>
      </c>
      <c r="N19" s="21">
        <v>0</v>
      </c>
      <c r="O19" s="26">
        <v>0</v>
      </c>
      <c r="P19" s="26">
        <f t="shared" si="8"/>
        <v>0</v>
      </c>
      <c r="Q19" s="26">
        <f t="shared" si="9"/>
        <v>0</v>
      </c>
      <c r="R19" s="23">
        <v>0</v>
      </c>
      <c r="S19" s="23">
        <v>0</v>
      </c>
      <c r="T19" s="26">
        <f t="shared" si="10"/>
        <v>0</v>
      </c>
      <c r="U19" s="21">
        <v>1</v>
      </c>
      <c r="V19" s="23">
        <v>1512200</v>
      </c>
      <c r="W19" s="26">
        <f t="shared" si="11"/>
        <v>1512200</v>
      </c>
      <c r="X19" s="26">
        <f t="shared" si="12"/>
        <v>-1512200</v>
      </c>
      <c r="Y19" s="50"/>
      <c r="Z19" s="50"/>
      <c r="AA19" s="50"/>
      <c r="AB19" s="50"/>
      <c r="AC19" s="50"/>
      <c r="AD19" s="50"/>
      <c r="AE19" s="50"/>
      <c r="AF19" s="50"/>
      <c r="AG19" s="50"/>
      <c r="AH19" s="50"/>
    </row>
    <row r="20" spans="1:256" s="4" customFormat="1" ht="36.950000000000003" hidden="1" customHeight="1" outlineLevel="1">
      <c r="A20" s="17">
        <v>13</v>
      </c>
      <c r="B20" s="24" t="s">
        <v>1363</v>
      </c>
      <c r="C20" s="19" t="s">
        <v>1364</v>
      </c>
      <c r="D20" s="18" t="s">
        <v>1345</v>
      </c>
      <c r="E20" s="22">
        <f t="shared" si="1"/>
        <v>10000</v>
      </c>
      <c r="F20" s="23">
        <f t="shared" si="2"/>
        <v>0</v>
      </c>
      <c r="G20" s="23">
        <f t="shared" si="3"/>
        <v>-10000</v>
      </c>
      <c r="H20" s="23">
        <f t="shared" si="4"/>
        <v>-10000</v>
      </c>
      <c r="I20" s="23">
        <f t="shared" si="5"/>
        <v>10000</v>
      </c>
      <c r="J20" s="23">
        <f t="shared" si="6"/>
        <v>0</v>
      </c>
      <c r="K20" s="21">
        <v>0</v>
      </c>
      <c r="L20" s="21">
        <v>0</v>
      </c>
      <c r="M20" s="23">
        <f t="shared" si="13"/>
        <v>0</v>
      </c>
      <c r="N20" s="21">
        <v>1</v>
      </c>
      <c r="O20" s="26">
        <f>'[5]1.13减少入岩长度'!F26</f>
        <v>0</v>
      </c>
      <c r="P20" s="23">
        <f t="shared" si="8"/>
        <v>0</v>
      </c>
      <c r="Q20" s="23">
        <f t="shared" si="9"/>
        <v>0</v>
      </c>
      <c r="R20" s="23">
        <v>0</v>
      </c>
      <c r="S20" s="23">
        <v>0</v>
      </c>
      <c r="T20" s="23">
        <f t="shared" si="10"/>
        <v>0</v>
      </c>
      <c r="U20" s="21">
        <v>1</v>
      </c>
      <c r="V20" s="23">
        <v>10000</v>
      </c>
      <c r="W20" s="23">
        <f t="shared" si="11"/>
        <v>10000</v>
      </c>
      <c r="X20" s="43">
        <f t="shared" si="12"/>
        <v>-10000</v>
      </c>
      <c r="Y20" s="50"/>
      <c r="Z20" s="50"/>
      <c r="AA20" s="50"/>
      <c r="AB20" s="50"/>
      <c r="AC20" s="50"/>
      <c r="AD20" s="50"/>
      <c r="AE20" s="50"/>
      <c r="AF20" s="50"/>
      <c r="AG20" s="50"/>
      <c r="AH20" s="50"/>
    </row>
    <row r="21" spans="1:256" s="3" customFormat="1" ht="36.950000000000003" hidden="1" customHeight="1" outlineLevel="1">
      <c r="A21" s="17">
        <v>14</v>
      </c>
      <c r="B21" s="24" t="s">
        <v>1365</v>
      </c>
      <c r="C21" s="19" t="s">
        <v>1366</v>
      </c>
      <c r="D21" s="18" t="s">
        <v>1342</v>
      </c>
      <c r="E21" s="16"/>
      <c r="F21" s="23">
        <f t="shared" si="2"/>
        <v>0</v>
      </c>
      <c r="G21" s="23">
        <f t="shared" si="3"/>
        <v>-91040.417999999991</v>
      </c>
      <c r="H21" s="23">
        <f t="shared" si="4"/>
        <v>-91040.417999999991</v>
      </c>
      <c r="I21" s="23">
        <f t="shared" si="5"/>
        <v>91040.417999999991</v>
      </c>
      <c r="J21" s="23">
        <f t="shared" si="6"/>
        <v>0</v>
      </c>
      <c r="K21" s="21"/>
      <c r="L21" s="21">
        <v>1</v>
      </c>
      <c r="M21" s="23">
        <f t="shared" si="13"/>
        <v>0</v>
      </c>
      <c r="N21" s="21">
        <v>0</v>
      </c>
      <c r="O21" s="26">
        <v>0</v>
      </c>
      <c r="P21" s="23">
        <f t="shared" si="8"/>
        <v>0</v>
      </c>
      <c r="Q21" s="23">
        <f t="shared" si="9"/>
        <v>0</v>
      </c>
      <c r="R21" s="23">
        <v>0</v>
      </c>
      <c r="S21" s="23">
        <v>0</v>
      </c>
      <c r="T21" s="23">
        <f t="shared" si="10"/>
        <v>0</v>
      </c>
      <c r="U21" s="21">
        <v>1</v>
      </c>
      <c r="V21" s="23">
        <f>+'[4]1.1417层外凸板优化 '!F7</f>
        <v>91040.417999999991</v>
      </c>
      <c r="W21" s="23">
        <f t="shared" si="11"/>
        <v>91040.417999999991</v>
      </c>
      <c r="X21" s="43">
        <f t="shared" si="12"/>
        <v>-91040.417999999991</v>
      </c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</row>
    <row r="22" spans="1:256" s="4" customFormat="1" ht="36.950000000000003" hidden="1" customHeight="1" outlineLevel="1">
      <c r="A22" s="17">
        <v>15</v>
      </c>
      <c r="B22" s="24" t="s">
        <v>1367</v>
      </c>
      <c r="C22" s="19" t="s">
        <v>1368</v>
      </c>
      <c r="D22" s="18" t="s">
        <v>1342</v>
      </c>
      <c r="E22" s="22">
        <f t="shared" ref="E22:E27" si="14">I22</f>
        <v>913844.39999999851</v>
      </c>
      <c r="F22" s="27">
        <f t="shared" si="2"/>
        <v>0</v>
      </c>
      <c r="G22" s="27">
        <f t="shared" si="3"/>
        <v>-913844.39999999851</v>
      </c>
      <c r="H22" s="27">
        <f t="shared" si="4"/>
        <v>-11423055</v>
      </c>
      <c r="I22" s="27">
        <f t="shared" si="5"/>
        <v>913844.39999999851</v>
      </c>
      <c r="J22" s="27">
        <f t="shared" si="6"/>
        <v>-10509210.600000001</v>
      </c>
      <c r="K22" s="27">
        <v>0</v>
      </c>
      <c r="L22" s="27">
        <v>0</v>
      </c>
      <c r="M22" s="27">
        <f t="shared" si="13"/>
        <v>0</v>
      </c>
      <c r="N22" s="27">
        <v>1</v>
      </c>
      <c r="O22" s="27">
        <f>+'[4]1.15钢筋翻样优化 '!F21</f>
        <v>10509210.600000001</v>
      </c>
      <c r="P22" s="27">
        <f t="shared" si="8"/>
        <v>10509210.600000001</v>
      </c>
      <c r="Q22" s="27">
        <f t="shared" si="9"/>
        <v>-10509210.600000001</v>
      </c>
      <c r="R22" s="27">
        <v>0</v>
      </c>
      <c r="S22" s="27">
        <v>0</v>
      </c>
      <c r="T22" s="27">
        <f t="shared" si="10"/>
        <v>0</v>
      </c>
      <c r="U22" s="27">
        <v>1</v>
      </c>
      <c r="V22" s="27">
        <f>+'[4]1.15钢筋翻样优化 '!F7</f>
        <v>11423055</v>
      </c>
      <c r="W22" s="27">
        <f t="shared" si="11"/>
        <v>11423055</v>
      </c>
      <c r="X22" s="44">
        <f t="shared" si="12"/>
        <v>-11423055</v>
      </c>
      <c r="Y22" s="50"/>
      <c r="Z22" s="50"/>
      <c r="AA22" s="50"/>
      <c r="AB22" s="50"/>
      <c r="AC22" s="50"/>
      <c r="AD22" s="50"/>
      <c r="AE22" s="50"/>
      <c r="AF22" s="50"/>
      <c r="AG22" s="50"/>
      <c r="AH22" s="50"/>
    </row>
    <row r="23" spans="1:256" s="4" customFormat="1" ht="36.950000000000003" hidden="1" customHeight="1" outlineLevel="1">
      <c r="A23" s="17">
        <v>16</v>
      </c>
      <c r="B23" s="24" t="s">
        <v>1369</v>
      </c>
      <c r="C23" s="19" t="s">
        <v>1370</v>
      </c>
      <c r="D23" s="18" t="s">
        <v>1342</v>
      </c>
      <c r="E23" s="28"/>
      <c r="F23" s="27">
        <f t="shared" si="2"/>
        <v>111536.52034</v>
      </c>
      <c r="G23" s="27">
        <f t="shared" si="3"/>
        <v>0</v>
      </c>
      <c r="H23" s="27">
        <f t="shared" si="4"/>
        <v>0</v>
      </c>
      <c r="I23" s="27">
        <f t="shared" si="5"/>
        <v>111536.52034</v>
      </c>
      <c r="J23" s="27">
        <f t="shared" si="6"/>
        <v>111536.52034</v>
      </c>
      <c r="K23" s="27">
        <v>1</v>
      </c>
      <c r="L23" s="27">
        <f>+'[4]1.16装配式构件 '!F26</f>
        <v>111536.52034</v>
      </c>
      <c r="M23" s="27">
        <f t="shared" si="13"/>
        <v>111536.52034</v>
      </c>
      <c r="N23" s="27">
        <v>1</v>
      </c>
      <c r="O23" s="27">
        <f>+'[4]1.16装配式构件 '!F21</f>
        <v>0</v>
      </c>
      <c r="P23" s="27">
        <f t="shared" si="8"/>
        <v>0</v>
      </c>
      <c r="Q23" s="27">
        <f t="shared" si="9"/>
        <v>111536.52034</v>
      </c>
      <c r="R23" s="27">
        <v>0</v>
      </c>
      <c r="S23" s="27">
        <f>+'[4]1.16装配式构件 '!F13</f>
        <v>0</v>
      </c>
      <c r="T23" s="27">
        <f t="shared" si="10"/>
        <v>0</v>
      </c>
      <c r="U23" s="27">
        <v>1</v>
      </c>
      <c r="V23" s="27">
        <f>+'[4]1.16装配式构件 '!F7</f>
        <v>0</v>
      </c>
      <c r="W23" s="27">
        <f t="shared" si="11"/>
        <v>0</v>
      </c>
      <c r="X23" s="44">
        <f t="shared" si="12"/>
        <v>0</v>
      </c>
      <c r="Y23" s="50"/>
      <c r="Z23" s="50"/>
      <c r="AA23" s="50"/>
      <c r="AB23" s="50"/>
      <c r="AC23" s="50"/>
      <c r="AD23" s="50"/>
      <c r="AE23" s="50"/>
      <c r="AF23" s="50"/>
      <c r="AG23" s="50"/>
      <c r="AH23" s="50"/>
    </row>
    <row r="24" spans="1:256" s="4" customFormat="1" ht="36.950000000000003" hidden="1" customHeight="1" outlineLevel="1">
      <c r="A24" s="17">
        <v>17</v>
      </c>
      <c r="B24" s="29" t="s">
        <v>1371</v>
      </c>
      <c r="C24" s="19" t="s">
        <v>1372</v>
      </c>
      <c r="D24" s="18" t="s">
        <v>1354</v>
      </c>
      <c r="E24" s="30">
        <f t="shared" si="14"/>
        <v>48240.000000000233</v>
      </c>
      <c r="F24" s="31">
        <f t="shared" si="2"/>
        <v>0</v>
      </c>
      <c r="G24" s="31">
        <f t="shared" si="3"/>
        <v>-48240.000000000233</v>
      </c>
      <c r="H24" s="31">
        <f t="shared" si="4"/>
        <v>-1372000</v>
      </c>
      <c r="I24" s="31">
        <f t="shared" si="5"/>
        <v>48240.000000000233</v>
      </c>
      <c r="J24" s="31">
        <f t="shared" si="6"/>
        <v>-1323759.9999999998</v>
      </c>
      <c r="K24" s="31">
        <v>0</v>
      </c>
      <c r="L24" s="31">
        <v>0</v>
      </c>
      <c r="M24" s="31">
        <f t="shared" si="13"/>
        <v>0</v>
      </c>
      <c r="N24" s="31">
        <v>1</v>
      </c>
      <c r="O24" s="31">
        <f>+'[4]1.17屋面结构变更 '!F22</f>
        <v>1323759.9999999998</v>
      </c>
      <c r="P24" s="31">
        <f t="shared" si="8"/>
        <v>1323759.9999999998</v>
      </c>
      <c r="Q24" s="31">
        <f t="shared" si="9"/>
        <v>-1323759.9999999998</v>
      </c>
      <c r="R24" s="31">
        <v>0</v>
      </c>
      <c r="S24" s="31">
        <v>0</v>
      </c>
      <c r="T24" s="31">
        <f t="shared" si="10"/>
        <v>0</v>
      </c>
      <c r="U24" s="45">
        <v>1</v>
      </c>
      <c r="V24" s="31">
        <f>+'[4]1.17屋面结构变更 '!F8</f>
        <v>1372000</v>
      </c>
      <c r="W24" s="31">
        <f t="shared" si="11"/>
        <v>1372000</v>
      </c>
      <c r="X24" s="46">
        <f t="shared" si="12"/>
        <v>-1372000</v>
      </c>
      <c r="Y24" s="50"/>
      <c r="Z24" s="50"/>
      <c r="AA24" s="50"/>
      <c r="AB24" s="50"/>
      <c r="AC24" s="50"/>
      <c r="AD24" s="50"/>
      <c r="AE24" s="50"/>
      <c r="AF24" s="50"/>
      <c r="AG24" s="50"/>
      <c r="AH24" s="50"/>
    </row>
    <row r="25" spans="1:256" s="4" customFormat="1" ht="36.950000000000003" hidden="1" customHeight="1" outlineLevel="1">
      <c r="A25" s="17">
        <v>18</v>
      </c>
      <c r="B25" s="24" t="s">
        <v>1373</v>
      </c>
      <c r="C25" s="19" t="s">
        <v>1374</v>
      </c>
      <c r="D25" s="18" t="s">
        <v>1354</v>
      </c>
      <c r="E25" s="22">
        <f t="shared" si="14"/>
        <v>39200</v>
      </c>
      <c r="F25" s="23">
        <f t="shared" si="2"/>
        <v>64800</v>
      </c>
      <c r="G25" s="23">
        <f t="shared" si="3"/>
        <v>25600</v>
      </c>
      <c r="H25" s="23">
        <f t="shared" si="4"/>
        <v>0</v>
      </c>
      <c r="I25" s="23">
        <f t="shared" si="5"/>
        <v>39200</v>
      </c>
      <c r="J25" s="23">
        <f t="shared" si="6"/>
        <v>39200</v>
      </c>
      <c r="K25" s="23">
        <v>1</v>
      </c>
      <c r="L25" s="23">
        <f>+'[4]1.18涂料施工说明变更 '!F27</f>
        <v>64800</v>
      </c>
      <c r="M25" s="23">
        <f t="shared" si="13"/>
        <v>64800</v>
      </c>
      <c r="N25" s="23">
        <v>1</v>
      </c>
      <c r="O25" s="23">
        <f>+'[4]1.18涂料施工说明变更 '!F22</f>
        <v>25600</v>
      </c>
      <c r="P25" s="23">
        <f t="shared" si="8"/>
        <v>25600</v>
      </c>
      <c r="Q25" s="23">
        <f t="shared" si="9"/>
        <v>39200</v>
      </c>
      <c r="R25" s="23">
        <v>0</v>
      </c>
      <c r="S25" s="23">
        <v>0</v>
      </c>
      <c r="T25" s="23">
        <f t="shared" si="10"/>
        <v>0</v>
      </c>
      <c r="U25" s="23">
        <f>S25*T25</f>
        <v>0</v>
      </c>
      <c r="V25" s="23">
        <f>T25*U25</f>
        <v>0</v>
      </c>
      <c r="W25" s="23">
        <f t="shared" si="11"/>
        <v>0</v>
      </c>
      <c r="X25" s="43">
        <f t="shared" si="12"/>
        <v>0</v>
      </c>
      <c r="Y25" s="50"/>
      <c r="Z25" s="50"/>
      <c r="AA25" s="50"/>
      <c r="AB25" s="50"/>
      <c r="AC25" s="50"/>
      <c r="AD25" s="50"/>
      <c r="AE25" s="50"/>
      <c r="AF25" s="50"/>
      <c r="AG25" s="50"/>
      <c r="AH25" s="50"/>
    </row>
    <row r="26" spans="1:256" s="4" customFormat="1" ht="36.950000000000003" hidden="1" customHeight="1" outlineLevel="1">
      <c r="A26" s="17">
        <v>19</v>
      </c>
      <c r="B26" s="24" t="s">
        <v>1375</v>
      </c>
      <c r="C26" s="19" t="s">
        <v>1376</v>
      </c>
      <c r="D26" s="18" t="s">
        <v>1354</v>
      </c>
      <c r="E26" s="22">
        <f t="shared" si="14"/>
        <v>636.92999999999995</v>
      </c>
      <c r="F26" s="23">
        <f t="shared" si="2"/>
        <v>636.92999999999995</v>
      </c>
      <c r="G26" s="23">
        <f t="shared" si="3"/>
        <v>0</v>
      </c>
      <c r="H26" s="23">
        <f t="shared" si="4"/>
        <v>0</v>
      </c>
      <c r="I26" s="23">
        <f t="shared" si="5"/>
        <v>636.92999999999995</v>
      </c>
      <c r="J26" s="23">
        <f t="shared" si="6"/>
        <v>636.92999999999995</v>
      </c>
      <c r="K26" s="23">
        <v>1</v>
      </c>
      <c r="L26" s="23">
        <f>+'[4]1.19混凝土标号修正 '!F27</f>
        <v>636.92999999999995</v>
      </c>
      <c r="M26" s="23">
        <f t="shared" si="13"/>
        <v>636.92999999999995</v>
      </c>
      <c r="N26" s="40">
        <v>0</v>
      </c>
      <c r="O26" s="23">
        <v>0</v>
      </c>
      <c r="P26" s="23">
        <v>0</v>
      </c>
      <c r="Q26" s="23">
        <f t="shared" si="9"/>
        <v>636.92999999999995</v>
      </c>
      <c r="R26" s="23">
        <v>0</v>
      </c>
      <c r="S26" s="23">
        <v>0</v>
      </c>
      <c r="T26" s="23">
        <f t="shared" si="10"/>
        <v>0</v>
      </c>
      <c r="U26" s="23">
        <f>S26*T26</f>
        <v>0</v>
      </c>
      <c r="V26" s="23">
        <f>T26*U26</f>
        <v>0</v>
      </c>
      <c r="W26" s="23">
        <f t="shared" si="11"/>
        <v>0</v>
      </c>
      <c r="X26" s="23">
        <f t="shared" si="12"/>
        <v>0</v>
      </c>
      <c r="Y26" s="50"/>
      <c r="Z26" s="50"/>
      <c r="AA26" s="50"/>
      <c r="AB26" s="50"/>
      <c r="AC26" s="50"/>
      <c r="AD26" s="50"/>
      <c r="AE26" s="50"/>
      <c r="AF26" s="50"/>
      <c r="AG26" s="50"/>
      <c r="AH26" s="50"/>
    </row>
    <row r="27" spans="1:256" s="4" customFormat="1" ht="36.950000000000003" hidden="1" customHeight="1" outlineLevel="1">
      <c r="A27" s="17">
        <v>20</v>
      </c>
      <c r="B27" s="24" t="s">
        <v>1377</v>
      </c>
      <c r="C27" s="19" t="s">
        <v>1378</v>
      </c>
      <c r="D27" s="18" t="s">
        <v>1354</v>
      </c>
      <c r="E27" s="22">
        <f t="shared" si="14"/>
        <v>18359.150000000001</v>
      </c>
      <c r="F27" s="23">
        <f t="shared" si="2"/>
        <v>0</v>
      </c>
      <c r="G27" s="23">
        <f t="shared" si="3"/>
        <v>-18359.150000000001</v>
      </c>
      <c r="H27" s="23">
        <f t="shared" si="4"/>
        <v>-59397.25</v>
      </c>
      <c r="I27" s="23">
        <f t="shared" si="5"/>
        <v>18359.150000000001</v>
      </c>
      <c r="J27" s="23">
        <f t="shared" si="6"/>
        <v>-41038.1</v>
      </c>
      <c r="K27" s="23">
        <v>0</v>
      </c>
      <c r="L27" s="23">
        <v>0</v>
      </c>
      <c r="M27" s="23">
        <v>0</v>
      </c>
      <c r="N27" s="40">
        <v>1</v>
      </c>
      <c r="O27" s="23">
        <f>+'[4]1.20陶粒混凝土做法优化 '!F22</f>
        <v>41038.1</v>
      </c>
      <c r="P27" s="23">
        <f t="shared" ref="P27:P50" si="15">N27*O27</f>
        <v>41038.1</v>
      </c>
      <c r="Q27" s="23">
        <f t="shared" si="9"/>
        <v>-41038.1</v>
      </c>
      <c r="R27" s="23">
        <v>0</v>
      </c>
      <c r="S27" s="23">
        <v>0</v>
      </c>
      <c r="T27" s="23">
        <v>0</v>
      </c>
      <c r="U27" s="23">
        <v>1</v>
      </c>
      <c r="V27" s="23">
        <f>+'[4]1.20陶粒混凝土做法优化 '!F8</f>
        <v>59397.25</v>
      </c>
      <c r="W27" s="23">
        <f t="shared" si="11"/>
        <v>59397.25</v>
      </c>
      <c r="X27" s="43">
        <f t="shared" si="12"/>
        <v>-59397.25</v>
      </c>
      <c r="Y27" s="50"/>
      <c r="Z27" s="50"/>
      <c r="AA27" s="50"/>
      <c r="AB27" s="50"/>
      <c r="AC27" s="50"/>
      <c r="AD27" s="50"/>
      <c r="AE27" s="50"/>
      <c r="AF27" s="50"/>
      <c r="AG27" s="50"/>
      <c r="AH27" s="50"/>
    </row>
    <row r="28" spans="1:256" s="4" customFormat="1" ht="36.950000000000003" customHeight="1">
      <c r="A28" s="12" t="s">
        <v>169</v>
      </c>
      <c r="B28" s="32" t="s">
        <v>1379</v>
      </c>
      <c r="C28" s="19"/>
      <c r="D28" s="33"/>
      <c r="E28" s="16">
        <f>SUM(E29:E50)</f>
        <v>4199753.054299999</v>
      </c>
      <c r="F28" s="16">
        <f>SUM(F29:F50)</f>
        <v>1503854.2589999998</v>
      </c>
      <c r="G28" s="16">
        <f>SUM(G29:G50)</f>
        <v>-2695898.7952999994</v>
      </c>
      <c r="H28" s="16">
        <f t="shared" ref="H28:M28" si="16">SUM(H29:H50)</f>
        <v>-4671683.4253000002</v>
      </c>
      <c r="I28" s="16">
        <f t="shared" si="16"/>
        <v>4199753.054299999</v>
      </c>
      <c r="J28" s="16">
        <f t="shared" si="16"/>
        <v>-471930.37100000016</v>
      </c>
      <c r="K28" s="16"/>
      <c r="L28" s="16"/>
      <c r="M28" s="16">
        <f t="shared" si="16"/>
        <v>1774007.7089999998</v>
      </c>
      <c r="N28" s="16"/>
      <c r="O28" s="16"/>
      <c r="P28" s="16">
        <f>SUM(P29:P50)</f>
        <v>2245938.08</v>
      </c>
      <c r="Q28" s="16">
        <f>SUM(Q29:Q50)</f>
        <v>-471930.37100000016</v>
      </c>
      <c r="R28" s="16"/>
      <c r="S28" s="16"/>
      <c r="T28" s="16">
        <f>SUM(T29:T50)</f>
        <v>270153.45</v>
      </c>
      <c r="U28" s="16"/>
      <c r="V28" s="16"/>
      <c r="W28" s="16">
        <f>SUM(W29:W50)</f>
        <v>4941836.8753000004</v>
      </c>
      <c r="X28" s="16">
        <f>SUM(X29:X50)</f>
        <v>-4671683.4253000002</v>
      </c>
      <c r="Y28" s="50"/>
      <c r="Z28" s="50"/>
      <c r="AA28" s="50"/>
      <c r="AB28" s="50"/>
      <c r="AC28" s="50"/>
      <c r="AD28" s="50"/>
      <c r="AE28" s="50"/>
      <c r="AF28" s="50"/>
      <c r="AG28" s="50"/>
      <c r="AH28" s="50"/>
    </row>
    <row r="29" spans="1:256" s="4" customFormat="1" ht="36.950000000000003" customHeight="1" outlineLevel="1">
      <c r="A29" s="17">
        <v>1</v>
      </c>
      <c r="B29" s="24" t="s">
        <v>1380</v>
      </c>
      <c r="C29" s="19" t="s">
        <v>1381</v>
      </c>
      <c r="D29" s="18" t="s">
        <v>1337</v>
      </c>
      <c r="E29" s="22">
        <f t="shared" ref="E29:E50" si="17">I29</f>
        <v>118941.1311</v>
      </c>
      <c r="F29" s="23">
        <f t="shared" ref="F29:F50" si="18">M29-T29</f>
        <v>0</v>
      </c>
      <c r="G29" s="23">
        <f t="shared" ref="G29:G50" si="19">P29-W29</f>
        <v>-118941.1311</v>
      </c>
      <c r="H29" s="23">
        <f t="shared" ref="H29:H50" si="20">X29</f>
        <v>-118941.1311</v>
      </c>
      <c r="I29" s="23">
        <f t="shared" ref="I29:I50" si="21">Q29-X29</f>
        <v>118941.1311</v>
      </c>
      <c r="J29" s="23">
        <f t="shared" ref="J29:J50" si="22">Q29</f>
        <v>0</v>
      </c>
      <c r="K29" s="23">
        <v>0</v>
      </c>
      <c r="L29" s="23">
        <v>0</v>
      </c>
      <c r="M29" s="23">
        <f t="shared" ref="M29:M50" si="23">K29*L29</f>
        <v>0</v>
      </c>
      <c r="N29" s="40">
        <v>1</v>
      </c>
      <c r="O29" s="23">
        <f>'[3]2.1材料堆场永临结合'!F21</f>
        <v>0</v>
      </c>
      <c r="P29" s="23">
        <f t="shared" si="15"/>
        <v>0</v>
      </c>
      <c r="Q29" s="23">
        <f t="shared" ref="Q29:Q50" si="24">M29-P29</f>
        <v>0</v>
      </c>
      <c r="R29" s="23">
        <v>0</v>
      </c>
      <c r="S29" s="23">
        <v>0</v>
      </c>
      <c r="T29" s="23">
        <f t="shared" ref="T29:T50" si="25">R29*S29</f>
        <v>0</v>
      </c>
      <c r="U29" s="40">
        <v>1</v>
      </c>
      <c r="V29" s="23">
        <f>'[3]2.1材料堆场永临结合'!F7</f>
        <v>118941.1311</v>
      </c>
      <c r="W29" s="23">
        <f t="shared" ref="W29:W50" si="26">U29*V29</f>
        <v>118941.1311</v>
      </c>
      <c r="X29" s="43">
        <f t="shared" ref="X29:X50" si="27">T29-W29</f>
        <v>-118941.1311</v>
      </c>
      <c r="Y29" s="50"/>
      <c r="Z29" s="50"/>
      <c r="AA29" s="50"/>
      <c r="AB29" s="50"/>
      <c r="AC29" s="50"/>
      <c r="AD29" s="50"/>
      <c r="AE29" s="50"/>
      <c r="AF29" s="50"/>
      <c r="AG29" s="50"/>
      <c r="AH29" s="50"/>
    </row>
    <row r="30" spans="1:256" s="3" customFormat="1" ht="36.950000000000003" customHeight="1" outlineLevel="1">
      <c r="A30" s="17">
        <v>2</v>
      </c>
      <c r="B30" s="24" t="s">
        <v>1382</v>
      </c>
      <c r="C30" s="19" t="s">
        <v>1383</v>
      </c>
      <c r="D30" s="18" t="s">
        <v>1337</v>
      </c>
      <c r="E30" s="22">
        <f t="shared" si="17"/>
        <v>133169.73700000002</v>
      </c>
      <c r="F30" s="23">
        <f t="shared" si="18"/>
        <v>0</v>
      </c>
      <c r="G30" s="23">
        <f t="shared" si="19"/>
        <v>-133169.73700000002</v>
      </c>
      <c r="H30" s="23">
        <f t="shared" si="20"/>
        <v>-133169.73700000002</v>
      </c>
      <c r="I30" s="23">
        <f t="shared" si="21"/>
        <v>133169.73700000002</v>
      </c>
      <c r="J30" s="23">
        <f t="shared" si="22"/>
        <v>0</v>
      </c>
      <c r="K30" s="23">
        <v>0</v>
      </c>
      <c r="L30" s="23">
        <v>0</v>
      </c>
      <c r="M30" s="23">
        <f t="shared" si="23"/>
        <v>0</v>
      </c>
      <c r="N30" s="40">
        <v>1</v>
      </c>
      <c r="O30" s="23">
        <f>'[3]2.1材料堆场永临结合'!F22</f>
        <v>0</v>
      </c>
      <c r="P30" s="23">
        <f t="shared" si="15"/>
        <v>0</v>
      </c>
      <c r="Q30" s="23">
        <f t="shared" si="24"/>
        <v>0</v>
      </c>
      <c r="R30" s="23">
        <v>0</v>
      </c>
      <c r="S30" s="23">
        <v>0</v>
      </c>
      <c r="T30" s="23">
        <f t="shared" si="25"/>
        <v>0</v>
      </c>
      <c r="U30" s="40">
        <v>1</v>
      </c>
      <c r="V30" s="23">
        <f>'[3]2.2塔吊基础与筏板重叠'!F7</f>
        <v>133169.73700000002</v>
      </c>
      <c r="W30" s="23">
        <f t="shared" si="26"/>
        <v>133169.73700000002</v>
      </c>
      <c r="X30" s="43">
        <f t="shared" si="27"/>
        <v>-133169.73700000002</v>
      </c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</row>
    <row r="31" spans="1:256" s="4" customFormat="1" ht="36.950000000000003" customHeight="1" outlineLevel="1">
      <c r="A31" s="17">
        <v>3</v>
      </c>
      <c r="B31" s="24" t="s">
        <v>1384</v>
      </c>
      <c r="C31" s="19" t="s">
        <v>1385</v>
      </c>
      <c r="D31" s="18" t="s">
        <v>1337</v>
      </c>
      <c r="E31" s="22">
        <f t="shared" si="17"/>
        <v>36903.248</v>
      </c>
      <c r="F31" s="23">
        <f t="shared" si="18"/>
        <v>0</v>
      </c>
      <c r="G31" s="23">
        <f t="shared" si="19"/>
        <v>-36903.248</v>
      </c>
      <c r="H31" s="23">
        <f t="shared" si="20"/>
        <v>-36903.248</v>
      </c>
      <c r="I31" s="23">
        <f t="shared" si="21"/>
        <v>36903.248</v>
      </c>
      <c r="J31" s="23">
        <f t="shared" si="22"/>
        <v>0</v>
      </c>
      <c r="K31" s="23">
        <v>0</v>
      </c>
      <c r="L31" s="23">
        <v>0</v>
      </c>
      <c r="M31" s="23">
        <f t="shared" si="23"/>
        <v>0</v>
      </c>
      <c r="N31" s="40">
        <v>1</v>
      </c>
      <c r="O31" s="40">
        <f>'[3]2.3施工电梯基础优化'!F22</f>
        <v>0</v>
      </c>
      <c r="P31" s="23">
        <f t="shared" si="15"/>
        <v>0</v>
      </c>
      <c r="Q31" s="23">
        <f t="shared" si="24"/>
        <v>0</v>
      </c>
      <c r="R31" s="23">
        <v>0</v>
      </c>
      <c r="S31" s="23">
        <v>0</v>
      </c>
      <c r="T31" s="23">
        <f t="shared" si="25"/>
        <v>0</v>
      </c>
      <c r="U31" s="40">
        <v>1</v>
      </c>
      <c r="V31" s="40">
        <f>'[3]2.3施工电梯基础优化'!F8</f>
        <v>36903.248</v>
      </c>
      <c r="W31" s="23">
        <f t="shared" si="26"/>
        <v>36903.248</v>
      </c>
      <c r="X31" s="43">
        <f t="shared" si="27"/>
        <v>-36903.248</v>
      </c>
      <c r="Y31" s="50"/>
      <c r="Z31" s="50"/>
      <c r="AA31" s="50"/>
      <c r="AB31" s="50"/>
      <c r="AC31" s="50"/>
      <c r="AD31" s="50"/>
      <c r="AE31" s="50"/>
      <c r="AF31" s="50"/>
      <c r="AG31" s="50"/>
      <c r="AH31" s="50"/>
    </row>
    <row r="32" spans="1:256" s="4" customFormat="1" ht="36.950000000000003" customHeight="1" outlineLevel="1">
      <c r="A32" s="17">
        <v>4</v>
      </c>
      <c r="B32" s="24" t="s">
        <v>1386</v>
      </c>
      <c r="C32" s="19" t="s">
        <v>1387</v>
      </c>
      <c r="D32" s="18" t="s">
        <v>1337</v>
      </c>
      <c r="E32" s="22">
        <f t="shared" si="17"/>
        <v>29280</v>
      </c>
      <c r="F32" s="23">
        <f t="shared" si="18"/>
        <v>0</v>
      </c>
      <c r="G32" s="23">
        <f t="shared" si="19"/>
        <v>-29280</v>
      </c>
      <c r="H32" s="23">
        <f t="shared" si="20"/>
        <v>-29280</v>
      </c>
      <c r="I32" s="23">
        <f t="shared" si="21"/>
        <v>29280</v>
      </c>
      <c r="J32" s="23">
        <f t="shared" si="22"/>
        <v>0</v>
      </c>
      <c r="K32" s="23">
        <v>0</v>
      </c>
      <c r="L32" s="23">
        <v>0</v>
      </c>
      <c r="M32" s="23">
        <f t="shared" si="23"/>
        <v>0</v>
      </c>
      <c r="N32" s="40">
        <v>1</v>
      </c>
      <c r="O32" s="40">
        <f>'[3]2.4材料堆场受力复核'!F22</f>
        <v>0</v>
      </c>
      <c r="P32" s="23">
        <f t="shared" si="15"/>
        <v>0</v>
      </c>
      <c r="Q32" s="23">
        <f t="shared" si="24"/>
        <v>0</v>
      </c>
      <c r="R32" s="23">
        <v>0</v>
      </c>
      <c r="S32" s="23">
        <v>0</v>
      </c>
      <c r="T32" s="23">
        <f t="shared" si="25"/>
        <v>0</v>
      </c>
      <c r="U32" s="40">
        <v>1</v>
      </c>
      <c r="V32" s="40">
        <f>'[3]2.4材料堆场受力复核'!F8</f>
        <v>29280</v>
      </c>
      <c r="W32" s="23">
        <f t="shared" si="26"/>
        <v>29280</v>
      </c>
      <c r="X32" s="43">
        <f t="shared" si="27"/>
        <v>-29280</v>
      </c>
      <c r="Y32" s="50"/>
      <c r="Z32" s="50"/>
      <c r="AA32" s="50"/>
      <c r="AB32" s="50"/>
      <c r="AC32" s="50"/>
      <c r="AD32" s="50"/>
      <c r="AE32" s="50"/>
      <c r="AF32" s="50"/>
      <c r="AG32" s="50"/>
      <c r="AH32" s="50"/>
    </row>
    <row r="33" spans="1:256" s="4" customFormat="1" ht="36.950000000000003" customHeight="1" outlineLevel="1">
      <c r="A33" s="17">
        <v>5</v>
      </c>
      <c r="B33" s="24" t="s">
        <v>1388</v>
      </c>
      <c r="C33" s="19" t="s">
        <v>1389</v>
      </c>
      <c r="D33" s="18" t="s">
        <v>1337</v>
      </c>
      <c r="E33" s="22">
        <f t="shared" si="17"/>
        <v>50000</v>
      </c>
      <c r="F33" s="23">
        <f t="shared" si="18"/>
        <v>0</v>
      </c>
      <c r="G33" s="23">
        <f t="shared" si="19"/>
        <v>-50000</v>
      </c>
      <c r="H33" s="23">
        <f t="shared" si="20"/>
        <v>-50000</v>
      </c>
      <c r="I33" s="23">
        <f t="shared" si="21"/>
        <v>50000</v>
      </c>
      <c r="J33" s="23">
        <f t="shared" si="22"/>
        <v>0</v>
      </c>
      <c r="K33" s="23">
        <v>0</v>
      </c>
      <c r="L33" s="23">
        <v>0</v>
      </c>
      <c r="M33" s="23">
        <f t="shared" si="23"/>
        <v>0</v>
      </c>
      <c r="N33" s="40">
        <v>1</v>
      </c>
      <c r="O33" s="23">
        <v>0</v>
      </c>
      <c r="P33" s="23">
        <f t="shared" si="15"/>
        <v>0</v>
      </c>
      <c r="Q33" s="23">
        <f t="shared" si="24"/>
        <v>0</v>
      </c>
      <c r="R33" s="23">
        <v>0</v>
      </c>
      <c r="S33" s="23">
        <v>0</v>
      </c>
      <c r="T33" s="23">
        <f t="shared" si="25"/>
        <v>0</v>
      </c>
      <c r="U33" s="40">
        <v>1</v>
      </c>
      <c r="V33" s="23">
        <v>50000</v>
      </c>
      <c r="W33" s="23">
        <f t="shared" si="26"/>
        <v>50000</v>
      </c>
      <c r="X33" s="43">
        <f t="shared" si="27"/>
        <v>-50000</v>
      </c>
      <c r="Y33" s="50"/>
      <c r="Z33" s="50"/>
      <c r="AA33" s="50"/>
      <c r="AB33" s="50"/>
      <c r="AC33" s="50"/>
      <c r="AD33" s="50"/>
      <c r="AE33" s="50"/>
      <c r="AF33" s="50"/>
      <c r="AG33" s="50"/>
      <c r="AH33" s="50"/>
    </row>
    <row r="34" spans="1:256" s="4" customFormat="1" ht="36.950000000000003" customHeight="1" outlineLevel="1">
      <c r="A34" s="17">
        <v>6</v>
      </c>
      <c r="B34" s="24" t="s">
        <v>1390</v>
      </c>
      <c r="C34" s="19" t="s">
        <v>1391</v>
      </c>
      <c r="D34" s="18" t="s">
        <v>1354</v>
      </c>
      <c r="E34" s="22">
        <f t="shared" si="17"/>
        <v>900000</v>
      </c>
      <c r="F34" s="23">
        <f t="shared" si="18"/>
        <v>0</v>
      </c>
      <c r="G34" s="23">
        <f t="shared" si="19"/>
        <v>-900000</v>
      </c>
      <c r="H34" s="23">
        <f t="shared" si="20"/>
        <v>-900000</v>
      </c>
      <c r="I34" s="23">
        <f t="shared" si="21"/>
        <v>900000</v>
      </c>
      <c r="J34" s="23">
        <f t="shared" si="22"/>
        <v>0</v>
      </c>
      <c r="K34" s="23">
        <v>0</v>
      </c>
      <c r="L34" s="23">
        <v>0</v>
      </c>
      <c r="M34" s="23">
        <f t="shared" si="23"/>
        <v>0</v>
      </c>
      <c r="N34" s="40">
        <v>1</v>
      </c>
      <c r="O34" s="23">
        <f>'[3]2.6临建周期缩短'!F22</f>
        <v>0</v>
      </c>
      <c r="P34" s="23">
        <f t="shared" si="15"/>
        <v>0</v>
      </c>
      <c r="Q34" s="23">
        <f t="shared" si="24"/>
        <v>0</v>
      </c>
      <c r="R34" s="23">
        <v>0</v>
      </c>
      <c r="S34" s="23">
        <v>0</v>
      </c>
      <c r="T34" s="23">
        <f t="shared" si="25"/>
        <v>0</v>
      </c>
      <c r="U34" s="40">
        <v>1</v>
      </c>
      <c r="V34" s="23">
        <f>'[3]2.6临建周期缩短'!F8</f>
        <v>900000</v>
      </c>
      <c r="W34" s="23">
        <f t="shared" si="26"/>
        <v>900000</v>
      </c>
      <c r="X34" s="43">
        <f t="shared" si="27"/>
        <v>-900000</v>
      </c>
      <c r="Y34" s="50"/>
      <c r="Z34" s="50"/>
      <c r="AA34" s="50"/>
      <c r="AB34" s="50"/>
      <c r="AC34" s="50"/>
      <c r="AD34" s="50"/>
      <c r="AE34" s="50"/>
      <c r="AF34" s="50"/>
      <c r="AG34" s="50"/>
      <c r="AH34" s="50"/>
    </row>
    <row r="35" spans="1:256" s="4" customFormat="1" ht="36.950000000000003" customHeight="1" outlineLevel="1">
      <c r="A35" s="17">
        <v>7</v>
      </c>
      <c r="B35" s="24" t="s">
        <v>1392</v>
      </c>
      <c r="C35" s="19" t="s">
        <v>1393</v>
      </c>
      <c r="D35" s="18" t="s">
        <v>1337</v>
      </c>
      <c r="E35" s="22">
        <f t="shared" si="17"/>
        <v>95010.659199999995</v>
      </c>
      <c r="F35" s="23">
        <f t="shared" si="18"/>
        <v>0</v>
      </c>
      <c r="G35" s="23">
        <f t="shared" si="19"/>
        <v>-95010.659199999995</v>
      </c>
      <c r="H35" s="23">
        <f t="shared" si="20"/>
        <v>-95010.659199999995</v>
      </c>
      <c r="I35" s="23">
        <f t="shared" si="21"/>
        <v>95010.659199999995</v>
      </c>
      <c r="J35" s="23">
        <f t="shared" si="22"/>
        <v>0</v>
      </c>
      <c r="K35" s="23">
        <v>0</v>
      </c>
      <c r="L35" s="23">
        <v>0</v>
      </c>
      <c r="M35" s="23">
        <f t="shared" si="23"/>
        <v>0</v>
      </c>
      <c r="N35" s="40">
        <v>1</v>
      </c>
      <c r="O35" s="23">
        <f>'[3]2.7土方标高优化'!F22</f>
        <v>0</v>
      </c>
      <c r="P35" s="23">
        <f t="shared" si="15"/>
        <v>0</v>
      </c>
      <c r="Q35" s="23">
        <f t="shared" si="24"/>
        <v>0</v>
      </c>
      <c r="R35" s="23">
        <v>0</v>
      </c>
      <c r="S35" s="23">
        <v>0</v>
      </c>
      <c r="T35" s="23">
        <f t="shared" si="25"/>
        <v>0</v>
      </c>
      <c r="U35" s="40">
        <v>1</v>
      </c>
      <c r="V35" s="23">
        <f>'[3]2.7土方标高优化'!F8</f>
        <v>95010.659199999995</v>
      </c>
      <c r="W35" s="23">
        <f t="shared" si="26"/>
        <v>95010.659199999995</v>
      </c>
      <c r="X35" s="43">
        <f t="shared" si="27"/>
        <v>-95010.659199999995</v>
      </c>
      <c r="Y35" s="50"/>
      <c r="Z35" s="50"/>
      <c r="AA35" s="50"/>
      <c r="AB35" s="50"/>
      <c r="AC35" s="50"/>
      <c r="AD35" s="50"/>
      <c r="AE35" s="50"/>
      <c r="AF35" s="50"/>
      <c r="AG35" s="50"/>
      <c r="AH35" s="50"/>
    </row>
    <row r="36" spans="1:256" s="3" customFormat="1" ht="36.950000000000003" customHeight="1" outlineLevel="1">
      <c r="A36" s="17">
        <v>8</v>
      </c>
      <c r="B36" s="24" t="s">
        <v>1394</v>
      </c>
      <c r="C36" s="19" t="s">
        <v>1395</v>
      </c>
      <c r="D36" s="18" t="s">
        <v>1337</v>
      </c>
      <c r="E36" s="22">
        <f t="shared" si="17"/>
        <v>279766.98399999994</v>
      </c>
      <c r="F36" s="23">
        <f t="shared" si="18"/>
        <v>279766.98399999994</v>
      </c>
      <c r="G36" s="23">
        <f t="shared" si="19"/>
        <v>0</v>
      </c>
      <c r="H36" s="23">
        <f t="shared" si="20"/>
        <v>0</v>
      </c>
      <c r="I36" s="23">
        <f t="shared" si="21"/>
        <v>279766.98399999994</v>
      </c>
      <c r="J36" s="23">
        <f t="shared" si="22"/>
        <v>279766.98399999994</v>
      </c>
      <c r="K36" s="23">
        <v>1</v>
      </c>
      <c r="L36" s="23">
        <f>'[3]2.8止水螺杆'!F27</f>
        <v>279766.98399999994</v>
      </c>
      <c r="M36" s="23">
        <f t="shared" si="23"/>
        <v>279766.98399999994</v>
      </c>
      <c r="N36" s="40">
        <v>1</v>
      </c>
      <c r="O36" s="23">
        <v>0</v>
      </c>
      <c r="P36" s="23">
        <f t="shared" si="15"/>
        <v>0</v>
      </c>
      <c r="Q36" s="23">
        <f t="shared" si="24"/>
        <v>279766.98399999994</v>
      </c>
      <c r="R36" s="23">
        <v>0</v>
      </c>
      <c r="S36" s="23">
        <v>0</v>
      </c>
      <c r="T36" s="23">
        <f t="shared" si="25"/>
        <v>0</v>
      </c>
      <c r="U36" s="40">
        <v>1</v>
      </c>
      <c r="V36" s="23">
        <v>0</v>
      </c>
      <c r="W36" s="23">
        <f t="shared" si="26"/>
        <v>0</v>
      </c>
      <c r="X36" s="43">
        <f t="shared" si="27"/>
        <v>0</v>
      </c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</row>
    <row r="37" spans="1:256" s="4" customFormat="1" ht="36.950000000000003" customHeight="1" outlineLevel="1">
      <c r="A37" s="17">
        <v>9</v>
      </c>
      <c r="B37" s="24" t="s">
        <v>1396</v>
      </c>
      <c r="C37" s="19" t="s">
        <v>1397</v>
      </c>
      <c r="D37" s="18" t="s">
        <v>1342</v>
      </c>
      <c r="E37" s="22">
        <f t="shared" si="17"/>
        <v>95091.96</v>
      </c>
      <c r="F37" s="23">
        <f t="shared" si="18"/>
        <v>0</v>
      </c>
      <c r="G37" s="23">
        <f t="shared" si="19"/>
        <v>-95091.96</v>
      </c>
      <c r="H37" s="23">
        <f t="shared" si="20"/>
        <v>-95091.96</v>
      </c>
      <c r="I37" s="23">
        <f t="shared" si="21"/>
        <v>95091.96</v>
      </c>
      <c r="J37" s="23">
        <f t="shared" si="22"/>
        <v>0</v>
      </c>
      <c r="K37" s="23">
        <v>0</v>
      </c>
      <c r="L37" s="23">
        <v>0</v>
      </c>
      <c r="M37" s="23">
        <f t="shared" si="23"/>
        <v>0</v>
      </c>
      <c r="N37" s="40">
        <v>1</v>
      </c>
      <c r="O37" s="40">
        <v>0</v>
      </c>
      <c r="P37" s="23">
        <f t="shared" si="15"/>
        <v>0</v>
      </c>
      <c r="Q37" s="23">
        <f t="shared" si="24"/>
        <v>0</v>
      </c>
      <c r="R37" s="23">
        <v>0</v>
      </c>
      <c r="S37" s="23">
        <v>0</v>
      </c>
      <c r="T37" s="23">
        <f t="shared" si="25"/>
        <v>0</v>
      </c>
      <c r="U37" s="23">
        <v>1</v>
      </c>
      <c r="V37" s="23">
        <f>'[3]2.9外墙腻子穿插施工'!F8</f>
        <v>95091.96</v>
      </c>
      <c r="W37" s="23">
        <f t="shared" si="26"/>
        <v>95091.96</v>
      </c>
      <c r="X37" s="43">
        <f t="shared" si="27"/>
        <v>-95091.96</v>
      </c>
      <c r="Y37" s="50"/>
      <c r="Z37" s="50"/>
      <c r="AA37" s="50"/>
      <c r="AB37" s="50"/>
      <c r="AC37" s="50"/>
      <c r="AD37" s="50"/>
      <c r="AE37" s="50"/>
      <c r="AF37" s="50"/>
      <c r="AG37" s="50"/>
      <c r="AH37" s="50"/>
    </row>
    <row r="38" spans="1:256" s="4" customFormat="1" ht="36.950000000000003" customHeight="1" outlineLevel="1">
      <c r="A38" s="17">
        <v>10</v>
      </c>
      <c r="B38" s="24" t="s">
        <v>1398</v>
      </c>
      <c r="C38" s="19" t="s">
        <v>1399</v>
      </c>
      <c r="D38" s="18" t="s">
        <v>1354</v>
      </c>
      <c r="E38" s="22">
        <f t="shared" si="17"/>
        <v>7200</v>
      </c>
      <c r="F38" s="23">
        <f t="shared" si="18"/>
        <v>0</v>
      </c>
      <c r="G38" s="23">
        <f t="shared" si="19"/>
        <v>-7200</v>
      </c>
      <c r="H38" s="23">
        <f t="shared" si="20"/>
        <v>-7200</v>
      </c>
      <c r="I38" s="23">
        <f t="shared" si="21"/>
        <v>7200</v>
      </c>
      <c r="J38" s="23">
        <f t="shared" si="22"/>
        <v>0</v>
      </c>
      <c r="K38" s="21">
        <v>0</v>
      </c>
      <c r="L38" s="21">
        <v>0</v>
      </c>
      <c r="M38" s="23">
        <f t="shared" si="23"/>
        <v>0</v>
      </c>
      <c r="N38" s="40">
        <v>1</v>
      </c>
      <c r="O38" s="23">
        <v>0</v>
      </c>
      <c r="P38" s="23">
        <f t="shared" si="15"/>
        <v>0</v>
      </c>
      <c r="Q38" s="23">
        <f t="shared" si="24"/>
        <v>0</v>
      </c>
      <c r="R38" s="23">
        <v>0</v>
      </c>
      <c r="S38" s="23">
        <v>0</v>
      </c>
      <c r="T38" s="23">
        <f t="shared" si="25"/>
        <v>0</v>
      </c>
      <c r="U38" s="40">
        <v>1</v>
      </c>
      <c r="V38" s="23">
        <f>'[3]2.10屋面做法优化'!F8</f>
        <v>7200</v>
      </c>
      <c r="W38" s="23">
        <f t="shared" si="26"/>
        <v>7200</v>
      </c>
      <c r="X38" s="43">
        <f t="shared" si="27"/>
        <v>-7200</v>
      </c>
      <c r="Y38" s="50"/>
      <c r="Z38" s="50"/>
      <c r="AA38" s="50"/>
      <c r="AB38" s="50"/>
      <c r="AC38" s="50"/>
      <c r="AD38" s="50"/>
      <c r="AE38" s="50"/>
      <c r="AF38" s="50"/>
      <c r="AG38" s="50"/>
      <c r="AH38" s="50"/>
    </row>
    <row r="39" spans="1:256" s="4" customFormat="1" ht="36.950000000000003" customHeight="1" outlineLevel="1">
      <c r="A39" s="17">
        <v>11</v>
      </c>
      <c r="B39" s="24" t="s">
        <v>1400</v>
      </c>
      <c r="C39" s="19" t="s">
        <v>1401</v>
      </c>
      <c r="D39" s="18" t="s">
        <v>1354</v>
      </c>
      <c r="E39" s="22">
        <f t="shared" si="17"/>
        <v>357900</v>
      </c>
      <c r="F39" s="23">
        <f t="shared" si="18"/>
        <v>0</v>
      </c>
      <c r="G39" s="23">
        <f t="shared" si="19"/>
        <v>-357900</v>
      </c>
      <c r="H39" s="23">
        <f t="shared" si="20"/>
        <v>-1383000</v>
      </c>
      <c r="I39" s="23">
        <f t="shared" si="21"/>
        <v>357900</v>
      </c>
      <c r="J39" s="23">
        <f t="shared" si="22"/>
        <v>-1025100</v>
      </c>
      <c r="K39" s="21">
        <v>0</v>
      </c>
      <c r="L39" s="21">
        <v>0</v>
      </c>
      <c r="M39" s="23">
        <f t="shared" si="23"/>
        <v>0</v>
      </c>
      <c r="N39" s="40">
        <v>1</v>
      </c>
      <c r="O39" s="40">
        <f>'[3]2.11建筑地面做法优化'!F22</f>
        <v>1025100</v>
      </c>
      <c r="P39" s="23">
        <f t="shared" si="15"/>
        <v>1025100</v>
      </c>
      <c r="Q39" s="23">
        <f t="shared" si="24"/>
        <v>-1025100</v>
      </c>
      <c r="R39" s="23">
        <v>0</v>
      </c>
      <c r="S39" s="23">
        <v>0</v>
      </c>
      <c r="T39" s="23">
        <f t="shared" si="25"/>
        <v>0</v>
      </c>
      <c r="U39" s="40">
        <v>1</v>
      </c>
      <c r="V39" s="40">
        <f>'[3]2.11建筑地面做法优化'!F8</f>
        <v>1383000</v>
      </c>
      <c r="W39" s="23">
        <f t="shared" si="26"/>
        <v>1383000</v>
      </c>
      <c r="X39" s="43">
        <f t="shared" si="27"/>
        <v>-1383000</v>
      </c>
      <c r="Y39" s="50"/>
      <c r="Z39" s="50"/>
      <c r="AA39" s="50"/>
      <c r="AB39" s="50"/>
      <c r="AC39" s="50"/>
      <c r="AD39" s="50"/>
      <c r="AE39" s="50"/>
      <c r="AF39" s="50"/>
      <c r="AG39" s="50"/>
      <c r="AH39" s="50"/>
    </row>
    <row r="40" spans="1:256" s="3" customFormat="1" ht="36.950000000000003" customHeight="1" outlineLevel="1">
      <c r="A40" s="17">
        <v>12</v>
      </c>
      <c r="B40" s="24" t="s">
        <v>1402</v>
      </c>
      <c r="C40" s="19" t="s">
        <v>1403</v>
      </c>
      <c r="D40" s="18" t="s">
        <v>1354</v>
      </c>
      <c r="E40" s="22">
        <f t="shared" si="17"/>
        <v>63000</v>
      </c>
      <c r="F40" s="23">
        <f t="shared" si="18"/>
        <v>0</v>
      </c>
      <c r="G40" s="23">
        <f t="shared" si="19"/>
        <v>-63000</v>
      </c>
      <c r="H40" s="23">
        <f t="shared" si="20"/>
        <v>-126000</v>
      </c>
      <c r="I40" s="23">
        <f t="shared" si="21"/>
        <v>63000</v>
      </c>
      <c r="J40" s="23">
        <f t="shared" si="22"/>
        <v>-63000</v>
      </c>
      <c r="K40" s="21">
        <v>0</v>
      </c>
      <c r="L40" s="21">
        <v>0</v>
      </c>
      <c r="M40" s="23">
        <f t="shared" si="23"/>
        <v>0</v>
      </c>
      <c r="N40" s="40">
        <v>1</v>
      </c>
      <c r="O40" s="40">
        <f>'[3]2.12保温砂浆墙面'!F22</f>
        <v>63000</v>
      </c>
      <c r="P40" s="23">
        <f t="shared" si="15"/>
        <v>63000</v>
      </c>
      <c r="Q40" s="23">
        <f t="shared" si="24"/>
        <v>-63000</v>
      </c>
      <c r="R40" s="23">
        <v>0</v>
      </c>
      <c r="S40" s="23">
        <v>0</v>
      </c>
      <c r="T40" s="23">
        <f t="shared" si="25"/>
        <v>0</v>
      </c>
      <c r="U40" s="40">
        <v>1</v>
      </c>
      <c r="V40" s="40">
        <f>'[3]2.12保温砂浆墙面'!F8</f>
        <v>126000</v>
      </c>
      <c r="W40" s="23">
        <f t="shared" si="26"/>
        <v>126000</v>
      </c>
      <c r="X40" s="43">
        <f t="shared" si="27"/>
        <v>-126000</v>
      </c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</row>
    <row r="41" spans="1:256" s="4" customFormat="1" ht="36.950000000000003" customHeight="1" outlineLevel="1">
      <c r="A41" s="17">
        <v>13</v>
      </c>
      <c r="B41" s="18" t="s">
        <v>1404</v>
      </c>
      <c r="C41" s="19" t="s">
        <v>1405</v>
      </c>
      <c r="D41" s="18" t="s">
        <v>1354</v>
      </c>
      <c r="E41" s="22">
        <f t="shared" si="17"/>
        <v>104023.00000000006</v>
      </c>
      <c r="F41" s="23">
        <f t="shared" si="18"/>
        <v>0</v>
      </c>
      <c r="G41" s="23">
        <f t="shared" si="19"/>
        <v>-104023.00000000006</v>
      </c>
      <c r="H41" s="23">
        <f t="shared" si="20"/>
        <v>-624138</v>
      </c>
      <c r="I41" s="23">
        <f t="shared" si="21"/>
        <v>104023.00000000006</v>
      </c>
      <c r="J41" s="23">
        <f t="shared" si="22"/>
        <v>-520114.99999999994</v>
      </c>
      <c r="K41" s="23">
        <v>0</v>
      </c>
      <c r="L41" s="23">
        <v>0</v>
      </c>
      <c r="M41" s="23">
        <f t="shared" si="23"/>
        <v>0</v>
      </c>
      <c r="N41" s="40">
        <v>1</v>
      </c>
      <c r="O41" s="40">
        <f>'[3]2.13地坪漆做法优化'!F22</f>
        <v>520114.99999999994</v>
      </c>
      <c r="P41" s="23">
        <f t="shared" si="15"/>
        <v>520114.99999999994</v>
      </c>
      <c r="Q41" s="23">
        <f t="shared" si="24"/>
        <v>-520114.99999999994</v>
      </c>
      <c r="R41" s="23">
        <v>0</v>
      </c>
      <c r="S41" s="23">
        <v>0</v>
      </c>
      <c r="T41" s="23">
        <f t="shared" si="25"/>
        <v>0</v>
      </c>
      <c r="U41" s="40">
        <v>1</v>
      </c>
      <c r="V41" s="40">
        <f>'[3]2.13地坪漆做法优化'!F8</f>
        <v>624138</v>
      </c>
      <c r="W41" s="23">
        <f t="shared" si="26"/>
        <v>624138</v>
      </c>
      <c r="X41" s="43">
        <f t="shared" si="27"/>
        <v>-624138</v>
      </c>
      <c r="Y41" s="50"/>
      <c r="Z41" s="50"/>
      <c r="AA41" s="50"/>
      <c r="AB41" s="50"/>
      <c r="AC41" s="50"/>
      <c r="AD41" s="50"/>
      <c r="AE41" s="50"/>
      <c r="AF41" s="50"/>
      <c r="AG41" s="50"/>
      <c r="AH41" s="50"/>
    </row>
    <row r="42" spans="1:256" s="4" customFormat="1" ht="36.950000000000003" customHeight="1" outlineLevel="1">
      <c r="A42" s="17">
        <v>14</v>
      </c>
      <c r="B42" s="18" t="s">
        <v>1406</v>
      </c>
      <c r="C42" s="19" t="s">
        <v>1407</v>
      </c>
      <c r="D42" s="18" t="s">
        <v>1337</v>
      </c>
      <c r="E42" s="22">
        <f t="shared" si="17"/>
        <v>166046.76</v>
      </c>
      <c r="F42" s="23">
        <f t="shared" si="18"/>
        <v>0</v>
      </c>
      <c r="G42" s="23">
        <f t="shared" si="19"/>
        <v>-166046.76</v>
      </c>
      <c r="H42" s="23">
        <f t="shared" si="20"/>
        <v>-322868.7</v>
      </c>
      <c r="I42" s="23">
        <f t="shared" si="21"/>
        <v>166046.76</v>
      </c>
      <c r="J42" s="23">
        <f t="shared" si="22"/>
        <v>-156821.94</v>
      </c>
      <c r="K42" s="23">
        <v>0</v>
      </c>
      <c r="L42" s="23">
        <v>0</v>
      </c>
      <c r="M42" s="23">
        <f t="shared" si="23"/>
        <v>0</v>
      </c>
      <c r="N42" s="40">
        <v>1</v>
      </c>
      <c r="O42" s="23">
        <f>'[3]2.14首层~5层落地式脚手架'!F21</f>
        <v>156821.94</v>
      </c>
      <c r="P42" s="23">
        <f t="shared" si="15"/>
        <v>156821.94</v>
      </c>
      <c r="Q42" s="23">
        <f t="shared" si="24"/>
        <v>-156821.94</v>
      </c>
      <c r="R42" s="23">
        <v>0</v>
      </c>
      <c r="S42" s="23">
        <v>0</v>
      </c>
      <c r="T42" s="23">
        <f t="shared" si="25"/>
        <v>0</v>
      </c>
      <c r="U42" s="40">
        <v>1</v>
      </c>
      <c r="V42" s="23">
        <f>'[3]2.14首层~5层落地式脚手架'!F7</f>
        <v>322868.7</v>
      </c>
      <c r="W42" s="23">
        <f t="shared" si="26"/>
        <v>322868.7</v>
      </c>
      <c r="X42" s="43">
        <f t="shared" si="27"/>
        <v>-322868.7</v>
      </c>
      <c r="Y42" s="50"/>
      <c r="Z42" s="50"/>
      <c r="AA42" s="50"/>
      <c r="AB42" s="50"/>
      <c r="AC42" s="50"/>
      <c r="AD42" s="50"/>
      <c r="AE42" s="50"/>
      <c r="AF42" s="50"/>
      <c r="AG42" s="50"/>
      <c r="AH42" s="50"/>
    </row>
    <row r="43" spans="1:256" s="4" customFormat="1" ht="36.950000000000003" customHeight="1" outlineLevel="1">
      <c r="A43" s="17">
        <v>15</v>
      </c>
      <c r="B43" s="18" t="s">
        <v>1408</v>
      </c>
      <c r="C43" s="19" t="s">
        <v>1409</v>
      </c>
      <c r="D43" s="18" t="s">
        <v>1354</v>
      </c>
      <c r="E43" s="22">
        <f t="shared" si="17"/>
        <v>1152202.2749999999</v>
      </c>
      <c r="F43" s="23">
        <f t="shared" si="18"/>
        <v>904087.27499999991</v>
      </c>
      <c r="G43" s="23">
        <f t="shared" si="19"/>
        <v>-248115</v>
      </c>
      <c r="H43" s="23">
        <f t="shared" si="20"/>
        <v>-240671.55</v>
      </c>
      <c r="I43" s="23">
        <f t="shared" si="21"/>
        <v>1152202.2749999999</v>
      </c>
      <c r="J43" s="23">
        <f t="shared" si="22"/>
        <v>911530.72499999986</v>
      </c>
      <c r="K43" s="23">
        <v>1</v>
      </c>
      <c r="L43" s="23">
        <f>'[3]2.15屋面防护架'!F26</f>
        <v>1174240.7249999999</v>
      </c>
      <c r="M43" s="23">
        <f t="shared" si="23"/>
        <v>1174240.7249999999</v>
      </c>
      <c r="N43" s="40">
        <v>1</v>
      </c>
      <c r="O43" s="40">
        <f>'[3]2.15屋面防护架'!F21</f>
        <v>262710</v>
      </c>
      <c r="P43" s="23">
        <f t="shared" si="15"/>
        <v>262710</v>
      </c>
      <c r="Q43" s="23">
        <f t="shared" si="24"/>
        <v>911530.72499999986</v>
      </c>
      <c r="R43" s="23">
        <v>1</v>
      </c>
      <c r="S43" s="23">
        <f>'[3]2.15屋面防护架'!F10</f>
        <v>270153.45</v>
      </c>
      <c r="T43" s="23">
        <f t="shared" si="25"/>
        <v>270153.45</v>
      </c>
      <c r="U43" s="23">
        <v>1</v>
      </c>
      <c r="V43" s="23">
        <f>'[3]2.15屋面防护架'!F7</f>
        <v>510825</v>
      </c>
      <c r="W43" s="23">
        <f t="shared" si="26"/>
        <v>510825</v>
      </c>
      <c r="X43" s="43">
        <f t="shared" si="27"/>
        <v>-240671.55</v>
      </c>
      <c r="Y43" s="50"/>
      <c r="Z43" s="50"/>
      <c r="AA43" s="50"/>
      <c r="AB43" s="50"/>
      <c r="AC43" s="50"/>
      <c r="AD43" s="50"/>
      <c r="AE43" s="50"/>
      <c r="AF43" s="50"/>
      <c r="AG43" s="50"/>
      <c r="AH43" s="50"/>
    </row>
    <row r="44" spans="1:256" s="4" customFormat="1" ht="36.950000000000003" customHeight="1" outlineLevel="1">
      <c r="A44" s="17">
        <v>16</v>
      </c>
      <c r="B44" s="18" t="s">
        <v>1410</v>
      </c>
      <c r="C44" s="19" t="s">
        <v>1411</v>
      </c>
      <c r="D44" s="18" t="s">
        <v>1354</v>
      </c>
      <c r="E44" s="22">
        <f t="shared" si="17"/>
        <v>10000</v>
      </c>
      <c r="F44" s="23">
        <f t="shared" si="18"/>
        <v>0</v>
      </c>
      <c r="G44" s="23">
        <f t="shared" si="19"/>
        <v>-10000</v>
      </c>
      <c r="H44" s="23">
        <f t="shared" si="20"/>
        <v>-10000</v>
      </c>
      <c r="I44" s="23">
        <f t="shared" si="21"/>
        <v>10000</v>
      </c>
      <c r="J44" s="23">
        <f t="shared" si="22"/>
        <v>0</v>
      </c>
      <c r="K44" s="23">
        <v>0</v>
      </c>
      <c r="L44" s="23">
        <v>0</v>
      </c>
      <c r="M44" s="23">
        <f t="shared" si="23"/>
        <v>0</v>
      </c>
      <c r="N44" s="40">
        <v>0</v>
      </c>
      <c r="O44" s="23">
        <v>0</v>
      </c>
      <c r="P44" s="23">
        <f t="shared" si="15"/>
        <v>0</v>
      </c>
      <c r="Q44" s="23">
        <f t="shared" si="24"/>
        <v>0</v>
      </c>
      <c r="R44" s="23">
        <v>0</v>
      </c>
      <c r="S44" s="23">
        <v>0</v>
      </c>
      <c r="T44" s="23">
        <f t="shared" si="25"/>
        <v>0</v>
      </c>
      <c r="U44" s="23">
        <v>1</v>
      </c>
      <c r="V44" s="23">
        <f>'[3]2.16吊篮方案优化'!F7</f>
        <v>10000</v>
      </c>
      <c r="W44" s="23">
        <f t="shared" si="26"/>
        <v>10000</v>
      </c>
      <c r="X44" s="43">
        <f t="shared" si="27"/>
        <v>-10000</v>
      </c>
      <c r="Y44" s="50"/>
      <c r="Z44" s="50"/>
      <c r="AA44" s="50"/>
      <c r="AB44" s="50"/>
      <c r="AC44" s="50"/>
      <c r="AD44" s="50"/>
      <c r="AE44" s="50"/>
      <c r="AF44" s="50"/>
      <c r="AG44" s="50"/>
      <c r="AH44" s="50"/>
    </row>
    <row r="45" spans="1:256" s="4" customFormat="1" ht="36.950000000000003" customHeight="1" outlineLevel="1">
      <c r="A45" s="17">
        <v>17</v>
      </c>
      <c r="B45" s="18" t="s">
        <v>1412</v>
      </c>
      <c r="C45" s="19" t="s">
        <v>1413</v>
      </c>
      <c r="D45" s="18" t="s">
        <v>1337</v>
      </c>
      <c r="E45" s="22">
        <f t="shared" si="17"/>
        <v>20000</v>
      </c>
      <c r="F45" s="23">
        <f t="shared" si="18"/>
        <v>0</v>
      </c>
      <c r="G45" s="23">
        <f t="shared" si="19"/>
        <v>-20000</v>
      </c>
      <c r="H45" s="23">
        <f t="shared" si="20"/>
        <v>-20000</v>
      </c>
      <c r="I45" s="23">
        <f t="shared" si="21"/>
        <v>20000</v>
      </c>
      <c r="J45" s="23">
        <f t="shared" si="22"/>
        <v>0</v>
      </c>
      <c r="K45" s="23">
        <v>0</v>
      </c>
      <c r="L45" s="23">
        <v>0</v>
      </c>
      <c r="M45" s="23">
        <f t="shared" si="23"/>
        <v>0</v>
      </c>
      <c r="N45" s="40">
        <v>1</v>
      </c>
      <c r="O45" s="40">
        <v>0</v>
      </c>
      <c r="P45" s="23">
        <f t="shared" si="15"/>
        <v>0</v>
      </c>
      <c r="Q45" s="23">
        <f t="shared" si="24"/>
        <v>0</v>
      </c>
      <c r="R45" s="23">
        <v>0</v>
      </c>
      <c r="S45" s="23">
        <v>0</v>
      </c>
      <c r="T45" s="23">
        <f t="shared" si="25"/>
        <v>0</v>
      </c>
      <c r="U45" s="40">
        <v>1</v>
      </c>
      <c r="V45" s="40">
        <v>20000</v>
      </c>
      <c r="W45" s="23">
        <f t="shared" si="26"/>
        <v>20000</v>
      </c>
      <c r="X45" s="43">
        <f t="shared" si="27"/>
        <v>-20000</v>
      </c>
      <c r="Y45" s="50"/>
      <c r="Z45" s="50"/>
      <c r="AA45" s="50"/>
      <c r="AB45" s="50"/>
      <c r="AC45" s="50"/>
      <c r="AD45" s="50"/>
      <c r="AE45" s="50"/>
      <c r="AF45" s="50"/>
      <c r="AG45" s="50"/>
      <c r="AH45" s="50"/>
    </row>
    <row r="46" spans="1:256" s="4" customFormat="1" ht="36.950000000000003" customHeight="1" outlineLevel="1">
      <c r="A46" s="17">
        <v>18</v>
      </c>
      <c r="B46" s="18" t="s">
        <v>1414</v>
      </c>
      <c r="C46" s="19" t="s">
        <v>1415</v>
      </c>
      <c r="D46" s="18" t="s">
        <v>1354</v>
      </c>
      <c r="E46" s="22">
        <f t="shared" si="17"/>
        <v>121217.30000000002</v>
      </c>
      <c r="F46" s="23">
        <f t="shared" si="18"/>
        <v>0</v>
      </c>
      <c r="G46" s="23">
        <f t="shared" si="19"/>
        <v>-121217.30000000002</v>
      </c>
      <c r="H46" s="23">
        <f t="shared" si="20"/>
        <v>-339408.44</v>
      </c>
      <c r="I46" s="23">
        <f t="shared" si="21"/>
        <v>121217.30000000002</v>
      </c>
      <c r="J46" s="23">
        <f t="shared" si="22"/>
        <v>-218191.13999999998</v>
      </c>
      <c r="K46" s="23">
        <v>0</v>
      </c>
      <c r="L46" s="23">
        <v>0</v>
      </c>
      <c r="M46" s="23">
        <f t="shared" si="23"/>
        <v>0</v>
      </c>
      <c r="N46" s="40">
        <v>1</v>
      </c>
      <c r="O46" s="23">
        <f>'[3]2.18涂料施工优化'!F21</f>
        <v>218191.13999999998</v>
      </c>
      <c r="P46" s="23">
        <f t="shared" si="15"/>
        <v>218191.13999999998</v>
      </c>
      <c r="Q46" s="23">
        <f t="shared" si="24"/>
        <v>-218191.13999999998</v>
      </c>
      <c r="R46" s="23">
        <v>0</v>
      </c>
      <c r="S46" s="23">
        <v>0</v>
      </c>
      <c r="T46" s="23">
        <f t="shared" si="25"/>
        <v>0</v>
      </c>
      <c r="U46" s="40">
        <v>1</v>
      </c>
      <c r="V46" s="23">
        <f>'[3]2.18涂料施工优化'!F7</f>
        <v>339408.44</v>
      </c>
      <c r="W46" s="23">
        <f t="shared" si="26"/>
        <v>339408.44</v>
      </c>
      <c r="X46" s="23">
        <f t="shared" si="27"/>
        <v>-339408.44</v>
      </c>
      <c r="Y46" s="50"/>
      <c r="Z46" s="50"/>
      <c r="AA46" s="50"/>
      <c r="AB46" s="50"/>
      <c r="AC46" s="50"/>
      <c r="AD46" s="50"/>
      <c r="AE46" s="50"/>
      <c r="AF46" s="50"/>
      <c r="AG46" s="50"/>
      <c r="AH46" s="50"/>
    </row>
    <row r="47" spans="1:256" ht="67.5" outlineLevel="1">
      <c r="A47" s="34">
        <v>19</v>
      </c>
      <c r="B47" s="18" t="s">
        <v>1416</v>
      </c>
      <c r="C47" s="19" t="s">
        <v>1417</v>
      </c>
      <c r="D47" s="18" t="s">
        <v>1342</v>
      </c>
      <c r="E47" s="35">
        <f t="shared" si="17"/>
        <v>110000</v>
      </c>
      <c r="F47" s="36">
        <f t="shared" si="18"/>
        <v>0</v>
      </c>
      <c r="G47" s="36">
        <f t="shared" si="19"/>
        <v>-110000</v>
      </c>
      <c r="H47" s="36">
        <f t="shared" si="20"/>
        <v>-110000</v>
      </c>
      <c r="I47" s="36">
        <f t="shared" si="21"/>
        <v>110000</v>
      </c>
      <c r="J47" s="36">
        <f t="shared" si="22"/>
        <v>0</v>
      </c>
      <c r="K47" s="36">
        <v>0</v>
      </c>
      <c r="L47" s="36">
        <v>0</v>
      </c>
      <c r="M47" s="36">
        <f t="shared" si="23"/>
        <v>0</v>
      </c>
      <c r="N47" s="41">
        <v>0</v>
      </c>
      <c r="O47" s="36">
        <v>110000</v>
      </c>
      <c r="P47" s="36">
        <f t="shared" si="15"/>
        <v>0</v>
      </c>
      <c r="Q47" s="36">
        <f t="shared" si="24"/>
        <v>0</v>
      </c>
      <c r="R47" s="36">
        <v>0</v>
      </c>
      <c r="S47" s="36">
        <v>0</v>
      </c>
      <c r="T47" s="36">
        <f t="shared" si="25"/>
        <v>0</v>
      </c>
      <c r="U47" s="41">
        <v>1</v>
      </c>
      <c r="V47" s="36">
        <v>110000</v>
      </c>
      <c r="W47" s="36">
        <f t="shared" si="26"/>
        <v>110000</v>
      </c>
      <c r="X47" s="36">
        <f t="shared" si="27"/>
        <v>-110000</v>
      </c>
      <c r="Y47" s="51"/>
      <c r="Z47" s="51"/>
      <c r="AA47" s="51"/>
      <c r="AB47" s="51"/>
      <c r="AC47" s="51"/>
      <c r="AD47" s="51"/>
      <c r="AE47" s="51"/>
      <c r="AF47" s="51"/>
      <c r="AG47" s="51"/>
      <c r="AH47" s="51"/>
    </row>
    <row r="48" spans="1:256" ht="67.5" outlineLevel="1">
      <c r="A48" s="34">
        <v>20</v>
      </c>
      <c r="B48" s="18" t="s">
        <v>1418</v>
      </c>
      <c r="C48" s="19" t="s">
        <v>1419</v>
      </c>
      <c r="D48" s="18" t="s">
        <v>1337</v>
      </c>
      <c r="E48" s="35">
        <f t="shared" si="17"/>
        <v>20000</v>
      </c>
      <c r="F48" s="36">
        <f t="shared" si="18"/>
        <v>20000</v>
      </c>
      <c r="G48" s="36">
        <f t="shared" si="19"/>
        <v>0</v>
      </c>
      <c r="H48" s="36">
        <f t="shared" si="20"/>
        <v>0</v>
      </c>
      <c r="I48" s="36">
        <f t="shared" si="21"/>
        <v>20000</v>
      </c>
      <c r="J48" s="36">
        <f t="shared" si="22"/>
        <v>20000</v>
      </c>
      <c r="K48" s="36">
        <v>1</v>
      </c>
      <c r="L48" s="36">
        <v>20000</v>
      </c>
      <c r="M48" s="36">
        <f t="shared" si="23"/>
        <v>20000</v>
      </c>
      <c r="N48" s="41">
        <v>0</v>
      </c>
      <c r="O48" s="36">
        <v>0</v>
      </c>
      <c r="P48" s="36">
        <f t="shared" si="15"/>
        <v>0</v>
      </c>
      <c r="Q48" s="36">
        <f t="shared" si="24"/>
        <v>20000</v>
      </c>
      <c r="R48" s="36">
        <v>0</v>
      </c>
      <c r="S48" s="36">
        <v>0</v>
      </c>
      <c r="T48" s="36">
        <f t="shared" si="25"/>
        <v>0</v>
      </c>
      <c r="U48" s="41">
        <v>0</v>
      </c>
      <c r="V48" s="41">
        <v>0</v>
      </c>
      <c r="W48" s="36">
        <f t="shared" si="26"/>
        <v>0</v>
      </c>
      <c r="X48" s="36">
        <f t="shared" si="27"/>
        <v>0</v>
      </c>
      <c r="Y48" s="51"/>
      <c r="Z48" s="51"/>
      <c r="AA48" s="51"/>
      <c r="AB48" s="51"/>
      <c r="AC48" s="51"/>
      <c r="AD48" s="51"/>
      <c r="AE48" s="51"/>
      <c r="AF48" s="51"/>
      <c r="AG48" s="51"/>
      <c r="AH48" s="51"/>
    </row>
    <row r="49" spans="1:256" ht="40.5" outlineLevel="1">
      <c r="A49" s="34">
        <v>21</v>
      </c>
      <c r="B49" s="18" t="s">
        <v>1420</v>
      </c>
      <c r="C49" s="19" t="s">
        <v>1421</v>
      </c>
      <c r="D49" s="18" t="s">
        <v>1342</v>
      </c>
      <c r="E49" s="35">
        <f t="shared" si="17"/>
        <v>30000</v>
      </c>
      <c r="F49" s="36">
        <f t="shared" si="18"/>
        <v>0</v>
      </c>
      <c r="G49" s="36">
        <f t="shared" si="19"/>
        <v>-30000</v>
      </c>
      <c r="H49" s="36">
        <f t="shared" si="20"/>
        <v>-30000</v>
      </c>
      <c r="I49" s="36">
        <f t="shared" si="21"/>
        <v>30000</v>
      </c>
      <c r="J49" s="36">
        <f t="shared" si="22"/>
        <v>0</v>
      </c>
      <c r="K49" s="36">
        <v>0</v>
      </c>
      <c r="L49" s="36">
        <v>0</v>
      </c>
      <c r="M49" s="36">
        <f t="shared" si="23"/>
        <v>0</v>
      </c>
      <c r="N49" s="41">
        <v>0</v>
      </c>
      <c r="O49" s="36">
        <v>0</v>
      </c>
      <c r="P49" s="36">
        <f t="shared" si="15"/>
        <v>0</v>
      </c>
      <c r="Q49" s="36">
        <f t="shared" si="24"/>
        <v>0</v>
      </c>
      <c r="R49" s="36">
        <v>0</v>
      </c>
      <c r="S49" s="36">
        <v>0</v>
      </c>
      <c r="T49" s="36">
        <f t="shared" si="25"/>
        <v>0</v>
      </c>
      <c r="U49" s="41">
        <v>1</v>
      </c>
      <c r="V49" s="36">
        <v>30000</v>
      </c>
      <c r="W49" s="36">
        <f t="shared" si="26"/>
        <v>30000</v>
      </c>
      <c r="X49" s="36">
        <f t="shared" si="27"/>
        <v>-30000</v>
      </c>
      <c r="Y49" s="51"/>
      <c r="Z49" s="51"/>
      <c r="AA49" s="51"/>
      <c r="AB49" s="51"/>
      <c r="AC49" s="51"/>
      <c r="AD49" s="51"/>
      <c r="AE49" s="51"/>
      <c r="AF49" s="51"/>
      <c r="AG49" s="51"/>
      <c r="AH49" s="51"/>
    </row>
    <row r="50" spans="1:256" ht="54" outlineLevel="1">
      <c r="A50" s="34">
        <v>22</v>
      </c>
      <c r="B50" s="18" t="s">
        <v>1422</v>
      </c>
      <c r="C50" s="19" t="s">
        <v>1423</v>
      </c>
      <c r="D50" s="18" t="s">
        <v>1342</v>
      </c>
      <c r="E50" s="35">
        <f t="shared" si="17"/>
        <v>300000</v>
      </c>
      <c r="F50" s="36">
        <f t="shared" si="18"/>
        <v>300000</v>
      </c>
      <c r="G50" s="36">
        <f t="shared" si="19"/>
        <v>0</v>
      </c>
      <c r="H50" s="36">
        <f t="shared" si="20"/>
        <v>0</v>
      </c>
      <c r="I50" s="36">
        <f t="shared" si="21"/>
        <v>300000</v>
      </c>
      <c r="J50" s="36">
        <f t="shared" si="22"/>
        <v>300000</v>
      </c>
      <c r="K50" s="36">
        <v>1</v>
      </c>
      <c r="L50" s="36">
        <v>300000</v>
      </c>
      <c r="M50" s="36">
        <f t="shared" si="23"/>
        <v>300000</v>
      </c>
      <c r="N50" s="41">
        <v>0</v>
      </c>
      <c r="O50" s="36">
        <v>0</v>
      </c>
      <c r="P50" s="36">
        <f t="shared" si="15"/>
        <v>0</v>
      </c>
      <c r="Q50" s="36">
        <f t="shared" si="24"/>
        <v>300000</v>
      </c>
      <c r="R50" s="36">
        <v>0</v>
      </c>
      <c r="S50" s="36">
        <v>0</v>
      </c>
      <c r="T50" s="36">
        <f t="shared" si="25"/>
        <v>0</v>
      </c>
      <c r="U50" s="41">
        <v>0</v>
      </c>
      <c r="V50" s="36">
        <v>0</v>
      </c>
      <c r="W50" s="36">
        <f t="shared" si="26"/>
        <v>0</v>
      </c>
      <c r="X50" s="36">
        <f t="shared" si="27"/>
        <v>0</v>
      </c>
      <c r="Y50" s="51"/>
      <c r="Z50" s="51"/>
      <c r="AA50" s="51"/>
      <c r="AB50" s="51"/>
      <c r="AC50" s="51"/>
      <c r="AD50" s="51"/>
      <c r="AE50" s="51"/>
      <c r="AF50" s="51"/>
      <c r="AG50" s="51"/>
      <c r="AH50" s="51"/>
    </row>
    <row r="51" spans="1:256" s="4" customFormat="1" ht="36.950000000000003" customHeight="1" collapsed="1">
      <c r="A51" s="12" t="s">
        <v>204</v>
      </c>
      <c r="B51" s="33" t="s">
        <v>1424</v>
      </c>
      <c r="C51" s="19"/>
      <c r="D51" s="18"/>
      <c r="E51" s="16">
        <f t="shared" ref="E51:J51" si="28">SUM(E52:E57)</f>
        <v>1709823.4820000008</v>
      </c>
      <c r="F51" s="16">
        <f t="shared" si="28"/>
        <v>0</v>
      </c>
      <c r="G51" s="16">
        <f t="shared" si="28"/>
        <v>-1709823.4820000008</v>
      </c>
      <c r="H51" s="16">
        <f t="shared" si="28"/>
        <v>-24308965.539999999</v>
      </c>
      <c r="I51" s="16">
        <f t="shared" si="28"/>
        <v>1709823.4820000008</v>
      </c>
      <c r="J51" s="16">
        <f t="shared" si="28"/>
        <v>-22599142.057999998</v>
      </c>
      <c r="K51" s="16"/>
      <c r="L51" s="16"/>
      <c r="M51" s="16">
        <f>SUM(M52:M57)</f>
        <v>0</v>
      </c>
      <c r="N51" s="16"/>
      <c r="O51" s="16"/>
      <c r="P51" s="16">
        <f>SUM(P52:P57)</f>
        <v>22599142.057999998</v>
      </c>
      <c r="Q51" s="16">
        <f>SUM(Q52:Q57)</f>
        <v>-22599142.057999998</v>
      </c>
      <c r="R51" s="16"/>
      <c r="S51" s="16"/>
      <c r="T51" s="16">
        <f>SUM(T52:T57)</f>
        <v>0</v>
      </c>
      <c r="U51" s="16"/>
      <c r="V51" s="16"/>
      <c r="W51" s="16">
        <f>SUM(W52:W57)</f>
        <v>24308965.539999999</v>
      </c>
      <c r="X51" s="16">
        <f>SUM(X52:X57)</f>
        <v>-24308965.539999999</v>
      </c>
      <c r="Y51" s="50"/>
      <c r="Z51" s="50"/>
      <c r="AA51" s="50"/>
      <c r="AB51" s="50"/>
      <c r="AC51" s="50"/>
      <c r="AD51" s="50"/>
      <c r="AE51" s="50"/>
      <c r="AF51" s="50"/>
      <c r="AG51" s="50"/>
      <c r="AH51" s="50"/>
    </row>
    <row r="52" spans="1:256" s="3" customFormat="1" ht="36.950000000000003" hidden="1" customHeight="1" outlineLevel="1">
      <c r="A52" s="17">
        <v>1</v>
      </c>
      <c r="B52" s="18" t="s">
        <v>1425</v>
      </c>
      <c r="C52" s="19" t="s">
        <v>1426</v>
      </c>
      <c r="D52" s="18" t="s">
        <v>1337</v>
      </c>
      <c r="E52" s="22">
        <f t="shared" ref="E52:E57" si="29">I52</f>
        <v>514500.98999999993</v>
      </c>
      <c r="F52" s="23">
        <f t="shared" ref="F52:F57" si="30">M52-T52</f>
        <v>0</v>
      </c>
      <c r="G52" s="23">
        <f t="shared" ref="G52:G57" si="31">P52-W52</f>
        <v>-514500.98999999993</v>
      </c>
      <c r="H52" s="23">
        <f t="shared" ref="H52:H57" si="32">X52</f>
        <v>-878035.82</v>
      </c>
      <c r="I52" s="23">
        <f t="shared" ref="I52:I57" si="33">Q52-X52</f>
        <v>514500.98999999993</v>
      </c>
      <c r="J52" s="23">
        <f t="shared" ref="J52:J57" si="34">Q52</f>
        <v>-363534.83</v>
      </c>
      <c r="K52" s="23">
        <v>0</v>
      </c>
      <c r="L52" s="23">
        <v>0</v>
      </c>
      <c r="M52" s="23">
        <f t="shared" ref="M52:M57" si="35">K52*L52</f>
        <v>0</v>
      </c>
      <c r="N52" s="40">
        <v>1</v>
      </c>
      <c r="O52" s="23">
        <v>363534.83</v>
      </c>
      <c r="P52" s="23">
        <f t="shared" ref="P52:P57" si="36">N52*O52</f>
        <v>363534.83</v>
      </c>
      <c r="Q52" s="23">
        <f t="shared" ref="Q52:Q57" si="37">M52-P52</f>
        <v>-363534.83</v>
      </c>
      <c r="R52" s="23">
        <v>0</v>
      </c>
      <c r="S52" s="23">
        <v>0</v>
      </c>
      <c r="T52" s="23">
        <f t="shared" ref="T52:T57" si="38">R52*S52</f>
        <v>0</v>
      </c>
      <c r="U52" s="40">
        <v>1</v>
      </c>
      <c r="V52" s="23">
        <v>878035.82</v>
      </c>
      <c r="W52" s="23">
        <f t="shared" ref="W52:W57" si="39">U52*V52</f>
        <v>878035.82</v>
      </c>
      <c r="X52" s="23">
        <f t="shared" ref="X52:X57" si="40">T52-W52</f>
        <v>-878035.82</v>
      </c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</row>
    <row r="53" spans="1:256" s="4" customFormat="1" ht="36.950000000000003" hidden="1" customHeight="1" outlineLevel="1">
      <c r="A53" s="17">
        <v>2</v>
      </c>
      <c r="B53" s="24" t="s">
        <v>1427</v>
      </c>
      <c r="C53" s="19" t="s">
        <v>1428</v>
      </c>
      <c r="D53" s="18" t="s">
        <v>1342</v>
      </c>
      <c r="E53" s="22">
        <f t="shared" si="29"/>
        <v>391440</v>
      </c>
      <c r="F53" s="23">
        <f t="shared" si="30"/>
        <v>0</v>
      </c>
      <c r="G53" s="23">
        <f t="shared" si="31"/>
        <v>-391440</v>
      </c>
      <c r="H53" s="23">
        <f t="shared" si="32"/>
        <v>-11808440</v>
      </c>
      <c r="I53" s="23">
        <f t="shared" si="33"/>
        <v>391440</v>
      </c>
      <c r="J53" s="23">
        <f t="shared" si="34"/>
        <v>-11417000</v>
      </c>
      <c r="K53" s="23">
        <v>0</v>
      </c>
      <c r="L53" s="23">
        <v>0</v>
      </c>
      <c r="M53" s="23">
        <f t="shared" si="35"/>
        <v>0</v>
      </c>
      <c r="N53" s="40">
        <v>3262</v>
      </c>
      <c r="O53" s="23">
        <v>3500</v>
      </c>
      <c r="P53" s="23">
        <f t="shared" si="36"/>
        <v>11417000</v>
      </c>
      <c r="Q53" s="23">
        <f t="shared" si="37"/>
        <v>-11417000</v>
      </c>
      <c r="R53" s="23">
        <v>0</v>
      </c>
      <c r="S53" s="23">
        <v>0</v>
      </c>
      <c r="T53" s="23">
        <f t="shared" si="38"/>
        <v>0</v>
      </c>
      <c r="U53" s="40">
        <v>3262</v>
      </c>
      <c r="V53" s="23">
        <v>3620</v>
      </c>
      <c r="W53" s="23">
        <f t="shared" si="39"/>
        <v>11808440</v>
      </c>
      <c r="X53" s="23">
        <f t="shared" si="40"/>
        <v>-11808440</v>
      </c>
      <c r="Y53" s="50"/>
      <c r="Z53" s="50"/>
      <c r="AA53" s="50"/>
      <c r="AB53" s="50"/>
      <c r="AC53" s="50"/>
      <c r="AD53" s="50"/>
      <c r="AE53" s="50"/>
      <c r="AF53" s="50"/>
      <c r="AG53" s="50"/>
      <c r="AH53" s="50"/>
    </row>
    <row r="54" spans="1:256" s="3" customFormat="1" ht="36.950000000000003" hidden="1" customHeight="1" outlineLevel="1">
      <c r="A54" s="17">
        <v>3</v>
      </c>
      <c r="B54" s="18" t="s">
        <v>1429</v>
      </c>
      <c r="C54" s="19" t="s">
        <v>1430</v>
      </c>
      <c r="D54" s="18" t="s">
        <v>1342</v>
      </c>
      <c r="E54" s="22">
        <f t="shared" si="29"/>
        <v>420492.80000000075</v>
      </c>
      <c r="F54" s="23">
        <f t="shared" si="30"/>
        <v>0</v>
      </c>
      <c r="G54" s="23">
        <f t="shared" si="31"/>
        <v>-420492.80000000075</v>
      </c>
      <c r="H54" s="23">
        <f t="shared" si="32"/>
        <v>-9738892.8000000007</v>
      </c>
      <c r="I54" s="23">
        <f t="shared" si="33"/>
        <v>420492.80000000075</v>
      </c>
      <c r="J54" s="23">
        <f t="shared" si="34"/>
        <v>-9318400</v>
      </c>
      <c r="K54" s="23">
        <v>0</v>
      </c>
      <c r="L54" s="23">
        <v>0</v>
      </c>
      <c r="M54" s="23">
        <f t="shared" si="35"/>
        <v>0</v>
      </c>
      <c r="N54" s="40">
        <v>23296</v>
      </c>
      <c r="O54" s="23">
        <v>400</v>
      </c>
      <c r="P54" s="23">
        <f t="shared" si="36"/>
        <v>9318400</v>
      </c>
      <c r="Q54" s="23">
        <f t="shared" si="37"/>
        <v>-9318400</v>
      </c>
      <c r="R54" s="23">
        <v>0</v>
      </c>
      <c r="S54" s="23">
        <v>0</v>
      </c>
      <c r="T54" s="23">
        <f t="shared" si="38"/>
        <v>0</v>
      </c>
      <c r="U54" s="40">
        <v>23296</v>
      </c>
      <c r="V54" s="23">
        <v>418.05</v>
      </c>
      <c r="W54" s="23">
        <f t="shared" si="39"/>
        <v>9738892.8000000007</v>
      </c>
      <c r="X54" s="23">
        <f t="shared" si="40"/>
        <v>-9738892.8000000007</v>
      </c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</row>
    <row r="55" spans="1:256" s="4" customFormat="1" ht="36.950000000000003" hidden="1" customHeight="1" outlineLevel="1">
      <c r="A55" s="17">
        <v>4</v>
      </c>
      <c r="B55" s="37" t="s">
        <v>1156</v>
      </c>
      <c r="C55" s="19" t="s">
        <v>1431</v>
      </c>
      <c r="D55" s="18" t="s">
        <v>1342</v>
      </c>
      <c r="E55" s="30">
        <f t="shared" si="29"/>
        <v>166700.00000000003</v>
      </c>
      <c r="F55" s="31">
        <f t="shared" si="30"/>
        <v>0</v>
      </c>
      <c r="G55" s="31">
        <f t="shared" si="31"/>
        <v>-166700.00000000003</v>
      </c>
      <c r="H55" s="31">
        <f t="shared" si="32"/>
        <v>-166700.00000000003</v>
      </c>
      <c r="I55" s="31">
        <f t="shared" si="33"/>
        <v>166700.00000000003</v>
      </c>
      <c r="J55" s="31">
        <f t="shared" si="34"/>
        <v>0</v>
      </c>
      <c r="K55" s="31">
        <v>0</v>
      </c>
      <c r="L55" s="31">
        <v>0</v>
      </c>
      <c r="M55" s="31">
        <f t="shared" si="35"/>
        <v>0</v>
      </c>
      <c r="N55" s="40">
        <v>1</v>
      </c>
      <c r="O55" s="23">
        <v>0</v>
      </c>
      <c r="P55" s="31">
        <f t="shared" si="36"/>
        <v>0</v>
      </c>
      <c r="Q55" s="31">
        <f t="shared" si="37"/>
        <v>0</v>
      </c>
      <c r="R55" s="23">
        <v>0</v>
      </c>
      <c r="S55" s="23">
        <v>0</v>
      </c>
      <c r="T55" s="31">
        <f t="shared" si="38"/>
        <v>0</v>
      </c>
      <c r="U55" s="40">
        <v>1</v>
      </c>
      <c r="V55" s="23">
        <f>16.67*10000</f>
        <v>166700.00000000003</v>
      </c>
      <c r="W55" s="31">
        <f t="shared" si="39"/>
        <v>166700.00000000003</v>
      </c>
      <c r="X55" s="46">
        <f t="shared" si="40"/>
        <v>-166700.00000000003</v>
      </c>
      <c r="Y55" s="50"/>
      <c r="Z55" s="50"/>
      <c r="AA55" s="50"/>
      <c r="AB55" s="50"/>
      <c r="AC55" s="50"/>
      <c r="AD55" s="50"/>
      <c r="AE55" s="50"/>
      <c r="AF55" s="50"/>
      <c r="AG55" s="50"/>
      <c r="AH55" s="50"/>
    </row>
    <row r="56" spans="1:256" s="4" customFormat="1" ht="36.950000000000003" hidden="1" customHeight="1" outlineLevel="1">
      <c r="A56" s="17">
        <v>5</v>
      </c>
      <c r="B56" s="37" t="s">
        <v>1432</v>
      </c>
      <c r="C56" s="19" t="s">
        <v>1433</v>
      </c>
      <c r="D56" s="18" t="s">
        <v>1354</v>
      </c>
      <c r="E56" s="22">
        <f t="shared" si="29"/>
        <v>166689.69200000004</v>
      </c>
      <c r="F56" s="23">
        <f t="shared" si="30"/>
        <v>0</v>
      </c>
      <c r="G56" s="23">
        <f t="shared" si="31"/>
        <v>-166689.69200000004</v>
      </c>
      <c r="H56" s="23">
        <f t="shared" si="32"/>
        <v>-1666896.92</v>
      </c>
      <c r="I56" s="23">
        <f t="shared" si="33"/>
        <v>166689.69200000004</v>
      </c>
      <c r="J56" s="23">
        <f t="shared" si="34"/>
        <v>-1500207.2279999999</v>
      </c>
      <c r="K56" s="23">
        <v>0</v>
      </c>
      <c r="L56" s="23">
        <v>0</v>
      </c>
      <c r="M56" s="23">
        <f t="shared" si="35"/>
        <v>0</v>
      </c>
      <c r="N56" s="40">
        <f>24513.19*6.8</f>
        <v>166689.69199999998</v>
      </c>
      <c r="O56" s="23">
        <v>9</v>
      </c>
      <c r="P56" s="23">
        <f t="shared" si="36"/>
        <v>1500207.2279999999</v>
      </c>
      <c r="Q56" s="23">
        <f t="shared" si="37"/>
        <v>-1500207.2279999999</v>
      </c>
      <c r="R56" s="23">
        <v>0</v>
      </c>
      <c r="S56" s="23">
        <v>0</v>
      </c>
      <c r="T56" s="23">
        <f t="shared" si="38"/>
        <v>0</v>
      </c>
      <c r="U56" s="40">
        <f>24513.19*6.8</f>
        <v>166689.69199999998</v>
      </c>
      <c r="V56" s="23">
        <v>10</v>
      </c>
      <c r="W56" s="23">
        <f t="shared" si="39"/>
        <v>1666896.92</v>
      </c>
      <c r="X56" s="23">
        <f t="shared" si="40"/>
        <v>-1666896.92</v>
      </c>
      <c r="Y56" s="50"/>
      <c r="Z56" s="50"/>
      <c r="AA56" s="50"/>
      <c r="AB56" s="50"/>
      <c r="AC56" s="50"/>
      <c r="AD56" s="50"/>
      <c r="AE56" s="50"/>
      <c r="AF56" s="50"/>
      <c r="AG56" s="50"/>
      <c r="AH56" s="50"/>
    </row>
    <row r="57" spans="1:256" s="4" customFormat="1" ht="36.950000000000003" hidden="1" customHeight="1" outlineLevel="1">
      <c r="A57" s="17">
        <v>6</v>
      </c>
      <c r="B57" s="37" t="s">
        <v>1434</v>
      </c>
      <c r="C57" s="19" t="s">
        <v>1435</v>
      </c>
      <c r="D57" s="18" t="s">
        <v>1354</v>
      </c>
      <c r="E57" s="22">
        <f t="shared" si="29"/>
        <v>50000</v>
      </c>
      <c r="F57" s="23">
        <f t="shared" si="30"/>
        <v>0</v>
      </c>
      <c r="G57" s="23">
        <f t="shared" si="31"/>
        <v>-50000</v>
      </c>
      <c r="H57" s="23">
        <f t="shared" si="32"/>
        <v>-50000</v>
      </c>
      <c r="I57" s="23">
        <f t="shared" si="33"/>
        <v>50000</v>
      </c>
      <c r="J57" s="23">
        <f t="shared" si="34"/>
        <v>0</v>
      </c>
      <c r="K57" s="21">
        <v>0</v>
      </c>
      <c r="L57" s="21">
        <v>0</v>
      </c>
      <c r="M57" s="23">
        <f t="shared" si="35"/>
        <v>0</v>
      </c>
      <c r="N57" s="40">
        <v>1</v>
      </c>
      <c r="O57" s="40">
        <v>0</v>
      </c>
      <c r="P57" s="23">
        <f t="shared" si="36"/>
        <v>0</v>
      </c>
      <c r="Q57" s="23">
        <f t="shared" si="37"/>
        <v>0</v>
      </c>
      <c r="R57" s="23">
        <v>0</v>
      </c>
      <c r="S57" s="23">
        <v>0</v>
      </c>
      <c r="T57" s="23">
        <f t="shared" si="38"/>
        <v>0</v>
      </c>
      <c r="U57" s="23">
        <v>1</v>
      </c>
      <c r="V57" s="23">
        <v>50000</v>
      </c>
      <c r="W57" s="23">
        <f t="shared" si="39"/>
        <v>50000</v>
      </c>
      <c r="X57" s="43">
        <f t="shared" si="40"/>
        <v>-50000</v>
      </c>
      <c r="Y57" s="50"/>
      <c r="Z57" s="50"/>
      <c r="AA57" s="50"/>
      <c r="AB57" s="50"/>
      <c r="AC57" s="50"/>
      <c r="AD57" s="50"/>
      <c r="AE57" s="50"/>
      <c r="AF57" s="50"/>
      <c r="AG57" s="50"/>
      <c r="AH57" s="50"/>
    </row>
    <row r="58" spans="1:256" s="4" customFormat="1" ht="36.950000000000003" customHeight="1" collapsed="1">
      <c r="A58" s="12" t="s">
        <v>233</v>
      </c>
      <c r="B58" s="38" t="s">
        <v>1436</v>
      </c>
      <c r="C58" s="19"/>
      <c r="D58" s="18"/>
      <c r="E58" s="16">
        <f t="shared" ref="E58:J58" si="41">SUM(E59:E74)</f>
        <v>8910858.8059999999</v>
      </c>
      <c r="F58" s="16">
        <f t="shared" si="41"/>
        <v>9915301.1659999993</v>
      </c>
      <c r="G58" s="16">
        <f t="shared" si="41"/>
        <v>1004442.36</v>
      </c>
      <c r="H58" s="16">
        <f t="shared" si="41"/>
        <v>954889.63929999992</v>
      </c>
      <c r="I58" s="16">
        <f t="shared" si="41"/>
        <v>8910858.8059999999</v>
      </c>
      <c r="J58" s="16">
        <f t="shared" si="41"/>
        <v>9865748.4452999998</v>
      </c>
      <c r="K58" s="21"/>
      <c r="L58" s="21"/>
      <c r="M58" s="16">
        <f>SUM(M59:M74)</f>
        <v>11149748.4453</v>
      </c>
      <c r="N58" s="40"/>
      <c r="O58" s="40"/>
      <c r="P58" s="16">
        <f>SUM(P59:P74)</f>
        <v>1284000</v>
      </c>
      <c r="Q58" s="16">
        <f>SUM(Q59:Q74)</f>
        <v>9865748.4452999998</v>
      </c>
      <c r="R58" s="23"/>
      <c r="S58" s="23"/>
      <c r="T58" s="16">
        <f>SUM(T59:T74)</f>
        <v>1234447.2793000001</v>
      </c>
      <c r="U58" s="23"/>
      <c r="V58" s="23"/>
      <c r="W58" s="16">
        <f>SUM(W59:W74)</f>
        <v>279557.64</v>
      </c>
      <c r="X58" s="16">
        <f>SUM(X59:X74)</f>
        <v>954889.63929999992</v>
      </c>
      <c r="Y58" s="50"/>
      <c r="Z58" s="50"/>
      <c r="AA58" s="50"/>
      <c r="AB58" s="50"/>
      <c r="AC58" s="50"/>
      <c r="AD58" s="50"/>
      <c r="AE58" s="50"/>
      <c r="AF58" s="50"/>
      <c r="AG58" s="50"/>
      <c r="AH58" s="50"/>
    </row>
    <row r="59" spans="1:256" s="3" customFormat="1" ht="36.950000000000003" hidden="1" customHeight="1" outlineLevel="1">
      <c r="A59" s="17">
        <v>1</v>
      </c>
      <c r="B59" s="24" t="s">
        <v>1437</v>
      </c>
      <c r="C59" s="19" t="s">
        <v>1438</v>
      </c>
      <c r="D59" s="18" t="s">
        <v>1354</v>
      </c>
      <c r="E59" s="22">
        <f t="shared" ref="E59:E74" si="42">I59</f>
        <v>50000</v>
      </c>
      <c r="F59" s="23">
        <f t="shared" ref="F59:F74" si="43">M59-T59</f>
        <v>50000</v>
      </c>
      <c r="G59" s="23">
        <f t="shared" ref="G59:G74" si="44">P59-W59</f>
        <v>0</v>
      </c>
      <c r="H59" s="23">
        <f t="shared" ref="H59:H74" si="45">X59</f>
        <v>0</v>
      </c>
      <c r="I59" s="23">
        <f t="shared" ref="I59:I74" si="46">Q59-X59</f>
        <v>50000</v>
      </c>
      <c r="J59" s="23">
        <f t="shared" ref="J59:J74" si="47">Q59</f>
        <v>50000</v>
      </c>
      <c r="K59" s="23">
        <v>1</v>
      </c>
      <c r="L59" s="23">
        <v>50000</v>
      </c>
      <c r="M59" s="23">
        <f t="shared" ref="M59:M74" si="48">K59*L59</f>
        <v>50000</v>
      </c>
      <c r="N59" s="40">
        <v>1</v>
      </c>
      <c r="O59" s="23">
        <f>'[5]8.1提前使用正式电梯'!G25</f>
        <v>0</v>
      </c>
      <c r="P59" s="23">
        <f t="shared" ref="P59:P74" si="49">N59*O59</f>
        <v>0</v>
      </c>
      <c r="Q59" s="23">
        <f t="shared" ref="Q59:Q74" si="50">M59-P59</f>
        <v>50000</v>
      </c>
      <c r="R59" s="23">
        <v>0</v>
      </c>
      <c r="S59" s="23">
        <v>0</v>
      </c>
      <c r="T59" s="23">
        <f t="shared" ref="T59:T74" si="51">R59*S59</f>
        <v>0</v>
      </c>
      <c r="U59" s="40">
        <v>1</v>
      </c>
      <c r="V59" s="23">
        <v>0</v>
      </c>
      <c r="W59" s="23">
        <f t="shared" ref="W59:W74" si="52">U59*V59</f>
        <v>0</v>
      </c>
      <c r="X59" s="43">
        <f t="shared" ref="X59:X74" si="53">T59-W59</f>
        <v>0</v>
      </c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</row>
    <row r="60" spans="1:256" s="4" customFormat="1" ht="36.950000000000003" hidden="1" customHeight="1" outlineLevel="1">
      <c r="A60" s="17">
        <v>2</v>
      </c>
      <c r="B60" s="24" t="s">
        <v>1439</v>
      </c>
      <c r="C60" s="19" t="s">
        <v>1440</v>
      </c>
      <c r="D60" s="18" t="s">
        <v>1354</v>
      </c>
      <c r="E60" s="22">
        <f t="shared" si="42"/>
        <v>277685.43999999994</v>
      </c>
      <c r="F60" s="23">
        <f t="shared" si="43"/>
        <v>277685.43999999994</v>
      </c>
      <c r="G60" s="23">
        <f t="shared" si="44"/>
        <v>0</v>
      </c>
      <c r="H60" s="23">
        <f t="shared" si="45"/>
        <v>336932.98</v>
      </c>
      <c r="I60" s="23">
        <f t="shared" si="46"/>
        <v>277685.43999999994</v>
      </c>
      <c r="J60" s="23">
        <f t="shared" si="47"/>
        <v>614618.41999999993</v>
      </c>
      <c r="K60" s="23">
        <v>1</v>
      </c>
      <c r="L60" s="23">
        <f>'[3]4.2电渣压力焊修改为直螺纹套筒'!F26</f>
        <v>614618.41999999993</v>
      </c>
      <c r="M60" s="23">
        <f t="shared" si="48"/>
        <v>614618.41999999993</v>
      </c>
      <c r="N60" s="40">
        <v>1</v>
      </c>
      <c r="O60" s="23">
        <v>0</v>
      </c>
      <c r="P60" s="23">
        <f t="shared" si="49"/>
        <v>0</v>
      </c>
      <c r="Q60" s="23">
        <f t="shared" si="50"/>
        <v>614618.41999999993</v>
      </c>
      <c r="R60" s="23">
        <v>1</v>
      </c>
      <c r="S60" s="23">
        <f>'[3]4.2电渣压力焊修改为直螺纹套筒'!F12</f>
        <v>336932.98</v>
      </c>
      <c r="T60" s="23">
        <f t="shared" si="51"/>
        <v>336932.98</v>
      </c>
      <c r="U60" s="40">
        <v>1</v>
      </c>
      <c r="V60" s="23">
        <v>0</v>
      </c>
      <c r="W60" s="23">
        <f t="shared" si="52"/>
        <v>0</v>
      </c>
      <c r="X60" s="43">
        <f t="shared" si="53"/>
        <v>336932.98</v>
      </c>
      <c r="Y60" s="50"/>
      <c r="Z60" s="50"/>
      <c r="AA60" s="50"/>
      <c r="AB60" s="50"/>
      <c r="AC60" s="50"/>
      <c r="AD60" s="50"/>
      <c r="AE60" s="50"/>
      <c r="AF60" s="50"/>
      <c r="AG60" s="50"/>
      <c r="AH60" s="50"/>
    </row>
    <row r="61" spans="1:256" s="4" customFormat="1" ht="36.950000000000003" hidden="1" customHeight="1" outlineLevel="1">
      <c r="A61" s="17">
        <v>3</v>
      </c>
      <c r="B61" s="18" t="s">
        <v>1441</v>
      </c>
      <c r="C61" s="19" t="s">
        <v>1442</v>
      </c>
      <c r="D61" s="18" t="s">
        <v>1354</v>
      </c>
      <c r="E61" s="22">
        <f t="shared" si="42"/>
        <v>30000</v>
      </c>
      <c r="F61" s="23">
        <f t="shared" si="43"/>
        <v>30000</v>
      </c>
      <c r="G61" s="23">
        <f t="shared" si="44"/>
        <v>0</v>
      </c>
      <c r="H61" s="23">
        <f t="shared" si="45"/>
        <v>0</v>
      </c>
      <c r="I61" s="23">
        <f t="shared" si="46"/>
        <v>30000</v>
      </c>
      <c r="J61" s="23">
        <f t="shared" si="47"/>
        <v>30000</v>
      </c>
      <c r="K61" s="21">
        <v>1</v>
      </c>
      <c r="L61" s="21">
        <v>30000</v>
      </c>
      <c r="M61" s="23">
        <f t="shared" si="48"/>
        <v>30000</v>
      </c>
      <c r="N61" s="40">
        <v>1</v>
      </c>
      <c r="O61" s="23">
        <v>0</v>
      </c>
      <c r="P61" s="23">
        <f t="shared" si="49"/>
        <v>0</v>
      </c>
      <c r="Q61" s="23">
        <f t="shared" si="50"/>
        <v>30000</v>
      </c>
      <c r="R61" s="23">
        <v>0</v>
      </c>
      <c r="S61" s="23">
        <v>0</v>
      </c>
      <c r="T61" s="23">
        <f t="shared" si="51"/>
        <v>0</v>
      </c>
      <c r="U61" s="40">
        <v>1</v>
      </c>
      <c r="V61" s="23">
        <v>0</v>
      </c>
      <c r="W61" s="23">
        <f t="shared" si="52"/>
        <v>0</v>
      </c>
      <c r="X61" s="43">
        <f t="shared" si="53"/>
        <v>0</v>
      </c>
      <c r="Y61" s="50"/>
      <c r="Z61" s="50"/>
      <c r="AA61" s="50"/>
      <c r="AB61" s="50"/>
      <c r="AC61" s="50"/>
      <c r="AD61" s="50"/>
      <c r="AE61" s="50"/>
      <c r="AF61" s="50"/>
      <c r="AG61" s="50"/>
      <c r="AH61" s="50"/>
    </row>
    <row r="62" spans="1:256" s="4" customFormat="1" ht="36.950000000000003" hidden="1" customHeight="1" outlineLevel="1">
      <c r="A62" s="17">
        <v>4</v>
      </c>
      <c r="B62" s="24" t="s">
        <v>1443</v>
      </c>
      <c r="C62" s="19" t="s">
        <v>1444</v>
      </c>
      <c r="D62" s="18" t="s">
        <v>1354</v>
      </c>
      <c r="E62" s="22">
        <f t="shared" si="42"/>
        <v>250000</v>
      </c>
      <c r="F62" s="23">
        <f t="shared" si="43"/>
        <v>1450000</v>
      </c>
      <c r="G62" s="23">
        <f t="shared" si="44"/>
        <v>1200000</v>
      </c>
      <c r="H62" s="23">
        <f t="shared" si="45"/>
        <v>0</v>
      </c>
      <c r="I62" s="23">
        <f t="shared" si="46"/>
        <v>250000</v>
      </c>
      <c r="J62" s="23">
        <f t="shared" si="47"/>
        <v>250000</v>
      </c>
      <c r="K62" s="21">
        <v>10000</v>
      </c>
      <c r="L62" s="21">
        <v>145</v>
      </c>
      <c r="M62" s="23">
        <f t="shared" si="48"/>
        <v>1450000</v>
      </c>
      <c r="N62" s="21">
        <v>10000</v>
      </c>
      <c r="O62" s="21">
        <v>120</v>
      </c>
      <c r="P62" s="23">
        <f t="shared" si="49"/>
        <v>1200000</v>
      </c>
      <c r="Q62" s="23">
        <f t="shared" si="50"/>
        <v>250000</v>
      </c>
      <c r="R62" s="23">
        <v>0</v>
      </c>
      <c r="S62" s="23">
        <v>0</v>
      </c>
      <c r="T62" s="23">
        <f t="shared" si="51"/>
        <v>0</v>
      </c>
      <c r="U62" s="23">
        <v>0</v>
      </c>
      <c r="V62" s="23">
        <v>0</v>
      </c>
      <c r="W62" s="23">
        <f t="shared" si="52"/>
        <v>0</v>
      </c>
      <c r="X62" s="23">
        <f t="shared" si="53"/>
        <v>0</v>
      </c>
      <c r="Y62" s="50"/>
      <c r="Z62" s="50"/>
      <c r="AA62" s="50"/>
      <c r="AB62" s="50"/>
      <c r="AC62" s="50"/>
      <c r="AD62" s="50"/>
      <c r="AE62" s="50"/>
      <c r="AF62" s="50"/>
      <c r="AG62" s="50"/>
      <c r="AH62" s="50"/>
    </row>
    <row r="63" spans="1:256" s="4" customFormat="1" ht="36.950000000000003" hidden="1" customHeight="1" outlineLevel="1">
      <c r="A63" s="17">
        <v>5</v>
      </c>
      <c r="B63" s="24" t="s">
        <v>1445</v>
      </c>
      <c r="C63" s="19" t="s">
        <v>1446</v>
      </c>
      <c r="D63" s="18" t="s">
        <v>1354</v>
      </c>
      <c r="E63" s="22">
        <f t="shared" si="42"/>
        <v>41334.425300000003</v>
      </c>
      <c r="F63" s="23">
        <f t="shared" si="43"/>
        <v>41334.425300000003</v>
      </c>
      <c r="G63" s="23">
        <f t="shared" si="44"/>
        <v>0</v>
      </c>
      <c r="H63" s="23">
        <f t="shared" si="45"/>
        <v>2514.2992999999997</v>
      </c>
      <c r="I63" s="23">
        <f t="shared" si="46"/>
        <v>41334.425300000003</v>
      </c>
      <c r="J63" s="23">
        <f t="shared" si="47"/>
        <v>43848.724600000001</v>
      </c>
      <c r="K63" s="21">
        <v>5.3540000000000001</v>
      </c>
      <c r="L63" s="23">
        <v>8189.9</v>
      </c>
      <c r="M63" s="23">
        <f t="shared" si="48"/>
        <v>43848.724600000001</v>
      </c>
      <c r="N63" s="40">
        <v>0</v>
      </c>
      <c r="O63" s="23">
        <v>0</v>
      </c>
      <c r="P63" s="23">
        <f t="shared" si="49"/>
        <v>0</v>
      </c>
      <c r="Q63" s="23">
        <f t="shared" si="50"/>
        <v>43848.724600000001</v>
      </c>
      <c r="R63" s="23">
        <v>0.307</v>
      </c>
      <c r="S63" s="23">
        <v>8189.9</v>
      </c>
      <c r="T63" s="23">
        <f t="shared" si="51"/>
        <v>2514.2992999999997</v>
      </c>
      <c r="U63" s="23">
        <v>0</v>
      </c>
      <c r="V63" s="23">
        <v>0</v>
      </c>
      <c r="W63" s="23">
        <f t="shared" si="52"/>
        <v>0</v>
      </c>
      <c r="X63" s="23">
        <f t="shared" si="53"/>
        <v>2514.2992999999997</v>
      </c>
      <c r="Y63" s="50"/>
      <c r="Z63" s="50"/>
      <c r="AA63" s="50"/>
      <c r="AB63" s="50"/>
      <c r="AC63" s="50"/>
      <c r="AD63" s="50"/>
      <c r="AE63" s="50"/>
      <c r="AF63" s="50"/>
      <c r="AG63" s="50"/>
      <c r="AH63" s="50"/>
    </row>
    <row r="64" spans="1:256" s="4" customFormat="1" ht="36.950000000000003" hidden="1" customHeight="1" outlineLevel="1">
      <c r="A64" s="17">
        <v>6</v>
      </c>
      <c r="B64" s="39" t="s">
        <v>1447</v>
      </c>
      <c r="C64" s="19" t="s">
        <v>1448</v>
      </c>
      <c r="D64" s="18" t="s">
        <v>1354</v>
      </c>
      <c r="E64" s="30">
        <f t="shared" si="42"/>
        <v>2000000</v>
      </c>
      <c r="F64" s="31">
        <f t="shared" si="43"/>
        <v>2000000</v>
      </c>
      <c r="G64" s="31">
        <f t="shared" si="44"/>
        <v>0</v>
      </c>
      <c r="H64" s="31">
        <f t="shared" si="45"/>
        <v>0</v>
      </c>
      <c r="I64" s="31">
        <f t="shared" si="46"/>
        <v>2000000</v>
      </c>
      <c r="J64" s="31">
        <f t="shared" si="47"/>
        <v>2000000</v>
      </c>
      <c r="K64" s="21">
        <v>1</v>
      </c>
      <c r="L64" s="21">
        <v>2000000</v>
      </c>
      <c r="M64" s="31">
        <f t="shared" si="48"/>
        <v>2000000</v>
      </c>
      <c r="N64" s="42">
        <v>0</v>
      </c>
      <c r="O64" s="31">
        <v>0</v>
      </c>
      <c r="P64" s="31">
        <f t="shared" si="49"/>
        <v>0</v>
      </c>
      <c r="Q64" s="31">
        <f t="shared" si="50"/>
        <v>2000000</v>
      </c>
      <c r="R64" s="31">
        <v>0</v>
      </c>
      <c r="S64" s="31">
        <v>0</v>
      </c>
      <c r="T64" s="31">
        <f t="shared" si="51"/>
        <v>0</v>
      </c>
      <c r="U64" s="31">
        <v>0</v>
      </c>
      <c r="V64" s="31">
        <v>0</v>
      </c>
      <c r="W64" s="31">
        <f t="shared" si="52"/>
        <v>0</v>
      </c>
      <c r="X64" s="31">
        <f t="shared" si="53"/>
        <v>0</v>
      </c>
      <c r="Y64" s="50"/>
      <c r="Z64" s="50"/>
      <c r="AA64" s="50"/>
      <c r="AB64" s="50"/>
      <c r="AC64" s="50"/>
      <c r="AD64" s="50"/>
      <c r="AE64" s="50"/>
      <c r="AF64" s="50"/>
      <c r="AG64" s="50"/>
      <c r="AH64" s="50"/>
    </row>
    <row r="65" spans="1:256" s="4" customFormat="1" ht="36.950000000000003" hidden="1" customHeight="1" outlineLevel="1">
      <c r="A65" s="17">
        <v>7</v>
      </c>
      <c r="B65" s="24" t="s">
        <v>1449</v>
      </c>
      <c r="C65" s="19" t="s">
        <v>1450</v>
      </c>
      <c r="D65" s="18" t="s">
        <v>1354</v>
      </c>
      <c r="E65" s="30">
        <f t="shared" si="42"/>
        <v>279557.64</v>
      </c>
      <c r="F65" s="31">
        <f t="shared" si="43"/>
        <v>0</v>
      </c>
      <c r="G65" s="31">
        <f t="shared" si="44"/>
        <v>-279557.64</v>
      </c>
      <c r="H65" s="31">
        <f t="shared" si="45"/>
        <v>-279557.64</v>
      </c>
      <c r="I65" s="31">
        <f t="shared" si="46"/>
        <v>279557.64</v>
      </c>
      <c r="J65" s="31">
        <f t="shared" si="47"/>
        <v>0</v>
      </c>
      <c r="K65" s="21">
        <v>0</v>
      </c>
      <c r="L65" s="21">
        <v>0</v>
      </c>
      <c r="M65" s="31">
        <f t="shared" si="48"/>
        <v>0</v>
      </c>
      <c r="N65" s="42">
        <v>0</v>
      </c>
      <c r="O65" s="31">
        <v>0</v>
      </c>
      <c r="P65" s="31">
        <f t="shared" si="49"/>
        <v>0</v>
      </c>
      <c r="Q65" s="31">
        <f t="shared" si="50"/>
        <v>0</v>
      </c>
      <c r="R65" s="31">
        <v>0</v>
      </c>
      <c r="S65" s="31">
        <v>0</v>
      </c>
      <c r="T65" s="31">
        <f t="shared" si="51"/>
        <v>0</v>
      </c>
      <c r="U65" s="31">
        <f>23296.47*3%</f>
        <v>698.89409999999998</v>
      </c>
      <c r="V65" s="31">
        <v>400</v>
      </c>
      <c r="W65" s="31">
        <f t="shared" si="52"/>
        <v>279557.64</v>
      </c>
      <c r="X65" s="31">
        <f t="shared" si="53"/>
        <v>-279557.64</v>
      </c>
      <c r="Y65" s="50"/>
      <c r="Z65" s="50"/>
      <c r="AA65" s="50"/>
      <c r="AB65" s="50"/>
      <c r="AC65" s="50"/>
      <c r="AD65" s="50"/>
      <c r="AE65" s="50"/>
      <c r="AF65" s="50"/>
      <c r="AG65" s="50"/>
      <c r="AH65" s="50"/>
    </row>
    <row r="66" spans="1:256" s="4" customFormat="1" ht="36.950000000000003" hidden="1" customHeight="1" outlineLevel="1">
      <c r="A66" s="17">
        <v>8</v>
      </c>
      <c r="B66" s="24" t="s">
        <v>1451</v>
      </c>
      <c r="C66" s="19" t="s">
        <v>1452</v>
      </c>
      <c r="D66" s="18" t="s">
        <v>1354</v>
      </c>
      <c r="E66" s="30">
        <f t="shared" si="42"/>
        <v>897050.00000000012</v>
      </c>
      <c r="F66" s="31">
        <f t="shared" si="43"/>
        <v>897050.00000000012</v>
      </c>
      <c r="G66" s="31">
        <f t="shared" si="44"/>
        <v>0</v>
      </c>
      <c r="H66" s="31">
        <f t="shared" si="45"/>
        <v>0</v>
      </c>
      <c r="I66" s="31">
        <f t="shared" si="46"/>
        <v>897050.00000000012</v>
      </c>
      <c r="J66" s="31">
        <f t="shared" si="47"/>
        <v>897050.00000000012</v>
      </c>
      <c r="K66" s="21">
        <f>3262*5%</f>
        <v>163.10000000000002</v>
      </c>
      <c r="L66" s="21">
        <v>5500</v>
      </c>
      <c r="M66" s="31">
        <f t="shared" si="48"/>
        <v>897050.00000000012</v>
      </c>
      <c r="N66" s="42">
        <v>0</v>
      </c>
      <c r="O66" s="31">
        <v>0</v>
      </c>
      <c r="P66" s="31">
        <f t="shared" si="49"/>
        <v>0</v>
      </c>
      <c r="Q66" s="31">
        <f t="shared" si="50"/>
        <v>897050.00000000012</v>
      </c>
      <c r="R66" s="31">
        <v>0</v>
      </c>
      <c r="S66" s="31">
        <v>0</v>
      </c>
      <c r="T66" s="31">
        <f t="shared" si="51"/>
        <v>0</v>
      </c>
      <c r="U66" s="31">
        <v>0</v>
      </c>
      <c r="V66" s="31">
        <v>0</v>
      </c>
      <c r="W66" s="31">
        <f t="shared" si="52"/>
        <v>0</v>
      </c>
      <c r="X66" s="31">
        <f t="shared" si="53"/>
        <v>0</v>
      </c>
      <c r="Y66" s="50"/>
      <c r="Z66" s="50"/>
      <c r="AA66" s="50"/>
      <c r="AB66" s="50"/>
      <c r="AC66" s="50"/>
      <c r="AD66" s="50"/>
      <c r="AE66" s="50"/>
      <c r="AF66" s="50"/>
      <c r="AG66" s="50"/>
      <c r="AH66" s="50"/>
    </row>
    <row r="67" spans="1:256" s="4" customFormat="1" ht="36.950000000000003" hidden="1" customHeight="1" outlineLevel="1">
      <c r="A67" s="17">
        <v>9</v>
      </c>
      <c r="B67" s="24" t="s">
        <v>1453</v>
      </c>
      <c r="C67" s="19" t="s">
        <v>1454</v>
      </c>
      <c r="D67" s="18" t="s">
        <v>1354</v>
      </c>
      <c r="E67" s="30">
        <f t="shared" si="42"/>
        <v>42800</v>
      </c>
      <c r="F67" s="31">
        <f t="shared" si="43"/>
        <v>126800</v>
      </c>
      <c r="G67" s="31">
        <f t="shared" si="44"/>
        <v>84000</v>
      </c>
      <c r="H67" s="31">
        <f t="shared" si="45"/>
        <v>0</v>
      </c>
      <c r="I67" s="31">
        <f t="shared" si="46"/>
        <v>42800</v>
      </c>
      <c r="J67" s="31">
        <f t="shared" si="47"/>
        <v>42800</v>
      </c>
      <c r="K67" s="21">
        <v>1</v>
      </c>
      <c r="L67" s="21">
        <f>12.68*10000</f>
        <v>126800</v>
      </c>
      <c r="M67" s="31">
        <f t="shared" si="48"/>
        <v>126800</v>
      </c>
      <c r="N67" s="42">
        <v>1</v>
      </c>
      <c r="O67" s="21">
        <f>8.4*10000</f>
        <v>84000</v>
      </c>
      <c r="P67" s="31">
        <f t="shared" si="49"/>
        <v>84000</v>
      </c>
      <c r="Q67" s="31">
        <f t="shared" si="50"/>
        <v>42800</v>
      </c>
      <c r="R67" s="31">
        <v>0</v>
      </c>
      <c r="S67" s="31">
        <v>0</v>
      </c>
      <c r="T67" s="31">
        <f t="shared" si="51"/>
        <v>0</v>
      </c>
      <c r="U67" s="31">
        <v>0</v>
      </c>
      <c r="V67" s="31">
        <v>0</v>
      </c>
      <c r="W67" s="31">
        <f t="shared" si="52"/>
        <v>0</v>
      </c>
      <c r="X67" s="31">
        <f t="shared" si="53"/>
        <v>0</v>
      </c>
      <c r="Y67" s="50"/>
      <c r="Z67" s="50"/>
      <c r="AA67" s="50"/>
      <c r="AB67" s="50"/>
      <c r="AC67" s="50"/>
      <c r="AD67" s="50"/>
      <c r="AE67" s="50"/>
      <c r="AF67" s="50"/>
      <c r="AG67" s="50"/>
      <c r="AH67" s="50"/>
    </row>
    <row r="68" spans="1:256" s="4" customFormat="1" ht="36.950000000000003" hidden="1" customHeight="1" outlineLevel="1">
      <c r="A68" s="17">
        <v>10</v>
      </c>
      <c r="B68" s="24" t="s">
        <v>1455</v>
      </c>
      <c r="C68" s="19" t="s">
        <v>1456</v>
      </c>
      <c r="D68" s="18" t="s">
        <v>1354</v>
      </c>
      <c r="E68" s="30">
        <f t="shared" si="42"/>
        <v>400000</v>
      </c>
      <c r="F68" s="31">
        <f t="shared" si="43"/>
        <v>400000</v>
      </c>
      <c r="G68" s="31">
        <f t="shared" si="44"/>
        <v>0</v>
      </c>
      <c r="H68" s="31">
        <f t="shared" si="45"/>
        <v>0</v>
      </c>
      <c r="I68" s="31">
        <f t="shared" si="46"/>
        <v>400000</v>
      </c>
      <c r="J68" s="31">
        <f t="shared" si="47"/>
        <v>400000</v>
      </c>
      <c r="K68" s="21">
        <v>1</v>
      </c>
      <c r="L68" s="21">
        <v>400000</v>
      </c>
      <c r="M68" s="31">
        <f t="shared" si="48"/>
        <v>400000</v>
      </c>
      <c r="N68" s="42">
        <v>0</v>
      </c>
      <c r="O68" s="31">
        <v>0</v>
      </c>
      <c r="P68" s="31">
        <f t="shared" si="49"/>
        <v>0</v>
      </c>
      <c r="Q68" s="31">
        <f t="shared" si="50"/>
        <v>400000</v>
      </c>
      <c r="R68" s="31">
        <v>0</v>
      </c>
      <c r="S68" s="31">
        <v>0</v>
      </c>
      <c r="T68" s="31">
        <f t="shared" si="51"/>
        <v>0</v>
      </c>
      <c r="U68" s="31">
        <v>0</v>
      </c>
      <c r="V68" s="31">
        <v>0</v>
      </c>
      <c r="W68" s="31">
        <f t="shared" si="52"/>
        <v>0</v>
      </c>
      <c r="X68" s="31">
        <f t="shared" si="53"/>
        <v>0</v>
      </c>
      <c r="Y68" s="50"/>
      <c r="Z68" s="50"/>
      <c r="AA68" s="50"/>
      <c r="AB68" s="50"/>
      <c r="AC68" s="50"/>
      <c r="AD68" s="50"/>
      <c r="AE68" s="50"/>
      <c r="AF68" s="50"/>
      <c r="AG68" s="50"/>
      <c r="AH68" s="50"/>
    </row>
    <row r="69" spans="1:256" s="4" customFormat="1" ht="36.950000000000003" hidden="1" customHeight="1" outlineLevel="1">
      <c r="A69" s="17">
        <v>11</v>
      </c>
      <c r="B69" s="24" t="s">
        <v>1457</v>
      </c>
      <c r="C69" s="19" t="s">
        <v>1458</v>
      </c>
      <c r="D69" s="18" t="s">
        <v>1354</v>
      </c>
      <c r="E69" s="30">
        <f t="shared" si="42"/>
        <v>100000</v>
      </c>
      <c r="F69" s="31">
        <f t="shared" si="43"/>
        <v>100000</v>
      </c>
      <c r="G69" s="31">
        <f t="shared" si="44"/>
        <v>0</v>
      </c>
      <c r="H69" s="31">
        <f t="shared" si="45"/>
        <v>0</v>
      </c>
      <c r="I69" s="31">
        <f t="shared" si="46"/>
        <v>100000</v>
      </c>
      <c r="J69" s="31">
        <f t="shared" si="47"/>
        <v>100000</v>
      </c>
      <c r="K69" s="21">
        <v>1</v>
      </c>
      <c r="L69" s="21">
        <v>100000</v>
      </c>
      <c r="M69" s="31">
        <f t="shared" si="48"/>
        <v>100000</v>
      </c>
      <c r="N69" s="42">
        <v>0</v>
      </c>
      <c r="O69" s="31">
        <v>0</v>
      </c>
      <c r="P69" s="31">
        <f t="shared" si="49"/>
        <v>0</v>
      </c>
      <c r="Q69" s="31">
        <f t="shared" si="50"/>
        <v>100000</v>
      </c>
      <c r="R69" s="31">
        <v>0</v>
      </c>
      <c r="S69" s="31">
        <v>0</v>
      </c>
      <c r="T69" s="31">
        <f t="shared" si="51"/>
        <v>0</v>
      </c>
      <c r="U69" s="31">
        <v>0</v>
      </c>
      <c r="V69" s="31">
        <v>0</v>
      </c>
      <c r="W69" s="31">
        <f t="shared" si="52"/>
        <v>0</v>
      </c>
      <c r="X69" s="31">
        <f t="shared" si="53"/>
        <v>0</v>
      </c>
      <c r="Y69" s="50"/>
      <c r="Z69" s="50"/>
      <c r="AA69" s="50"/>
      <c r="AB69" s="50"/>
      <c r="AC69" s="50"/>
      <c r="AD69" s="50"/>
      <c r="AE69" s="50"/>
      <c r="AF69" s="50"/>
      <c r="AG69" s="50"/>
      <c r="AH69" s="50"/>
    </row>
    <row r="70" spans="1:256" s="4" customFormat="1" ht="36.950000000000003" hidden="1" customHeight="1" outlineLevel="1">
      <c r="A70" s="17">
        <v>12</v>
      </c>
      <c r="B70" s="24" t="s">
        <v>1459</v>
      </c>
      <c r="C70" s="19" t="s">
        <v>1460</v>
      </c>
      <c r="D70" s="18" t="s">
        <v>1354</v>
      </c>
      <c r="E70" s="30">
        <f t="shared" si="42"/>
        <v>358000</v>
      </c>
      <c r="F70" s="31">
        <f t="shared" si="43"/>
        <v>358000</v>
      </c>
      <c r="G70" s="31">
        <f t="shared" si="44"/>
        <v>0</v>
      </c>
      <c r="H70" s="31">
        <f t="shared" si="45"/>
        <v>895000</v>
      </c>
      <c r="I70" s="31">
        <f t="shared" si="46"/>
        <v>358000</v>
      </c>
      <c r="J70" s="31">
        <f t="shared" si="47"/>
        <v>1253000</v>
      </c>
      <c r="K70" s="21">
        <v>1</v>
      </c>
      <c r="L70" s="21">
        <f>3580*3.5%*10000</f>
        <v>1253000</v>
      </c>
      <c r="M70" s="31">
        <f t="shared" si="48"/>
        <v>1253000</v>
      </c>
      <c r="N70" s="42">
        <v>0</v>
      </c>
      <c r="O70" s="31">
        <v>0</v>
      </c>
      <c r="P70" s="31">
        <f t="shared" si="49"/>
        <v>0</v>
      </c>
      <c r="Q70" s="31">
        <f t="shared" si="50"/>
        <v>1253000</v>
      </c>
      <c r="R70" s="31">
        <v>1</v>
      </c>
      <c r="S70" s="31">
        <f>89.5*10000</f>
        <v>895000</v>
      </c>
      <c r="T70" s="31">
        <f t="shared" si="51"/>
        <v>895000</v>
      </c>
      <c r="U70" s="31">
        <v>0</v>
      </c>
      <c r="V70" s="31">
        <v>0</v>
      </c>
      <c r="W70" s="31">
        <f t="shared" si="52"/>
        <v>0</v>
      </c>
      <c r="X70" s="31">
        <f t="shared" si="53"/>
        <v>895000</v>
      </c>
      <c r="Y70" s="50"/>
      <c r="Z70" s="50"/>
      <c r="AA70" s="50"/>
      <c r="AB70" s="50"/>
      <c r="AC70" s="50"/>
      <c r="AD70" s="50"/>
      <c r="AE70" s="50"/>
      <c r="AF70" s="50"/>
      <c r="AG70" s="50"/>
      <c r="AH70" s="50"/>
    </row>
    <row r="71" spans="1:256" s="4" customFormat="1" ht="36.950000000000003" hidden="1" customHeight="1" outlineLevel="1">
      <c r="A71" s="17">
        <v>13</v>
      </c>
      <c r="B71" s="24" t="s">
        <v>1461</v>
      </c>
      <c r="C71" s="19" t="s">
        <v>1462</v>
      </c>
      <c r="D71" s="18" t="s">
        <v>1354</v>
      </c>
      <c r="E71" s="30">
        <f t="shared" si="42"/>
        <v>2120591.3007</v>
      </c>
      <c r="F71" s="31">
        <f t="shared" si="43"/>
        <v>2120591.3007</v>
      </c>
      <c r="G71" s="31">
        <f t="shared" si="44"/>
        <v>0</v>
      </c>
      <c r="H71" s="31">
        <f t="shared" si="45"/>
        <v>0</v>
      </c>
      <c r="I71" s="31">
        <f t="shared" si="46"/>
        <v>2120591.3007</v>
      </c>
      <c r="J71" s="31">
        <f t="shared" si="47"/>
        <v>2120591.3007</v>
      </c>
      <c r="K71" s="21">
        <v>1</v>
      </c>
      <c r="L71" s="21">
        <f>141372753.38*1.5%</f>
        <v>2120591.3007</v>
      </c>
      <c r="M71" s="31">
        <f t="shared" si="48"/>
        <v>2120591.3007</v>
      </c>
      <c r="N71" s="42">
        <v>0</v>
      </c>
      <c r="O71" s="31">
        <v>0</v>
      </c>
      <c r="P71" s="31">
        <f t="shared" si="49"/>
        <v>0</v>
      </c>
      <c r="Q71" s="31">
        <f t="shared" si="50"/>
        <v>2120591.3007</v>
      </c>
      <c r="R71" s="31">
        <v>0</v>
      </c>
      <c r="S71" s="31">
        <v>0</v>
      </c>
      <c r="T71" s="31">
        <f t="shared" si="51"/>
        <v>0</v>
      </c>
      <c r="U71" s="31">
        <v>0</v>
      </c>
      <c r="V71" s="31">
        <v>0</v>
      </c>
      <c r="W71" s="31">
        <f t="shared" si="52"/>
        <v>0</v>
      </c>
      <c r="X71" s="31">
        <f t="shared" si="53"/>
        <v>0</v>
      </c>
      <c r="Y71" s="50"/>
      <c r="Z71" s="50"/>
      <c r="AA71" s="50"/>
      <c r="AB71" s="50"/>
      <c r="AC71" s="50"/>
      <c r="AD71" s="50"/>
      <c r="AE71" s="50"/>
      <c r="AF71" s="50"/>
      <c r="AG71" s="50"/>
      <c r="AH71" s="50"/>
    </row>
    <row r="72" spans="1:256" s="4" customFormat="1" ht="36.950000000000003" hidden="1" customHeight="1" outlineLevel="1">
      <c r="A72" s="17">
        <v>14</v>
      </c>
      <c r="B72" s="24" t="s">
        <v>1463</v>
      </c>
      <c r="C72" s="19" t="s">
        <v>1464</v>
      </c>
      <c r="D72" s="18" t="s">
        <v>1354</v>
      </c>
      <c r="E72" s="30">
        <f t="shared" si="42"/>
        <v>432000</v>
      </c>
      <c r="F72" s="31">
        <f t="shared" si="43"/>
        <v>432000</v>
      </c>
      <c r="G72" s="31">
        <f t="shared" si="44"/>
        <v>0</v>
      </c>
      <c r="H72" s="31">
        <f t="shared" si="45"/>
        <v>0</v>
      </c>
      <c r="I72" s="31">
        <f t="shared" si="46"/>
        <v>432000</v>
      </c>
      <c r="J72" s="31">
        <f t="shared" si="47"/>
        <v>432000</v>
      </c>
      <c r="K72" s="21">
        <v>144</v>
      </c>
      <c r="L72" s="21">
        <v>3000</v>
      </c>
      <c r="M72" s="31">
        <f t="shared" si="48"/>
        <v>432000</v>
      </c>
      <c r="N72" s="42">
        <v>0</v>
      </c>
      <c r="O72" s="31">
        <v>0</v>
      </c>
      <c r="P72" s="31">
        <f t="shared" si="49"/>
        <v>0</v>
      </c>
      <c r="Q72" s="31">
        <f t="shared" si="50"/>
        <v>432000</v>
      </c>
      <c r="R72" s="31">
        <v>0</v>
      </c>
      <c r="S72" s="31">
        <v>0</v>
      </c>
      <c r="T72" s="31">
        <f t="shared" si="51"/>
        <v>0</v>
      </c>
      <c r="U72" s="31">
        <v>0</v>
      </c>
      <c r="V72" s="31">
        <v>0</v>
      </c>
      <c r="W72" s="31">
        <f t="shared" si="52"/>
        <v>0</v>
      </c>
      <c r="X72" s="31">
        <f t="shared" si="53"/>
        <v>0</v>
      </c>
      <c r="Y72" s="50"/>
      <c r="Z72" s="50"/>
      <c r="AA72" s="50"/>
      <c r="AB72" s="50"/>
      <c r="AC72" s="50"/>
      <c r="AD72" s="50"/>
      <c r="AE72" s="50"/>
      <c r="AF72" s="50"/>
      <c r="AG72" s="50"/>
      <c r="AH72" s="50"/>
    </row>
    <row r="73" spans="1:256" s="4" customFormat="1" ht="36.950000000000003" hidden="1" customHeight="1" outlineLevel="1">
      <c r="A73" s="17">
        <v>15</v>
      </c>
      <c r="B73" s="24" t="s">
        <v>1465</v>
      </c>
      <c r="C73" s="19" t="s">
        <v>1466</v>
      </c>
      <c r="D73" s="18" t="s">
        <v>1354</v>
      </c>
      <c r="E73" s="30">
        <f t="shared" si="42"/>
        <v>1172000</v>
      </c>
      <c r="F73" s="31">
        <f t="shared" si="43"/>
        <v>1172000</v>
      </c>
      <c r="G73" s="31">
        <f t="shared" si="44"/>
        <v>0</v>
      </c>
      <c r="H73" s="31">
        <f t="shared" si="45"/>
        <v>0</v>
      </c>
      <c r="I73" s="31">
        <f t="shared" si="46"/>
        <v>1172000</v>
      </c>
      <c r="J73" s="31">
        <f t="shared" si="47"/>
        <v>1172000</v>
      </c>
      <c r="K73" s="21">
        <v>1</v>
      </c>
      <c r="L73" s="21">
        <f>'[3]4.15前期工期补偿'!F27</f>
        <v>1172000</v>
      </c>
      <c r="M73" s="31">
        <f t="shared" si="48"/>
        <v>1172000</v>
      </c>
      <c r="N73" s="42">
        <v>0</v>
      </c>
      <c r="O73" s="31">
        <v>0</v>
      </c>
      <c r="P73" s="31">
        <f t="shared" si="49"/>
        <v>0</v>
      </c>
      <c r="Q73" s="31">
        <f t="shared" si="50"/>
        <v>1172000</v>
      </c>
      <c r="R73" s="31">
        <v>0</v>
      </c>
      <c r="S73" s="31">
        <v>0</v>
      </c>
      <c r="T73" s="31">
        <f t="shared" si="51"/>
        <v>0</v>
      </c>
      <c r="U73" s="31">
        <v>0</v>
      </c>
      <c r="V73" s="31">
        <v>0</v>
      </c>
      <c r="W73" s="31">
        <f t="shared" si="52"/>
        <v>0</v>
      </c>
      <c r="X73" s="31">
        <f t="shared" si="53"/>
        <v>0</v>
      </c>
      <c r="Y73" s="50"/>
      <c r="Z73" s="50"/>
      <c r="AA73" s="50"/>
      <c r="AB73" s="50"/>
      <c r="AC73" s="50"/>
      <c r="AD73" s="50"/>
      <c r="AE73" s="50"/>
      <c r="AF73" s="50"/>
      <c r="AG73" s="50"/>
      <c r="AH73" s="50"/>
    </row>
    <row r="74" spans="1:256" s="4" customFormat="1" ht="36.950000000000003" hidden="1" customHeight="1" outlineLevel="1">
      <c r="A74" s="17">
        <v>16</v>
      </c>
      <c r="B74" s="24" t="s">
        <v>1467</v>
      </c>
      <c r="C74" s="19" t="s">
        <v>1468</v>
      </c>
      <c r="D74" s="18" t="s">
        <v>1354</v>
      </c>
      <c r="E74" s="30">
        <f t="shared" si="42"/>
        <v>459840</v>
      </c>
      <c r="F74" s="31">
        <f t="shared" si="43"/>
        <v>459840</v>
      </c>
      <c r="G74" s="31">
        <f t="shared" si="44"/>
        <v>0</v>
      </c>
      <c r="H74" s="31">
        <f t="shared" si="45"/>
        <v>0</v>
      </c>
      <c r="I74" s="31">
        <f t="shared" si="46"/>
        <v>459840</v>
      </c>
      <c r="J74" s="31">
        <f t="shared" si="47"/>
        <v>459840</v>
      </c>
      <c r="K74" s="21">
        <f>958*8</f>
        <v>7664</v>
      </c>
      <c r="L74" s="21">
        <v>60</v>
      </c>
      <c r="M74" s="31">
        <f t="shared" si="48"/>
        <v>459840</v>
      </c>
      <c r="N74" s="42">
        <v>0</v>
      </c>
      <c r="O74" s="31">
        <v>0</v>
      </c>
      <c r="P74" s="31">
        <f t="shared" si="49"/>
        <v>0</v>
      </c>
      <c r="Q74" s="31">
        <f t="shared" si="50"/>
        <v>459840</v>
      </c>
      <c r="R74" s="31">
        <v>0</v>
      </c>
      <c r="S74" s="31">
        <v>0</v>
      </c>
      <c r="T74" s="31">
        <f t="shared" si="51"/>
        <v>0</v>
      </c>
      <c r="U74" s="31">
        <v>0</v>
      </c>
      <c r="V74" s="31">
        <v>0</v>
      </c>
      <c r="W74" s="31">
        <f t="shared" si="52"/>
        <v>0</v>
      </c>
      <c r="X74" s="31">
        <f t="shared" si="53"/>
        <v>0</v>
      </c>
      <c r="Y74" s="50"/>
      <c r="Z74" s="50"/>
      <c r="AA74" s="50"/>
      <c r="AB74" s="50"/>
      <c r="AC74" s="50"/>
      <c r="AD74" s="50"/>
      <c r="AE74" s="50"/>
      <c r="AF74" s="50"/>
      <c r="AG74" s="50"/>
      <c r="AH74" s="50"/>
    </row>
    <row r="75" spans="1:256" s="4" customFormat="1" ht="36.950000000000003" customHeight="1" collapsed="1">
      <c r="A75" s="14" t="s">
        <v>237</v>
      </c>
      <c r="B75" s="32" t="s">
        <v>1469</v>
      </c>
      <c r="C75" s="19"/>
      <c r="D75" s="33"/>
      <c r="E75" s="16">
        <f t="shared" ref="E75:J75" si="54">SUM(E76:E79)</f>
        <v>2338980</v>
      </c>
      <c r="F75" s="16">
        <f t="shared" si="54"/>
        <v>1074000</v>
      </c>
      <c r="G75" s="16">
        <f t="shared" si="54"/>
        <v>-1264980</v>
      </c>
      <c r="H75" s="16">
        <f t="shared" si="54"/>
        <v>-1264980</v>
      </c>
      <c r="I75" s="16">
        <f t="shared" si="54"/>
        <v>2338980</v>
      </c>
      <c r="J75" s="16">
        <f t="shared" si="54"/>
        <v>1074000</v>
      </c>
      <c r="K75" s="23"/>
      <c r="L75" s="23"/>
      <c r="M75" s="16">
        <f>SUM(M76:M79)</f>
        <v>1074000</v>
      </c>
      <c r="N75" s="40"/>
      <c r="O75" s="23"/>
      <c r="P75" s="16">
        <f>SUM(P76:P79)</f>
        <v>0</v>
      </c>
      <c r="Q75" s="16">
        <f>SUM(Q76:Q79)</f>
        <v>1074000</v>
      </c>
      <c r="R75" s="23"/>
      <c r="S75" s="23"/>
      <c r="T75" s="16">
        <f>SUM(T76:T79)</f>
        <v>0</v>
      </c>
      <c r="U75" s="23"/>
      <c r="V75" s="23"/>
      <c r="W75" s="16">
        <f>SUM(W76:W79)</f>
        <v>1264980</v>
      </c>
      <c r="X75" s="16">
        <f>SUM(X76:X79)</f>
        <v>-1264980</v>
      </c>
      <c r="Y75" s="50"/>
      <c r="Z75" s="50"/>
      <c r="AA75" s="50"/>
      <c r="AB75" s="50"/>
      <c r="AC75" s="50"/>
      <c r="AD75" s="50"/>
      <c r="AE75" s="50"/>
      <c r="AF75" s="50"/>
      <c r="AG75" s="50"/>
      <c r="AH75" s="50"/>
    </row>
    <row r="76" spans="1:256" s="4" customFormat="1" ht="36.950000000000003" hidden="1" customHeight="1" outlineLevel="1">
      <c r="A76" s="53">
        <v>1</v>
      </c>
      <c r="B76" s="24" t="s">
        <v>1470</v>
      </c>
      <c r="C76" s="19" t="s">
        <v>1471</v>
      </c>
      <c r="D76" s="18" t="s">
        <v>1354</v>
      </c>
      <c r="E76" s="30">
        <f>I76</f>
        <v>600000</v>
      </c>
      <c r="F76" s="31">
        <f>M76-T76</f>
        <v>0</v>
      </c>
      <c r="G76" s="31">
        <f>P76-W76</f>
        <v>-600000</v>
      </c>
      <c r="H76" s="31">
        <f>X76</f>
        <v>-600000</v>
      </c>
      <c r="I76" s="31">
        <f>Q76-X76</f>
        <v>600000</v>
      </c>
      <c r="J76" s="31">
        <f>Q76</f>
        <v>0</v>
      </c>
      <c r="K76" s="21">
        <v>0</v>
      </c>
      <c r="L76" s="21">
        <v>0</v>
      </c>
      <c r="M76" s="31">
        <f>K76*L76</f>
        <v>0</v>
      </c>
      <c r="N76" s="42">
        <v>0</v>
      </c>
      <c r="O76" s="31">
        <v>0</v>
      </c>
      <c r="P76" s="31">
        <f>N76*O76</f>
        <v>0</v>
      </c>
      <c r="Q76" s="31">
        <f>M76-P76</f>
        <v>0</v>
      </c>
      <c r="R76" s="31">
        <v>0</v>
      </c>
      <c r="S76" s="31">
        <v>0</v>
      </c>
      <c r="T76" s="31">
        <f>R76*S76</f>
        <v>0</v>
      </c>
      <c r="U76" s="31">
        <v>1</v>
      </c>
      <c r="V76" s="31">
        <f>5000000*0.12</f>
        <v>600000</v>
      </c>
      <c r="W76" s="31">
        <f>U76*V76</f>
        <v>600000</v>
      </c>
      <c r="X76" s="31">
        <f>T76-W76</f>
        <v>-600000</v>
      </c>
      <c r="Y76" s="50"/>
      <c r="Z76" s="50"/>
      <c r="AA76" s="50"/>
      <c r="AB76" s="50"/>
      <c r="AC76" s="50"/>
      <c r="AD76" s="50"/>
      <c r="AE76" s="50"/>
      <c r="AF76" s="50"/>
      <c r="AG76" s="50"/>
      <c r="AH76" s="50"/>
    </row>
    <row r="77" spans="1:256" s="4" customFormat="1" ht="36.950000000000003" hidden="1" customHeight="1" outlineLevel="1">
      <c r="A77" s="53">
        <v>2</v>
      </c>
      <c r="B77" s="24" t="s">
        <v>1472</v>
      </c>
      <c r="C77" s="19" t="s">
        <v>1473</v>
      </c>
      <c r="D77" s="18" t="s">
        <v>1354</v>
      </c>
      <c r="E77" s="30">
        <f>I77</f>
        <v>364980</v>
      </c>
      <c r="F77" s="31">
        <f>M77-T77</f>
        <v>0</v>
      </c>
      <c r="G77" s="31">
        <f>P77-W77</f>
        <v>-364980</v>
      </c>
      <c r="H77" s="31">
        <f>X77</f>
        <v>-364980</v>
      </c>
      <c r="I77" s="31">
        <f>Q77-X77</f>
        <v>364980</v>
      </c>
      <c r="J77" s="31">
        <f>Q77</f>
        <v>0</v>
      </c>
      <c r="K77" s="21">
        <v>0</v>
      </c>
      <c r="L77" s="21">
        <v>0</v>
      </c>
      <c r="M77" s="31">
        <f>K77*L77</f>
        <v>0</v>
      </c>
      <c r="N77" s="42">
        <v>0</v>
      </c>
      <c r="O77" s="31">
        <v>0</v>
      </c>
      <c r="P77" s="31">
        <f>N77*O77</f>
        <v>0</v>
      </c>
      <c r="Q77" s="31">
        <f>M77-P77</f>
        <v>0</v>
      </c>
      <c r="R77" s="31">
        <v>0</v>
      </c>
      <c r="S77" s="31">
        <v>0</v>
      </c>
      <c r="T77" s="31">
        <f>R77*S77</f>
        <v>0</v>
      </c>
      <c r="U77" s="31">
        <v>1</v>
      </c>
      <c r="V77" s="31">
        <f>462*10000*3.95%*2</f>
        <v>364980</v>
      </c>
      <c r="W77" s="31">
        <f>U77*V77</f>
        <v>364980</v>
      </c>
      <c r="X77" s="31">
        <f>T77-W77</f>
        <v>-364980</v>
      </c>
      <c r="Y77" s="50"/>
      <c r="Z77" s="50"/>
      <c r="AA77" s="50"/>
      <c r="AB77" s="50"/>
      <c r="AC77" s="50"/>
      <c r="AD77" s="50"/>
      <c r="AE77" s="50"/>
      <c r="AF77" s="50"/>
      <c r="AG77" s="50"/>
      <c r="AH77" s="50"/>
    </row>
    <row r="78" spans="1:256" s="4" customFormat="1" ht="36.950000000000003" hidden="1" customHeight="1" outlineLevel="1">
      <c r="A78" s="53">
        <v>3</v>
      </c>
      <c r="B78" s="24" t="s">
        <v>1474</v>
      </c>
      <c r="C78" s="19" t="s">
        <v>1475</v>
      </c>
      <c r="D78" s="18" t="s">
        <v>1354</v>
      </c>
      <c r="E78" s="30">
        <f>I78</f>
        <v>300000</v>
      </c>
      <c r="F78" s="31">
        <f>M78-T78</f>
        <v>0</v>
      </c>
      <c r="G78" s="31">
        <f>P78-W78</f>
        <v>-300000</v>
      </c>
      <c r="H78" s="31">
        <f>X78</f>
        <v>-300000</v>
      </c>
      <c r="I78" s="31">
        <f>Q78-X78</f>
        <v>300000</v>
      </c>
      <c r="J78" s="31">
        <f>Q78</f>
        <v>0</v>
      </c>
      <c r="K78" s="21">
        <v>0</v>
      </c>
      <c r="L78" s="21">
        <v>0</v>
      </c>
      <c r="M78" s="31">
        <f>K78*L78</f>
        <v>0</v>
      </c>
      <c r="N78" s="42">
        <v>0</v>
      </c>
      <c r="O78" s="31">
        <v>0</v>
      </c>
      <c r="P78" s="31">
        <f>N78*O78</f>
        <v>0</v>
      </c>
      <c r="Q78" s="31">
        <f>M78-P78</f>
        <v>0</v>
      </c>
      <c r="R78" s="31">
        <v>0</v>
      </c>
      <c r="S78" s="31">
        <v>0</v>
      </c>
      <c r="T78" s="31">
        <f>R78*S78</f>
        <v>0</v>
      </c>
      <c r="U78" s="31">
        <v>1</v>
      </c>
      <c r="V78" s="31">
        <v>300000</v>
      </c>
      <c r="W78" s="31">
        <f>U78*V78</f>
        <v>300000</v>
      </c>
      <c r="X78" s="31">
        <f>T78-W78</f>
        <v>-300000</v>
      </c>
      <c r="Y78" s="50"/>
      <c r="Z78" s="50"/>
      <c r="AA78" s="50"/>
      <c r="AB78" s="50"/>
      <c r="AC78" s="50"/>
      <c r="AD78" s="50"/>
      <c r="AE78" s="50"/>
      <c r="AF78" s="50"/>
      <c r="AG78" s="50"/>
      <c r="AH78" s="50"/>
    </row>
    <row r="79" spans="1:256" s="4" customFormat="1" ht="36.950000000000003" hidden="1" customHeight="1" outlineLevel="1">
      <c r="A79" s="53">
        <v>4</v>
      </c>
      <c r="B79" s="24" t="s">
        <v>1476</v>
      </c>
      <c r="C79" s="19" t="s">
        <v>1477</v>
      </c>
      <c r="D79" s="18" t="s">
        <v>1354</v>
      </c>
      <c r="E79" s="30">
        <f>I79</f>
        <v>1074000</v>
      </c>
      <c r="F79" s="31">
        <f>M79-T79</f>
        <v>1074000</v>
      </c>
      <c r="G79" s="31">
        <f>P79-W79</f>
        <v>0</v>
      </c>
      <c r="H79" s="31">
        <f>X79</f>
        <v>0</v>
      </c>
      <c r="I79" s="31">
        <f>Q79-X79</f>
        <v>1074000</v>
      </c>
      <c r="J79" s="31">
        <f>Q79</f>
        <v>1074000</v>
      </c>
      <c r="K79" s="21">
        <v>1</v>
      </c>
      <c r="L79" s="21">
        <f>3580*10000*3%</f>
        <v>1074000</v>
      </c>
      <c r="M79" s="31">
        <f>K79*L79</f>
        <v>1074000</v>
      </c>
      <c r="N79" s="42">
        <v>0</v>
      </c>
      <c r="O79" s="31">
        <v>0</v>
      </c>
      <c r="P79" s="31">
        <f>N79*O79</f>
        <v>0</v>
      </c>
      <c r="Q79" s="31">
        <f>M79-P79</f>
        <v>1074000</v>
      </c>
      <c r="R79" s="31">
        <v>0</v>
      </c>
      <c r="S79" s="31">
        <v>0</v>
      </c>
      <c r="T79" s="31">
        <f>R79*S79</f>
        <v>0</v>
      </c>
      <c r="U79" s="31">
        <v>0</v>
      </c>
      <c r="V79" s="31">
        <v>0</v>
      </c>
      <c r="W79" s="31">
        <f>U79*V79</f>
        <v>0</v>
      </c>
      <c r="X79" s="31">
        <f>T79-W79</f>
        <v>0</v>
      </c>
      <c r="Y79" s="50"/>
      <c r="Z79" s="50"/>
      <c r="AA79" s="50"/>
      <c r="AB79" s="50"/>
      <c r="AC79" s="50"/>
      <c r="AD79" s="50"/>
      <c r="AE79" s="50"/>
      <c r="AF79" s="50"/>
      <c r="AG79" s="50"/>
      <c r="AH79" s="50"/>
    </row>
    <row r="80" spans="1:256" s="3" customFormat="1" ht="36.950000000000003" customHeight="1">
      <c r="A80" s="507" t="s">
        <v>63</v>
      </c>
      <c r="B80" s="508"/>
      <c r="C80" s="54"/>
      <c r="D80" s="55"/>
      <c r="E80" s="16" t="e">
        <f>+E75+E58+E51+E28+E7</f>
        <v>#REF!</v>
      </c>
      <c r="F80" s="16">
        <f>SUM(F8:F79)</f>
        <v>25398652.96754</v>
      </c>
      <c r="G80" s="16" t="e">
        <f>SUM(G8:G79)</f>
        <v>#REF!</v>
      </c>
      <c r="H80" s="16" t="e">
        <f>SUM(H8:H79)</f>
        <v>#REF!</v>
      </c>
      <c r="I80" s="16" t="e">
        <f>SUM(I8:I79)</f>
        <v>#REF!</v>
      </c>
      <c r="J80" s="16" t="e">
        <f>SUM(J8:J79)</f>
        <v>#REF!</v>
      </c>
      <c r="K80" s="27"/>
      <c r="L80" s="27"/>
      <c r="M80" s="16">
        <f>SUM(M8:M79)</f>
        <v>30645683.056640003</v>
      </c>
      <c r="N80" s="27"/>
      <c r="O80" s="27"/>
      <c r="P80" s="16" t="e">
        <f>SUM(P8:P79)</f>
        <v>#REF!</v>
      </c>
      <c r="Q80" s="16" t="e">
        <f>SUM(Q8:Q79)</f>
        <v>#REF!</v>
      </c>
      <c r="R80" s="27"/>
      <c r="S80" s="27"/>
      <c r="T80" s="16">
        <f>SUM(T8:T79)</f>
        <v>5247030.0891000014</v>
      </c>
      <c r="U80" s="27"/>
      <c r="V80" s="27"/>
      <c r="W80" s="16" t="e">
        <f>SUM(W8:W79)</f>
        <v>#REF!</v>
      </c>
      <c r="X80" s="16" t="e">
        <f>SUM(X8:X79)</f>
        <v>#REF!</v>
      </c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</row>
    <row r="83" spans="7:7">
      <c r="G83" s="56"/>
    </row>
    <row r="84" spans="7:7">
      <c r="G84" s="57"/>
    </row>
    <row r="85" spans="7:7">
      <c r="G85" s="56"/>
    </row>
    <row r="86" spans="7:7">
      <c r="G86" s="57"/>
    </row>
    <row r="112" spans="8:8">
      <c r="H112" s="58"/>
    </row>
  </sheetData>
  <autoFilter ref="A6:AH80" xr:uid="{A6DDD4A2-0E3F-48CA-9998-B46A0A7088E4}"/>
  <mergeCells count="14">
    <mergeCell ref="X5:X6"/>
    <mergeCell ref="A1:B3"/>
    <mergeCell ref="C2:X3"/>
    <mergeCell ref="C1:X1"/>
    <mergeCell ref="A4:E4"/>
    <mergeCell ref="F4:J4"/>
    <mergeCell ref="K4:Q4"/>
    <mergeCell ref="R4:X4"/>
    <mergeCell ref="K5:M5"/>
    <mergeCell ref="N5:P5"/>
    <mergeCell ref="R5:T5"/>
    <mergeCell ref="U5:W5"/>
    <mergeCell ref="A80:B80"/>
    <mergeCell ref="Q5:Q6"/>
  </mergeCells>
  <phoneticPr fontId="76" type="noConversion"/>
  <conditionalFormatting sqref="H1:H27 H29:H65536">
    <cfRule type="cellIs" dxfId="0" priority="1" operator="equal">
      <formula>"已实施"</formula>
    </cfRule>
  </conditionalFormatting>
  <pageMargins left="0.75" right="0.75" top="1" bottom="1" header="0.5" footer="0.5"/>
  <pageSetup paperSize="9" scale="2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18</vt:i4>
      </vt:variant>
      <vt:variant>
        <vt:lpstr>命名范围</vt:lpstr>
      </vt:variant>
      <vt:variant>
        <vt:i4>11</vt:i4>
      </vt:variant>
    </vt:vector>
  </HeadingPairs>
  <TitlesOfParts>
    <vt:vector size="29" baseType="lpstr">
      <vt:lpstr>封面</vt:lpstr>
      <vt:lpstr>填报说明</vt:lpstr>
      <vt:lpstr>汇总表</vt:lpstr>
      <vt:lpstr>本期分析及总结</vt:lpstr>
      <vt:lpstr>人工费</vt:lpstr>
      <vt:lpstr>材料费</vt:lpstr>
      <vt:lpstr>机械费</vt:lpstr>
      <vt:lpstr>专业分包费</vt:lpstr>
      <vt:lpstr>周转料具</vt:lpstr>
      <vt:lpstr>安全文明施工费</vt:lpstr>
      <vt:lpstr>施工措施费</vt:lpstr>
      <vt:lpstr>现场经费</vt:lpstr>
      <vt:lpstr>管理费、利润、规费、税金</vt:lpstr>
      <vt:lpstr>让利</vt:lpstr>
      <vt:lpstr>总包服务费</vt:lpstr>
      <vt:lpstr>指定分包</vt:lpstr>
      <vt:lpstr>其它</vt:lpstr>
      <vt:lpstr>开源效益</vt:lpstr>
      <vt:lpstr>安全文明施工费!Print_Area</vt:lpstr>
      <vt:lpstr>本期分析及总结!Print_Area</vt:lpstr>
      <vt:lpstr>材料费!Print_Area</vt:lpstr>
      <vt:lpstr>汇总表!Print_Area</vt:lpstr>
      <vt:lpstr>机械费!Print_Area</vt:lpstr>
      <vt:lpstr>人工费!Print_Area</vt:lpstr>
      <vt:lpstr>施工措施费!Print_Area</vt:lpstr>
      <vt:lpstr>现场经费!Print_Area</vt:lpstr>
      <vt:lpstr>周转料具!Print_Area</vt:lpstr>
      <vt:lpstr>专业分包费!Print_Area</vt:lpstr>
      <vt:lpstr>现场经费!Print_Titles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承科 吴</cp:lastModifiedBy>
  <cp:lastPrinted>2013-11-27T06:25:59Z</cp:lastPrinted>
  <dcterms:created xsi:type="dcterms:W3CDTF">2011-10-25T09:29:36Z</dcterms:created>
  <dcterms:modified xsi:type="dcterms:W3CDTF">2024-07-17T03:30:01Z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362E0A7CDDEF4E41893EBB2232141776_13</vt:lpwstr>
  </property>
  <property fmtid="{D5CDD505-2E9C-101B-9397-08002B2CF9AE}" pid="4" name="KSOReadingLayout">
    <vt:bool>true</vt:bool>
  </property>
</Properties>
</file>